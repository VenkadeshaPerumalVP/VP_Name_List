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New Numbers" sheetId="5" state="visible" r:id="rId5"/>
    <sheet xmlns:r="http://schemas.openxmlformats.org/officeDocument/2006/relationships" name="Weekly Tracker" sheetId="6" state="visible" r:id="rId6"/>
  </sheets>
  <definedNames>
    <definedName name="_xlnm._FilterDatabase" localSheetId="0" hidden="1">'Main'!$A$1:$L$1645</definedName>
    <definedName name="_xlnm._FilterDatabase" localSheetId="5" hidden="1">'Weekly Tracker'!$A$1:$O$766</definedName>
  </definedNames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roid Sans"/>
      <family val="2"/>
      <sz val="10"/>
    </font>
    <font>
      <b val="1"/>
      <sz val="16"/>
    </font>
    <font>
      <b val="1"/>
      <color rgb="00FFFFFF"/>
      <sz val="16"/>
    </font>
    <font>
      <b val="1"/>
      <color rgb="00FFFFFF"/>
    </font>
    <font>
      <b val="1"/>
      <color rgb="00FFFFFF"/>
      <sz val="20"/>
    </font>
    <font>
      <b val="1"/>
      <sz val="14"/>
    </font>
    <font>
      <b val="1"/>
    </font>
    <font>
      <b val="1"/>
      <color rgb="00FFFFFF"/>
      <sz val="18"/>
    </font>
    <font>
      <b val="1"/>
      <color rgb="00FFFFFF"/>
      <sz val="14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F1D5A"/>
      </patternFill>
    </fill>
  </fills>
  <borders count="7">
    <border>
      <left/>
      <right/>
      <top/>
      <bottom/>
      <diagonal/>
    </border>
    <border>
      <bottom style="hair">
        <color rgb="00D9E2F3"/>
      </bottom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top style="medium">
        <color rgb="007F1D5A"/>
      </top>
    </border>
    <border>
      <right/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1" fillId="4" borderId="0" pivotButton="0" quotePrefix="0" xfId="0"/>
    <xf numFmtId="0" fontId="0" fillId="0" borderId="0" applyAlignment="1" pivotButton="0" quotePrefix="0" xfId="0">
      <alignment vertical="top" wrapText="1"/>
    </xf>
    <xf numFmtId="0" fontId="8" fillId="4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4" borderId="0" pivotButton="0" quotePrefix="0" xfId="0"/>
    <xf numFmtId="165" fontId="0" fillId="0" borderId="0" pivotButton="0" quotePrefix="0" xfId="0"/>
    <xf numFmtId="0" fontId="7" fillId="4" borderId="2" applyAlignment="1" pivotButton="0" quotePrefix="0" xfId="0">
      <alignment horizontal="center"/>
    </xf>
    <xf numFmtId="164" fontId="0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3" pivotButton="0" quotePrefix="0" xfId="0"/>
    <xf numFmtId="0" fontId="7" fillId="4" borderId="0" applyAlignment="1" pivotButton="0" quotePrefix="0" xfId="0">
      <alignment horizontal="center" wrapText="1"/>
    </xf>
    <xf numFmtId="0" fontId="12" fillId="4" borderId="0" pivotButton="0" quotePrefix="0" xfId="0"/>
    <xf numFmtId="164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3" fillId="4" borderId="6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Info / Invite / Plan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'Dashboard'!$A$5:$A$26</f>
            </numRef>
          </cat>
          <val>
            <numRef>
              <f>'Dashboard'!$D$5:$D$26</f>
            </numRef>
          </val>
        </ser>
        <ser>
          <idx val="1"/>
          <order val="1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'Dashboard'!$A$5:$A$26</f>
            </numRef>
          </cat>
          <val>
            <numRef>
              <f>'Dashboard'!$E$5:$E$26</f>
            </numRef>
          </val>
        </ser>
        <ser>
          <idx val="2"/>
          <order val="2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'Dashboard'!$A$5:$A$26</f>
            </numRef>
          </cat>
          <val>
            <numRef>
              <f>'Dashboard'!$F$5:$F$26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'Dashboard'!$A$31:$A$35</f>
            </numRef>
          </cat>
          <val>
            <numRef>
              <f>'Dashboard'!$B$31:$B$35</f>
            </numRef>
          </val>
        </ser>
        <ser>
          <idx val="1"/>
          <order val="1"/>
          <tx>
            <strRef>
              <f>'Dashboard'!C30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'Dashboard'!$A$31:$A$35</f>
            </numRef>
          </cat>
          <val>
            <numRef>
              <f>'Dashboard'!$C$31:$C$35</f>
            </numRef>
          </val>
        </ser>
        <ser>
          <idx val="2"/>
          <order val="2"/>
          <tx>
            <strRef>
              <f>'Dashboard'!D30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'Dashboard'!$A$31:$A$35</f>
            </numRef>
          </cat>
          <val>
            <numRef>
              <f>'Dashboard'!$D$31:$D$35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inTable" displayName="MainTable" ref="A2:L1714" headerRowCount="1">
  <autoFilter ref="A2:L1714"/>
  <tableColumns count="12">
    <tableColumn id="1" name="Name"/>
    <tableColumn id="2" name="Contact Number"/>
    <tableColumn id="3" name="Zone"/>
    <tableColumn id="4" name="Connection"/>
    <tableColumn id="5" name="Location"/>
    <tableColumn id="6" name="Info"/>
    <tableColumn id="7" name="Info_Date"/>
    <tableColumn id="8" name="Invite"/>
    <tableColumn id="9" name="Invite_Date"/>
    <tableColumn id="10" name="Plan"/>
    <tableColumn id="11" name="Comments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3" min="1" max="1"/>
    <col width="24" customWidth="1" style="3" min="2" max="2"/>
    <col width="14" customWidth="1" style="3" min="3" max="3"/>
    <col width="20" customWidth="1" style="3" min="4" max="4"/>
    <col width="24" customWidth="1" style="3" min="5" max="5"/>
    <col width="24" customWidth="1" style="3" min="6" max="6"/>
    <col width="15" customWidth="1" style="3" min="7" max="7"/>
    <col width="24" customWidth="1" style="3" min="8" max="8"/>
    <col width="15" customWidth="1" style="3" min="9" max="9"/>
    <col width="24" customWidth="1" style="3" min="10" max="10"/>
    <col width="35" customWidth="1" style="3" min="11" max="11"/>
    <col width="45" customWidth="1" style="3" min="12" max="12"/>
  </cols>
  <sheetData>
    <row r="1" ht="42" customHeight="1" s="3">
      <c r="A1" s="26" t="inlineStr">
        <is>
          <t>Name (DisplayName)</t>
        </is>
      </c>
      <c r="B1" s="26" t="inlineStr">
        <is>
          <t>Contact Number</t>
        </is>
      </c>
      <c r="C1" s="26" t="inlineStr">
        <is>
          <t>Zone</t>
        </is>
      </c>
      <c r="D1" s="26" t="inlineStr">
        <is>
          <t>Connection</t>
        </is>
      </c>
      <c r="E1" s="26" t="inlineStr">
        <is>
          <t>Location</t>
        </is>
      </c>
      <c r="F1" s="26" t="inlineStr">
        <is>
          <t>Info</t>
        </is>
      </c>
      <c r="G1" s="26" t="inlineStr">
        <is>
          <t>Info_Date</t>
        </is>
      </c>
      <c r="H1" s="26" t="inlineStr">
        <is>
          <t>Invite</t>
        </is>
      </c>
      <c r="I1" s="26" t="inlineStr">
        <is>
          <t>Invite_Date</t>
        </is>
      </c>
      <c r="J1" s="26" t="inlineStr">
        <is>
          <t>Plan</t>
        </is>
      </c>
      <c r="K1" s="26" t="inlineStr">
        <is>
          <t>Comments</t>
        </is>
      </c>
      <c r="L1" s="26" t="inlineStr">
        <is>
          <t>Notes</t>
        </is>
      </c>
    </row>
    <row r="2">
      <c r="A2" s="9" t="inlineStr">
        <is>
          <t>Samsung Helpline</t>
        </is>
      </c>
      <c r="B2" s="9" t="inlineStr">
        <is>
          <t>1800407267864</t>
        </is>
      </c>
      <c r="C2" s="9" t="n"/>
      <c r="D2" s="9" t="n"/>
      <c r="E2" s="9" t="n"/>
      <c r="F2" s="9">
        <f>IFERROR(LOOKUP(2,1/('Weekly Tracker'!$E$2:$E$766=$A2)/('Weekly Tracker'!$F$2:$F$766&lt;&gt;""),'Weekly Tracker'!$F$2:$F$766),"")</f>
        <v/>
      </c>
      <c r="G2" s="16">
        <f>IF(F2&lt;&gt;"",LOOKUP(2,1/('Weekly Tracker'!$E$2:$E$766=$A2)/('Weekly Tracker'!$F$2:$F$766&lt;&gt;""),'Weekly Tracker'!$G$2:$G$766),"")</f>
        <v/>
      </c>
      <c r="H2" s="9">
        <f>IFERROR(LOOKUP(2,1/('Weekly Tracker'!$E$2:$E$766=$A2)/('Weekly Tracker'!$H$2:$H$766&lt;&gt;""),'Weekly Tracker'!$H$2:$H$766),"")</f>
        <v/>
      </c>
      <c r="I2" s="16">
        <f>IF(H2&lt;&gt;"",LOOKUP(2,1/('Weekly Tracker'!$E$2:$E$766=$A2)/('Weekly Tracker'!$H$2:$H$766&lt;&gt;""),'Weekly Tracker'!$I$2:$I$766),"")</f>
        <v/>
      </c>
      <c r="J2" s="9">
        <f>IFERROR(LOOKUP(2,1/('Weekly Tracker'!$E$2:$E$766=$A2)/('Weekly Tracker'!$J$2:$J$766&lt;&gt;""),'Weekly Tracker'!$J$2:$J$766),"")</f>
        <v/>
      </c>
      <c r="K2" s="9">
        <f>IFERROR(LOOKUP(2,1/('Weekly Tracker'!$E$2:$E$766=$A2)/('Weekly Tracker'!$N$2:$N$766&lt;&gt;""),'Weekly Tracker'!$N$2:$N$766),"")</f>
        <v/>
      </c>
      <c r="L2" s="9">
        <f>IFERROR(LOOKUP(2,1/('Weekly Tracker'!$E$2:$E$766=$A2)/('Weekly Tracker'!$O$2:$O$766&lt;&gt;""),'Weekly Tracker'!$O$2:$O$766),"")</f>
        <v/>
      </c>
    </row>
    <row r="3">
      <c r="A3" s="9" t="inlineStr">
        <is>
          <t>Ragul Urja</t>
        </is>
      </c>
      <c r="B3" s="9" t="inlineStr">
        <is>
          <t>917806971707, +91 78069 71707</t>
        </is>
      </c>
      <c r="C3" s="9" t="n"/>
      <c r="D3" s="9" t="n"/>
      <c r="E3" s="9" t="n"/>
      <c r="F3" s="9">
        <f>IFERROR(LOOKUP(2,1/('Weekly Tracker'!$E$2:$E$766=$A3)/('Weekly Tracker'!$F$2:$F$766&lt;&gt;""),'Weekly Tracker'!$F$2:$F$766),"")</f>
        <v/>
      </c>
      <c r="G3" s="16">
        <f>IF(F3&lt;&gt;"",LOOKUP(2,1/('Weekly Tracker'!$E$2:$E$766=$A3)/('Weekly Tracker'!$F$2:$F$766&lt;&gt;""),'Weekly Tracker'!$G$2:$G$766),"")</f>
        <v/>
      </c>
      <c r="H3" s="9">
        <f>IFERROR(LOOKUP(2,1/('Weekly Tracker'!$E$2:$E$766=$A3)/('Weekly Tracker'!$H$2:$H$766&lt;&gt;""),'Weekly Tracker'!$H$2:$H$766),"")</f>
        <v/>
      </c>
      <c r="I3" s="16">
        <f>IF(H3&lt;&gt;"",LOOKUP(2,1/('Weekly Tracker'!$E$2:$E$766=$A3)/('Weekly Tracker'!$H$2:$H$766&lt;&gt;""),'Weekly Tracker'!$I$2:$I$766),"")</f>
        <v/>
      </c>
      <c r="J3" s="9">
        <f>IFERROR(LOOKUP(2,1/('Weekly Tracker'!$E$2:$E$766=$A3)/('Weekly Tracker'!$J$2:$J$766&lt;&gt;""),'Weekly Tracker'!$J$2:$J$766),"")</f>
        <v/>
      </c>
      <c r="K3" s="9">
        <f>IFERROR(LOOKUP(2,1/('Weekly Tracker'!$E$2:$E$766=$A3)/('Weekly Tracker'!$N$2:$N$766&lt;&gt;""),'Weekly Tracker'!$N$2:$N$766),"")</f>
        <v/>
      </c>
      <c r="L3" s="9">
        <f>IFERROR(LOOKUP(2,1/('Weekly Tracker'!$E$2:$E$766=$A3)/('Weekly Tracker'!$O$2:$O$766&lt;&gt;""),'Weekly Tracker'!$O$2:$O$766),"")</f>
        <v/>
      </c>
    </row>
    <row r="4">
      <c r="A4" s="9" t="inlineStr">
        <is>
          <t>Rajesh ramadoss Urja</t>
        </is>
      </c>
      <c r="B4" s="9" t="inlineStr">
        <is>
          <t>919952925095</t>
        </is>
      </c>
      <c r="C4" s="9" t="n"/>
      <c r="D4" s="9" t="n"/>
      <c r="E4" s="9" t="n"/>
      <c r="F4" s="9">
        <f>IFERROR(LOOKUP(2,1/('Weekly Tracker'!$E$2:$E$766=$A4)/('Weekly Tracker'!$F$2:$F$766&lt;&gt;""),'Weekly Tracker'!$F$2:$F$766),"")</f>
        <v/>
      </c>
      <c r="G4" s="16">
        <f>IF(F4&lt;&gt;"",LOOKUP(2,1/('Weekly Tracker'!$E$2:$E$766=$A4)/('Weekly Tracker'!$F$2:$F$766&lt;&gt;""),'Weekly Tracker'!$G$2:$G$766),"")</f>
        <v/>
      </c>
      <c r="H4" s="9">
        <f>IFERROR(LOOKUP(2,1/('Weekly Tracker'!$E$2:$E$766=$A4)/('Weekly Tracker'!$H$2:$H$766&lt;&gt;""),'Weekly Tracker'!$H$2:$H$766),"")</f>
        <v/>
      </c>
      <c r="I4" s="16">
        <f>IF(H4&lt;&gt;"",LOOKUP(2,1/('Weekly Tracker'!$E$2:$E$766=$A4)/('Weekly Tracker'!$H$2:$H$766&lt;&gt;""),'Weekly Tracker'!$I$2:$I$766),"")</f>
        <v/>
      </c>
      <c r="J4" s="9">
        <f>IFERROR(LOOKUP(2,1/('Weekly Tracker'!$E$2:$E$766=$A4)/('Weekly Tracker'!$J$2:$J$766&lt;&gt;""),'Weekly Tracker'!$J$2:$J$766),"")</f>
        <v/>
      </c>
      <c r="K4" s="9">
        <f>IFERROR(LOOKUP(2,1/('Weekly Tracker'!$E$2:$E$766=$A4)/('Weekly Tracker'!$N$2:$N$766&lt;&gt;""),'Weekly Tracker'!$N$2:$N$766),"")</f>
        <v/>
      </c>
      <c r="L4" s="9">
        <f>IFERROR(LOOKUP(2,1/('Weekly Tracker'!$E$2:$E$766=$A4)/('Weekly Tracker'!$O$2:$O$766&lt;&gt;""),'Weekly Tracker'!$O$2:$O$766),"")</f>
        <v/>
      </c>
    </row>
    <row r="5">
      <c r="A5" s="9" t="inlineStr">
        <is>
          <t>Rajesh Past Urja</t>
        </is>
      </c>
      <c r="B5" s="9" t="inlineStr">
        <is>
          <t>919790921712</t>
        </is>
      </c>
      <c r="C5" s="9" t="n"/>
      <c r="D5" s="9" t="n"/>
      <c r="E5" s="9" t="n"/>
      <c r="F5" s="9">
        <f>IFERROR(LOOKUP(2,1/('Weekly Tracker'!$E$2:$E$766=$A5)/('Weekly Tracker'!$F$2:$F$766&lt;&gt;""),'Weekly Tracker'!$F$2:$F$766),"")</f>
        <v/>
      </c>
      <c r="G5" s="16">
        <f>IF(F5&lt;&gt;"",LOOKUP(2,1/('Weekly Tracker'!$E$2:$E$766=$A5)/('Weekly Tracker'!$F$2:$F$766&lt;&gt;""),'Weekly Tracker'!$G$2:$G$766),"")</f>
        <v/>
      </c>
      <c r="H5" s="9">
        <f>IFERROR(LOOKUP(2,1/('Weekly Tracker'!$E$2:$E$766=$A5)/('Weekly Tracker'!$H$2:$H$766&lt;&gt;""),'Weekly Tracker'!$H$2:$H$766),"")</f>
        <v/>
      </c>
      <c r="I5" s="16">
        <f>IF(H5&lt;&gt;"",LOOKUP(2,1/('Weekly Tracker'!$E$2:$E$766=$A5)/('Weekly Tracker'!$H$2:$H$766&lt;&gt;""),'Weekly Tracker'!$I$2:$I$766),"")</f>
        <v/>
      </c>
      <c r="J5" s="9">
        <f>IFERROR(LOOKUP(2,1/('Weekly Tracker'!$E$2:$E$766=$A5)/('Weekly Tracker'!$J$2:$J$766&lt;&gt;""),'Weekly Tracker'!$J$2:$J$766),"")</f>
        <v/>
      </c>
      <c r="K5" s="9">
        <f>IFERROR(LOOKUP(2,1/('Weekly Tracker'!$E$2:$E$766=$A5)/('Weekly Tracker'!$N$2:$N$766&lt;&gt;""),'Weekly Tracker'!$N$2:$N$766),"")</f>
        <v/>
      </c>
      <c r="L5" s="9">
        <f>IFERROR(LOOKUP(2,1/('Weekly Tracker'!$E$2:$E$766=$A5)/('Weekly Tracker'!$O$2:$O$766&lt;&gt;""),'Weekly Tracker'!$O$2:$O$766),"")</f>
        <v/>
      </c>
    </row>
    <row r="6">
      <c r="A6" s="9" t="inlineStr">
        <is>
          <t>Ragul Hit Urja</t>
        </is>
      </c>
      <c r="B6" s="9" t="inlineStr">
        <is>
          <t>919944401970</t>
        </is>
      </c>
      <c r="C6" s="9" t="n"/>
      <c r="D6" s="9" t="n"/>
      <c r="E6" s="9" t="n"/>
      <c r="F6" s="9">
        <f>IFERROR(LOOKUP(2,1/('Weekly Tracker'!$E$2:$E$766=$A6)/('Weekly Tracker'!$F$2:$F$766&lt;&gt;""),'Weekly Tracker'!$F$2:$F$766),"")</f>
        <v/>
      </c>
      <c r="G6" s="16">
        <f>IF(F6&lt;&gt;"",LOOKUP(2,1/('Weekly Tracker'!$E$2:$E$766=$A6)/('Weekly Tracker'!$F$2:$F$766&lt;&gt;""),'Weekly Tracker'!$G$2:$G$766),"")</f>
        <v/>
      </c>
      <c r="H6" s="9">
        <f>IFERROR(LOOKUP(2,1/('Weekly Tracker'!$E$2:$E$766=$A6)/('Weekly Tracker'!$H$2:$H$766&lt;&gt;""),'Weekly Tracker'!$H$2:$H$766),"")</f>
        <v/>
      </c>
      <c r="I6" s="16">
        <f>IF(H6&lt;&gt;"",LOOKUP(2,1/('Weekly Tracker'!$E$2:$E$766=$A6)/('Weekly Tracker'!$H$2:$H$766&lt;&gt;""),'Weekly Tracker'!$I$2:$I$766),"")</f>
        <v/>
      </c>
      <c r="J6" s="9">
        <f>IFERROR(LOOKUP(2,1/('Weekly Tracker'!$E$2:$E$766=$A6)/('Weekly Tracker'!$J$2:$J$766&lt;&gt;""),'Weekly Tracker'!$J$2:$J$766),"")</f>
        <v/>
      </c>
      <c r="K6" s="9">
        <f>IFERROR(LOOKUP(2,1/('Weekly Tracker'!$E$2:$E$766=$A6)/('Weekly Tracker'!$N$2:$N$766&lt;&gt;""),'Weekly Tracker'!$N$2:$N$766),"")</f>
        <v/>
      </c>
      <c r="L6" s="9">
        <f>IFERROR(LOOKUP(2,1/('Weekly Tracker'!$E$2:$E$766=$A6)/('Weekly Tracker'!$O$2:$O$766&lt;&gt;""),'Weekly Tracker'!$O$2:$O$766),"")</f>
        <v/>
      </c>
    </row>
    <row r="7">
      <c r="A7" s="9" t="inlineStr">
        <is>
          <t>Rajesh FB</t>
        </is>
      </c>
      <c r="B7" s="9" t="inlineStr">
        <is>
          <t>8428885607, 84288 85607</t>
        </is>
      </c>
      <c r="C7" s="9" t="n"/>
      <c r="D7" s="9" t="n"/>
      <c r="E7" s="9" t="n"/>
      <c r="F7" s="9">
        <f>IFERROR(LOOKUP(2,1/('Weekly Tracker'!$E$2:$E$766=$A7)/('Weekly Tracker'!$F$2:$F$766&lt;&gt;""),'Weekly Tracker'!$F$2:$F$766),"")</f>
        <v/>
      </c>
      <c r="G7" s="16">
        <f>IF(F7&lt;&gt;"",LOOKUP(2,1/('Weekly Tracker'!$E$2:$E$766=$A7)/('Weekly Tracker'!$F$2:$F$766&lt;&gt;""),'Weekly Tracker'!$G$2:$G$766),"")</f>
        <v/>
      </c>
      <c r="H7" s="9">
        <f>IFERROR(LOOKUP(2,1/('Weekly Tracker'!$E$2:$E$766=$A7)/('Weekly Tracker'!$H$2:$H$766&lt;&gt;""),'Weekly Tracker'!$H$2:$H$766),"")</f>
        <v/>
      </c>
      <c r="I7" s="16">
        <f>IF(H7&lt;&gt;"",LOOKUP(2,1/('Weekly Tracker'!$E$2:$E$766=$A7)/('Weekly Tracker'!$H$2:$H$766&lt;&gt;""),'Weekly Tracker'!$I$2:$I$766),"")</f>
        <v/>
      </c>
      <c r="J7" s="9">
        <f>IFERROR(LOOKUP(2,1/('Weekly Tracker'!$E$2:$E$766=$A7)/('Weekly Tracker'!$J$2:$J$766&lt;&gt;""),'Weekly Tracker'!$J$2:$J$766),"")</f>
        <v/>
      </c>
      <c r="K7" s="9">
        <f>IFERROR(LOOKUP(2,1/('Weekly Tracker'!$E$2:$E$766=$A7)/('Weekly Tracker'!$N$2:$N$766&lt;&gt;""),'Weekly Tracker'!$N$2:$N$766),"")</f>
        <v/>
      </c>
      <c r="L7" s="9">
        <f>IFERROR(LOOKUP(2,1/('Weekly Tracker'!$E$2:$E$766=$A7)/('Weekly Tracker'!$O$2:$O$766&lt;&gt;""),'Weekly Tracker'!$O$2:$O$766),"")</f>
        <v/>
      </c>
    </row>
    <row r="8">
      <c r="A8" s="9" t="inlineStr">
        <is>
          <t>Rakesh Urja</t>
        </is>
      </c>
      <c r="B8" s="9" t="inlineStr">
        <is>
          <t>919551130445, +91 95511 30445</t>
        </is>
      </c>
      <c r="C8" s="9" t="n"/>
      <c r="D8" s="9" t="n"/>
      <c r="E8" s="9" t="n"/>
      <c r="F8" s="9">
        <f>IFERROR(LOOKUP(2,1/('Weekly Tracker'!$E$2:$E$766=$A8)/('Weekly Tracker'!$F$2:$F$766&lt;&gt;""),'Weekly Tracker'!$F$2:$F$766),"")</f>
        <v/>
      </c>
      <c r="G8" s="16">
        <f>IF(F8&lt;&gt;"",LOOKUP(2,1/('Weekly Tracker'!$E$2:$E$766=$A8)/('Weekly Tracker'!$F$2:$F$766&lt;&gt;""),'Weekly Tracker'!$G$2:$G$766),"")</f>
        <v/>
      </c>
      <c r="H8" s="9">
        <f>IFERROR(LOOKUP(2,1/('Weekly Tracker'!$E$2:$E$766=$A8)/('Weekly Tracker'!$H$2:$H$766&lt;&gt;""),'Weekly Tracker'!$H$2:$H$766),"")</f>
        <v/>
      </c>
      <c r="I8" s="16">
        <f>IF(H8&lt;&gt;"",LOOKUP(2,1/('Weekly Tracker'!$E$2:$E$766=$A8)/('Weekly Tracker'!$H$2:$H$766&lt;&gt;""),'Weekly Tracker'!$I$2:$I$766),"")</f>
        <v/>
      </c>
      <c r="J8" s="9">
        <f>IFERROR(LOOKUP(2,1/('Weekly Tracker'!$E$2:$E$766=$A8)/('Weekly Tracker'!$J$2:$J$766&lt;&gt;""),'Weekly Tracker'!$J$2:$J$766),"")</f>
        <v/>
      </c>
      <c r="K8" s="9">
        <f>IFERROR(LOOKUP(2,1/('Weekly Tracker'!$E$2:$E$766=$A8)/('Weekly Tracker'!$N$2:$N$766&lt;&gt;""),'Weekly Tracker'!$N$2:$N$766),"")</f>
        <v/>
      </c>
      <c r="L8" s="9">
        <f>IFERROR(LOOKUP(2,1/('Weekly Tracker'!$E$2:$E$766=$A8)/('Weekly Tracker'!$O$2:$O$766&lt;&gt;""),'Weekly Tracker'!$O$2:$O$766),"")</f>
        <v/>
      </c>
    </row>
    <row r="9">
      <c r="A9" s="9" t="inlineStr">
        <is>
          <t>Vinoth Mech</t>
        </is>
      </c>
      <c r="B9" s="9" t="inlineStr">
        <is>
          <t>8015927970</t>
        </is>
      </c>
      <c r="C9" s="9" t="n"/>
      <c r="D9" s="9" t="n"/>
      <c r="E9" s="9" t="n"/>
      <c r="F9" s="9">
        <f>IFERROR(LOOKUP(2,1/('Weekly Tracker'!$E$2:$E$766=$A9)/('Weekly Tracker'!$F$2:$F$766&lt;&gt;""),'Weekly Tracker'!$F$2:$F$766),"")</f>
        <v/>
      </c>
      <c r="G9" s="16">
        <f>IF(F9&lt;&gt;"",LOOKUP(2,1/('Weekly Tracker'!$E$2:$E$766=$A9)/('Weekly Tracker'!$F$2:$F$766&lt;&gt;""),'Weekly Tracker'!$G$2:$G$766),"")</f>
        <v/>
      </c>
      <c r="H9" s="9">
        <f>IFERROR(LOOKUP(2,1/('Weekly Tracker'!$E$2:$E$766=$A9)/('Weekly Tracker'!$H$2:$H$766&lt;&gt;""),'Weekly Tracker'!$H$2:$H$766),"")</f>
        <v/>
      </c>
      <c r="I9" s="16">
        <f>IF(H9&lt;&gt;"",LOOKUP(2,1/('Weekly Tracker'!$E$2:$E$766=$A9)/('Weekly Tracker'!$H$2:$H$766&lt;&gt;""),'Weekly Tracker'!$I$2:$I$766),"")</f>
        <v/>
      </c>
      <c r="J9" s="9">
        <f>IFERROR(LOOKUP(2,1/('Weekly Tracker'!$E$2:$E$766=$A9)/('Weekly Tracker'!$J$2:$J$766&lt;&gt;""),'Weekly Tracker'!$J$2:$J$766),"")</f>
        <v/>
      </c>
      <c r="K9" s="9">
        <f>IFERROR(LOOKUP(2,1/('Weekly Tracker'!$E$2:$E$766=$A9)/('Weekly Tracker'!$N$2:$N$766&lt;&gt;""),'Weekly Tracker'!$N$2:$N$766),"")</f>
        <v/>
      </c>
      <c r="L9" s="9">
        <f>IFERROR(LOOKUP(2,1/('Weekly Tracker'!$E$2:$E$766=$A9)/('Weekly Tracker'!$O$2:$O$766&lt;&gt;""),'Weekly Tracker'!$O$2:$O$766),"")</f>
        <v/>
      </c>
    </row>
    <row r="10">
      <c r="A10" s="9" t="inlineStr">
        <is>
          <t>Mani Kandan FB</t>
        </is>
      </c>
      <c r="B10" s="9" t="inlineStr">
        <is>
          <t>971554780531, +971 55 478 0531</t>
        </is>
      </c>
      <c r="C10" s="9" t="n"/>
      <c r="D10" s="9" t="n"/>
      <c r="E10" s="9" t="n"/>
      <c r="F10" s="9">
        <f>IFERROR(LOOKUP(2,1/('Weekly Tracker'!$E$2:$E$766=$A10)/('Weekly Tracker'!$F$2:$F$766&lt;&gt;""),'Weekly Tracker'!$F$2:$F$766),"")</f>
        <v/>
      </c>
      <c r="G10" s="16">
        <f>IF(F10&lt;&gt;"",LOOKUP(2,1/('Weekly Tracker'!$E$2:$E$766=$A10)/('Weekly Tracker'!$F$2:$F$766&lt;&gt;""),'Weekly Tracker'!$G$2:$G$766),"")</f>
        <v/>
      </c>
      <c r="H10" s="9">
        <f>IFERROR(LOOKUP(2,1/('Weekly Tracker'!$E$2:$E$766=$A10)/('Weekly Tracker'!$H$2:$H$766&lt;&gt;""),'Weekly Tracker'!$H$2:$H$766),"")</f>
        <v/>
      </c>
      <c r="I10" s="16">
        <f>IF(H10&lt;&gt;"",LOOKUP(2,1/('Weekly Tracker'!$E$2:$E$766=$A10)/('Weekly Tracker'!$H$2:$H$766&lt;&gt;""),'Weekly Tracker'!$I$2:$I$766),"")</f>
        <v/>
      </c>
      <c r="J10" s="9">
        <f>IFERROR(LOOKUP(2,1/('Weekly Tracker'!$E$2:$E$766=$A10)/('Weekly Tracker'!$J$2:$J$766&lt;&gt;""),'Weekly Tracker'!$J$2:$J$766),"")</f>
        <v/>
      </c>
      <c r="K10" s="9">
        <f>IFERROR(LOOKUP(2,1/('Weekly Tracker'!$E$2:$E$766=$A10)/('Weekly Tracker'!$N$2:$N$766&lt;&gt;""),'Weekly Tracker'!$N$2:$N$766),"")</f>
        <v/>
      </c>
      <c r="L10" s="9">
        <f>IFERROR(LOOKUP(2,1/('Weekly Tracker'!$E$2:$E$766=$A10)/('Weekly Tracker'!$O$2:$O$766&lt;&gt;""),'Weekly Tracker'!$O$2:$O$766),"")</f>
        <v/>
      </c>
    </row>
    <row r="11">
      <c r="A11" s="9" t="inlineStr">
        <is>
          <t>Mani VJ FB</t>
        </is>
      </c>
      <c r="B11" s="9" t="inlineStr">
        <is>
          <t>917904326199</t>
        </is>
      </c>
      <c r="C11" s="9" t="n"/>
      <c r="D11" s="9" t="n"/>
      <c r="E11" s="9" t="n"/>
      <c r="F11" s="9">
        <f>IFERROR(LOOKUP(2,1/('Weekly Tracker'!$E$2:$E$766=$A11)/('Weekly Tracker'!$F$2:$F$766&lt;&gt;""),'Weekly Tracker'!$F$2:$F$766),"")</f>
        <v/>
      </c>
      <c r="G11" s="16">
        <f>IF(F11&lt;&gt;"",LOOKUP(2,1/('Weekly Tracker'!$E$2:$E$766=$A11)/('Weekly Tracker'!$F$2:$F$766&lt;&gt;""),'Weekly Tracker'!$G$2:$G$766),"")</f>
        <v/>
      </c>
      <c r="H11" s="9">
        <f>IFERROR(LOOKUP(2,1/('Weekly Tracker'!$E$2:$E$766=$A11)/('Weekly Tracker'!$H$2:$H$766&lt;&gt;""),'Weekly Tracker'!$H$2:$H$766),"")</f>
        <v/>
      </c>
      <c r="I11" s="16">
        <f>IF(H11&lt;&gt;"",LOOKUP(2,1/('Weekly Tracker'!$E$2:$E$766=$A11)/('Weekly Tracker'!$H$2:$H$766&lt;&gt;""),'Weekly Tracker'!$I$2:$I$766),"")</f>
        <v/>
      </c>
      <c r="J11" s="9">
        <f>IFERROR(LOOKUP(2,1/('Weekly Tracker'!$E$2:$E$766=$A11)/('Weekly Tracker'!$J$2:$J$766&lt;&gt;""),'Weekly Tracker'!$J$2:$J$766),"")</f>
        <v/>
      </c>
      <c r="K11" s="9">
        <f>IFERROR(LOOKUP(2,1/('Weekly Tracker'!$E$2:$E$766=$A11)/('Weekly Tracker'!$N$2:$N$766&lt;&gt;""),'Weekly Tracker'!$N$2:$N$766),"")</f>
        <v/>
      </c>
      <c r="L11" s="9">
        <f>IFERROR(LOOKUP(2,1/('Weekly Tracker'!$E$2:$E$766=$A11)/('Weekly Tracker'!$O$2:$O$766&lt;&gt;""),'Weekly Tracker'!$O$2:$O$766),"")</f>
        <v/>
      </c>
    </row>
    <row r="12">
      <c r="A12" s="9" t="inlineStr">
        <is>
          <t>Niranjan Urja</t>
        </is>
      </c>
      <c r="B12" s="9" t="inlineStr"/>
      <c r="C12" s="9" t="n"/>
      <c r="D12" s="9" t="n"/>
      <c r="E12" s="9" t="n"/>
      <c r="F12" s="9">
        <f>IFERROR(LOOKUP(2,1/('Weekly Tracker'!$E$2:$E$766=$A12)/('Weekly Tracker'!$F$2:$F$766&lt;&gt;""),'Weekly Tracker'!$F$2:$F$766),"")</f>
        <v/>
      </c>
      <c r="G12" s="16">
        <f>IF(F12&lt;&gt;"",LOOKUP(2,1/('Weekly Tracker'!$E$2:$E$766=$A12)/('Weekly Tracker'!$F$2:$F$766&lt;&gt;""),'Weekly Tracker'!$G$2:$G$766),"")</f>
        <v/>
      </c>
      <c r="H12" s="9">
        <f>IFERROR(LOOKUP(2,1/('Weekly Tracker'!$E$2:$E$766=$A12)/('Weekly Tracker'!$H$2:$H$766&lt;&gt;""),'Weekly Tracker'!$H$2:$H$766),"")</f>
        <v/>
      </c>
      <c r="I12" s="16">
        <f>IF(H12&lt;&gt;"",LOOKUP(2,1/('Weekly Tracker'!$E$2:$E$766=$A12)/('Weekly Tracker'!$H$2:$H$766&lt;&gt;""),'Weekly Tracker'!$I$2:$I$766),"")</f>
        <v/>
      </c>
      <c r="J12" s="9">
        <f>IFERROR(LOOKUP(2,1/('Weekly Tracker'!$E$2:$E$766=$A12)/('Weekly Tracker'!$J$2:$J$766&lt;&gt;""),'Weekly Tracker'!$J$2:$J$766),"")</f>
        <v/>
      </c>
      <c r="K12" s="9">
        <f>IFERROR(LOOKUP(2,1/('Weekly Tracker'!$E$2:$E$766=$A12)/('Weekly Tracker'!$N$2:$N$766&lt;&gt;""),'Weekly Tracker'!$N$2:$N$766),"")</f>
        <v/>
      </c>
      <c r="L12" s="9">
        <f>IFERROR(LOOKUP(2,1/('Weekly Tracker'!$E$2:$E$766=$A12)/('Weekly Tracker'!$O$2:$O$766&lt;&gt;""),'Weekly Tracker'!$O$2:$O$766),"")</f>
        <v/>
      </c>
    </row>
    <row r="13">
      <c r="A13" s="9" t="inlineStr">
        <is>
          <t>Anbu Urja</t>
        </is>
      </c>
      <c r="B13" s="9" t="inlineStr">
        <is>
          <t>917418262653</t>
        </is>
      </c>
      <c r="C13" s="9" t="n"/>
      <c r="D13" s="9" t="n"/>
      <c r="E13" s="9" t="n"/>
      <c r="F13" s="9">
        <f>IFERROR(LOOKUP(2,1/('Weekly Tracker'!$E$2:$E$766=$A13)/('Weekly Tracker'!$F$2:$F$766&lt;&gt;""),'Weekly Tracker'!$F$2:$F$766),"")</f>
        <v/>
      </c>
      <c r="G13" s="16">
        <f>IF(F13&lt;&gt;"",LOOKUP(2,1/('Weekly Tracker'!$E$2:$E$766=$A13)/('Weekly Tracker'!$F$2:$F$766&lt;&gt;""),'Weekly Tracker'!$G$2:$G$766),"")</f>
        <v/>
      </c>
      <c r="H13" s="9">
        <f>IFERROR(LOOKUP(2,1/('Weekly Tracker'!$E$2:$E$766=$A13)/('Weekly Tracker'!$H$2:$H$766&lt;&gt;""),'Weekly Tracker'!$H$2:$H$766),"")</f>
        <v/>
      </c>
      <c r="I13" s="16">
        <f>IF(H13&lt;&gt;"",LOOKUP(2,1/('Weekly Tracker'!$E$2:$E$766=$A13)/('Weekly Tracker'!$H$2:$H$766&lt;&gt;""),'Weekly Tracker'!$I$2:$I$766),"")</f>
        <v/>
      </c>
      <c r="J13" s="9">
        <f>IFERROR(LOOKUP(2,1/('Weekly Tracker'!$E$2:$E$766=$A13)/('Weekly Tracker'!$J$2:$J$766&lt;&gt;""),'Weekly Tracker'!$J$2:$J$766),"")</f>
        <v/>
      </c>
      <c r="K13" s="9">
        <f>IFERROR(LOOKUP(2,1/('Weekly Tracker'!$E$2:$E$766=$A13)/('Weekly Tracker'!$N$2:$N$766&lt;&gt;""),'Weekly Tracker'!$N$2:$N$766),"")</f>
        <v/>
      </c>
      <c r="L13" s="9">
        <f>IFERROR(LOOKUP(2,1/('Weekly Tracker'!$E$2:$E$766=$A13)/('Weekly Tracker'!$O$2:$O$766&lt;&gt;""),'Weekly Tracker'!$O$2:$O$766),"")</f>
        <v/>
      </c>
    </row>
    <row r="14">
      <c r="A14" s="9" t="inlineStr">
        <is>
          <t>Vinoth Kumar Mech</t>
        </is>
      </c>
      <c r="B14" s="9" t="inlineStr">
        <is>
          <t>919099102966, +91 90991 02966, 919655485302</t>
        </is>
      </c>
      <c r="C14" s="9" t="n"/>
      <c r="D14" s="9" t="n"/>
      <c r="E14" s="9" t="n"/>
      <c r="F14" s="9">
        <f>IFERROR(LOOKUP(2,1/('Weekly Tracker'!$E$2:$E$766=$A14)/('Weekly Tracker'!$F$2:$F$766&lt;&gt;""),'Weekly Tracker'!$F$2:$F$766),"")</f>
        <v/>
      </c>
      <c r="G14" s="16">
        <f>IF(F14&lt;&gt;"",LOOKUP(2,1/('Weekly Tracker'!$E$2:$E$766=$A14)/('Weekly Tracker'!$F$2:$F$766&lt;&gt;""),'Weekly Tracker'!$G$2:$G$766),"")</f>
        <v/>
      </c>
      <c r="H14" s="9">
        <f>IFERROR(LOOKUP(2,1/('Weekly Tracker'!$E$2:$E$766=$A14)/('Weekly Tracker'!$H$2:$H$766&lt;&gt;""),'Weekly Tracker'!$H$2:$H$766),"")</f>
        <v/>
      </c>
      <c r="I14" s="16">
        <f>IF(H14&lt;&gt;"",LOOKUP(2,1/('Weekly Tracker'!$E$2:$E$766=$A14)/('Weekly Tracker'!$H$2:$H$766&lt;&gt;""),'Weekly Tracker'!$I$2:$I$766),"")</f>
        <v/>
      </c>
      <c r="J14" s="9">
        <f>IFERROR(LOOKUP(2,1/('Weekly Tracker'!$E$2:$E$766=$A14)/('Weekly Tracker'!$J$2:$J$766&lt;&gt;""),'Weekly Tracker'!$J$2:$J$766),"")</f>
        <v/>
      </c>
      <c r="K14" s="9">
        <f>IFERROR(LOOKUP(2,1/('Weekly Tracker'!$E$2:$E$766=$A14)/('Weekly Tracker'!$N$2:$N$766&lt;&gt;""),'Weekly Tracker'!$N$2:$N$766),"")</f>
        <v/>
      </c>
      <c r="L14" s="9">
        <f>IFERROR(LOOKUP(2,1/('Weekly Tracker'!$E$2:$E$766=$A14)/('Weekly Tracker'!$O$2:$O$766&lt;&gt;""),'Weekly Tracker'!$O$2:$O$766),"")</f>
        <v/>
      </c>
    </row>
    <row r="15">
      <c r="A15" s="9" t="inlineStr">
        <is>
          <t>Manikandan FB</t>
        </is>
      </c>
      <c r="B15" s="9" t="inlineStr">
        <is>
          <t>7639748654, 9965410728, 99654 10728</t>
        </is>
      </c>
      <c r="C15" s="9" t="n"/>
      <c r="D15" s="9" t="n"/>
      <c r="E15" s="9" t="n"/>
      <c r="F15" s="9">
        <f>IFERROR(LOOKUP(2,1/('Weekly Tracker'!$E$2:$E$766=$A15)/('Weekly Tracker'!$F$2:$F$766&lt;&gt;""),'Weekly Tracker'!$F$2:$F$766),"")</f>
        <v/>
      </c>
      <c r="G15" s="16">
        <f>IF(F15&lt;&gt;"",LOOKUP(2,1/('Weekly Tracker'!$E$2:$E$766=$A15)/('Weekly Tracker'!$F$2:$F$766&lt;&gt;""),'Weekly Tracker'!$G$2:$G$766),"")</f>
        <v/>
      </c>
      <c r="H15" s="9">
        <f>IFERROR(LOOKUP(2,1/('Weekly Tracker'!$E$2:$E$766=$A15)/('Weekly Tracker'!$H$2:$H$766&lt;&gt;""),'Weekly Tracker'!$H$2:$H$766),"")</f>
        <v/>
      </c>
      <c r="I15" s="16">
        <f>IF(H15&lt;&gt;"",LOOKUP(2,1/('Weekly Tracker'!$E$2:$E$766=$A15)/('Weekly Tracker'!$H$2:$H$766&lt;&gt;""),'Weekly Tracker'!$I$2:$I$766),"")</f>
        <v/>
      </c>
      <c r="J15" s="9">
        <f>IFERROR(LOOKUP(2,1/('Weekly Tracker'!$E$2:$E$766=$A15)/('Weekly Tracker'!$J$2:$J$766&lt;&gt;""),'Weekly Tracker'!$J$2:$J$766),"")</f>
        <v/>
      </c>
      <c r="K15" s="9">
        <f>IFERROR(LOOKUP(2,1/('Weekly Tracker'!$E$2:$E$766=$A15)/('Weekly Tracker'!$N$2:$N$766&lt;&gt;""),'Weekly Tracker'!$N$2:$N$766),"")</f>
        <v/>
      </c>
      <c r="L15" s="9">
        <f>IFERROR(LOOKUP(2,1/('Weekly Tracker'!$E$2:$E$766=$A15)/('Weekly Tracker'!$O$2:$O$766&lt;&gt;""),'Weekly Tracker'!$O$2:$O$766),"")</f>
        <v/>
      </c>
    </row>
    <row r="16">
      <c r="A16" s="9" t="inlineStr">
        <is>
          <t>Urjanet</t>
        </is>
      </c>
      <c r="B16" s="9" t="n"/>
      <c r="C16" s="9" t="n"/>
      <c r="D16" s="9" t="n"/>
      <c r="E16" s="9" t="n"/>
      <c r="F16" s="9">
        <f>IFERROR(LOOKUP(2,1/('Weekly Tracker'!$E$2:$E$766=$A16)/('Weekly Tracker'!$F$2:$F$766&lt;&gt;""),'Weekly Tracker'!$F$2:$F$766),"")</f>
        <v/>
      </c>
      <c r="G16" s="16">
        <f>IF(F16&lt;&gt;"",LOOKUP(2,1/('Weekly Tracker'!$E$2:$E$766=$A16)/('Weekly Tracker'!$F$2:$F$766&lt;&gt;""),'Weekly Tracker'!$G$2:$G$766),"")</f>
        <v/>
      </c>
      <c r="H16" s="9">
        <f>IFERROR(LOOKUP(2,1/('Weekly Tracker'!$E$2:$E$766=$A16)/('Weekly Tracker'!$H$2:$H$766&lt;&gt;""),'Weekly Tracker'!$H$2:$H$766),"")</f>
        <v/>
      </c>
      <c r="I16" s="16">
        <f>IF(H16&lt;&gt;"",LOOKUP(2,1/('Weekly Tracker'!$E$2:$E$766=$A16)/('Weekly Tracker'!$H$2:$H$766&lt;&gt;""),'Weekly Tracker'!$I$2:$I$766),"")</f>
        <v/>
      </c>
      <c r="J16" s="9">
        <f>IFERROR(LOOKUP(2,1/('Weekly Tracker'!$E$2:$E$766=$A16)/('Weekly Tracker'!$J$2:$J$766&lt;&gt;""),'Weekly Tracker'!$J$2:$J$766),"")</f>
        <v/>
      </c>
      <c r="K16" s="9">
        <f>IFERROR(LOOKUP(2,1/('Weekly Tracker'!$E$2:$E$766=$A16)/('Weekly Tracker'!$N$2:$N$766&lt;&gt;""),'Weekly Tracker'!$N$2:$N$766),"")</f>
        <v/>
      </c>
      <c r="L16" s="9">
        <f>IFERROR(LOOKUP(2,1/('Weekly Tracker'!$E$2:$E$766=$A16)/('Weekly Tracker'!$O$2:$O$766&lt;&gt;""),'Weekly Tracker'!$O$2:$O$766),"")</f>
        <v/>
      </c>
    </row>
    <row r="17">
      <c r="A17" s="9" t="inlineStr">
        <is>
          <t>Verizon</t>
        </is>
      </c>
      <c r="B17" s="9" t="n"/>
      <c r="C17" s="9" t="n"/>
      <c r="D17" s="9" t="n"/>
      <c r="E17" s="9" t="n"/>
      <c r="F17" s="9">
        <f>IFERROR(LOOKUP(2,1/('Weekly Tracker'!$E$2:$E$766=$A17)/('Weekly Tracker'!$F$2:$F$766&lt;&gt;""),'Weekly Tracker'!$F$2:$F$766),"")</f>
        <v/>
      </c>
      <c r="G17" s="16">
        <f>IF(F17&lt;&gt;"",LOOKUP(2,1/('Weekly Tracker'!$E$2:$E$766=$A17)/('Weekly Tracker'!$F$2:$F$766&lt;&gt;""),'Weekly Tracker'!$G$2:$G$766),"")</f>
        <v/>
      </c>
      <c r="H17" s="9">
        <f>IFERROR(LOOKUP(2,1/('Weekly Tracker'!$E$2:$E$766=$A17)/('Weekly Tracker'!$H$2:$H$766&lt;&gt;""),'Weekly Tracker'!$H$2:$H$766),"")</f>
        <v/>
      </c>
      <c r="I17" s="16">
        <f>IF(H17&lt;&gt;"",LOOKUP(2,1/('Weekly Tracker'!$E$2:$E$766=$A17)/('Weekly Tracker'!$H$2:$H$766&lt;&gt;""),'Weekly Tracker'!$I$2:$I$766),"")</f>
        <v/>
      </c>
      <c r="J17" s="9">
        <f>IFERROR(LOOKUP(2,1/('Weekly Tracker'!$E$2:$E$766=$A17)/('Weekly Tracker'!$J$2:$J$766&lt;&gt;""),'Weekly Tracker'!$J$2:$J$766),"")</f>
        <v/>
      </c>
      <c r="K17" s="9">
        <f>IFERROR(LOOKUP(2,1/('Weekly Tracker'!$E$2:$E$766=$A17)/('Weekly Tracker'!$N$2:$N$766&lt;&gt;""),'Weekly Tracker'!$N$2:$N$766),"")</f>
        <v/>
      </c>
      <c r="L17" s="9">
        <f>IFERROR(LOOKUP(2,1/('Weekly Tracker'!$E$2:$E$766=$A17)/('Weekly Tracker'!$O$2:$O$766&lt;&gt;""),'Weekly Tracker'!$O$2:$O$766),"")</f>
        <v/>
      </c>
    </row>
    <row r="18">
      <c r="A18" s="9" t="inlineStr">
        <is>
          <t>School</t>
        </is>
      </c>
      <c r="B18" s="9" t="n"/>
      <c r="C18" s="9" t="n"/>
      <c r="D18" s="9" t="n"/>
      <c r="E18" s="9" t="n"/>
      <c r="F18" s="9">
        <f>IFERROR(LOOKUP(2,1/('Weekly Tracker'!$E$2:$E$766=$A18)/('Weekly Tracker'!$F$2:$F$766&lt;&gt;""),'Weekly Tracker'!$F$2:$F$766),"")</f>
        <v/>
      </c>
      <c r="G18" s="16">
        <f>IF(F18&lt;&gt;"",LOOKUP(2,1/('Weekly Tracker'!$E$2:$E$766=$A18)/('Weekly Tracker'!$F$2:$F$766&lt;&gt;""),'Weekly Tracker'!$G$2:$G$766),"")</f>
        <v/>
      </c>
      <c r="H18" s="9">
        <f>IFERROR(LOOKUP(2,1/('Weekly Tracker'!$E$2:$E$766=$A18)/('Weekly Tracker'!$H$2:$H$766&lt;&gt;""),'Weekly Tracker'!$H$2:$H$766),"")</f>
        <v/>
      </c>
      <c r="I18" s="16">
        <f>IF(H18&lt;&gt;"",LOOKUP(2,1/('Weekly Tracker'!$E$2:$E$766=$A18)/('Weekly Tracker'!$H$2:$H$766&lt;&gt;""),'Weekly Tracker'!$I$2:$I$766),"")</f>
        <v/>
      </c>
      <c r="J18" s="9">
        <f>IFERROR(LOOKUP(2,1/('Weekly Tracker'!$E$2:$E$766=$A18)/('Weekly Tracker'!$J$2:$J$766&lt;&gt;""),'Weekly Tracker'!$J$2:$J$766),"")</f>
        <v/>
      </c>
      <c r="K18" s="9">
        <f>IFERROR(LOOKUP(2,1/('Weekly Tracker'!$E$2:$E$766=$A18)/('Weekly Tracker'!$N$2:$N$766&lt;&gt;""),'Weekly Tracker'!$N$2:$N$766),"")</f>
        <v/>
      </c>
      <c r="L18" s="9">
        <f>IFERROR(LOOKUP(2,1/('Weekly Tracker'!$E$2:$E$766=$A18)/('Weekly Tracker'!$O$2:$O$766&lt;&gt;""),'Weekly Tracker'!$O$2:$O$766),"")</f>
        <v/>
      </c>
    </row>
    <row r="19">
      <c r="A19" s="9" t="inlineStr">
        <is>
          <t>Mathan Kumar FB</t>
        </is>
      </c>
      <c r="B19" s="9" t="inlineStr">
        <is>
          <t>6380108044, 9092455151, 90924 55151</t>
        </is>
      </c>
      <c r="C19" s="9" t="n"/>
      <c r="D19" s="9" t="n"/>
      <c r="E19" s="9" t="n"/>
      <c r="F19" s="9">
        <f>IFERROR(LOOKUP(2,1/('Weekly Tracker'!$E$2:$E$766=$A19)/('Weekly Tracker'!$F$2:$F$766&lt;&gt;""),'Weekly Tracker'!$F$2:$F$766),"")</f>
        <v/>
      </c>
      <c r="G19" s="16">
        <f>IF(F19&lt;&gt;"",LOOKUP(2,1/('Weekly Tracker'!$E$2:$E$766=$A19)/('Weekly Tracker'!$F$2:$F$766&lt;&gt;""),'Weekly Tracker'!$G$2:$G$766),"")</f>
        <v/>
      </c>
      <c r="H19" s="9">
        <f>IFERROR(LOOKUP(2,1/('Weekly Tracker'!$E$2:$E$766=$A19)/('Weekly Tracker'!$H$2:$H$766&lt;&gt;""),'Weekly Tracker'!$H$2:$H$766),"")</f>
        <v/>
      </c>
      <c r="I19" s="16">
        <f>IF(H19&lt;&gt;"",LOOKUP(2,1/('Weekly Tracker'!$E$2:$E$766=$A19)/('Weekly Tracker'!$H$2:$H$766&lt;&gt;""),'Weekly Tracker'!$I$2:$I$766),"")</f>
        <v/>
      </c>
      <c r="J19" s="9">
        <f>IFERROR(LOOKUP(2,1/('Weekly Tracker'!$E$2:$E$766=$A19)/('Weekly Tracker'!$J$2:$J$766&lt;&gt;""),'Weekly Tracker'!$J$2:$J$766),"")</f>
        <v/>
      </c>
      <c r="K19" s="9">
        <f>IFERROR(LOOKUP(2,1/('Weekly Tracker'!$E$2:$E$766=$A19)/('Weekly Tracker'!$N$2:$N$766&lt;&gt;""),'Weekly Tracker'!$N$2:$N$766),"")</f>
        <v/>
      </c>
      <c r="L19" s="9">
        <f>IFERROR(LOOKUP(2,1/('Weekly Tracker'!$E$2:$E$766=$A19)/('Weekly Tracker'!$O$2:$O$766&lt;&gt;""),'Weekly Tracker'!$O$2:$O$766),"")</f>
        <v/>
      </c>
    </row>
    <row r="20">
      <c r="A20" s="9" t="inlineStr">
        <is>
          <t>Mani Jaikrish FB</t>
        </is>
      </c>
      <c r="B20" s="9" t="inlineStr">
        <is>
          <t>919206477402, +91 92064 77402</t>
        </is>
      </c>
      <c r="C20" s="9" t="n"/>
      <c r="D20" s="9" t="n"/>
      <c r="E20" s="9" t="n"/>
      <c r="F20" s="9">
        <f>IFERROR(LOOKUP(2,1/('Weekly Tracker'!$E$2:$E$766=$A20)/('Weekly Tracker'!$F$2:$F$766&lt;&gt;""),'Weekly Tracker'!$F$2:$F$766),"")</f>
        <v/>
      </c>
      <c r="G20" s="16">
        <f>IF(F20&lt;&gt;"",LOOKUP(2,1/('Weekly Tracker'!$E$2:$E$766=$A20)/('Weekly Tracker'!$F$2:$F$766&lt;&gt;""),'Weekly Tracker'!$G$2:$G$766),"")</f>
        <v/>
      </c>
      <c r="H20" s="9">
        <f>IFERROR(LOOKUP(2,1/('Weekly Tracker'!$E$2:$E$766=$A20)/('Weekly Tracker'!$H$2:$H$766&lt;&gt;""),'Weekly Tracker'!$H$2:$H$766),"")</f>
        <v/>
      </c>
      <c r="I20" s="16">
        <f>IF(H20&lt;&gt;"",LOOKUP(2,1/('Weekly Tracker'!$E$2:$E$766=$A20)/('Weekly Tracker'!$H$2:$H$766&lt;&gt;""),'Weekly Tracker'!$I$2:$I$766),"")</f>
        <v/>
      </c>
      <c r="J20" s="9">
        <f>IFERROR(LOOKUP(2,1/('Weekly Tracker'!$E$2:$E$766=$A20)/('Weekly Tracker'!$J$2:$J$766&lt;&gt;""),'Weekly Tracker'!$J$2:$J$766),"")</f>
        <v/>
      </c>
      <c r="K20" s="9">
        <f>IFERROR(LOOKUP(2,1/('Weekly Tracker'!$E$2:$E$766=$A20)/('Weekly Tracker'!$N$2:$N$766&lt;&gt;""),'Weekly Tracker'!$N$2:$N$766),"")</f>
        <v/>
      </c>
      <c r="L20" s="9">
        <f>IFERROR(LOOKUP(2,1/('Weekly Tracker'!$E$2:$E$766=$A20)/('Weekly Tracker'!$O$2:$O$766&lt;&gt;""),'Weekly Tracker'!$O$2:$O$766),"")</f>
        <v/>
      </c>
    </row>
    <row r="21">
      <c r="A21" s="9" t="inlineStr">
        <is>
          <t>Ajith Kumar Grp Ucen</t>
        </is>
      </c>
      <c r="B21" s="9" t="inlineStr">
        <is>
          <t>917402769024</t>
        </is>
      </c>
      <c r="C21" s="9" t="n"/>
      <c r="D21" s="9" t="n"/>
      <c r="E21" s="9" t="n"/>
      <c r="F21" s="9">
        <f>IFERROR(LOOKUP(2,1/('Weekly Tracker'!$E$2:$E$766=$A21)/('Weekly Tracker'!$F$2:$F$766&lt;&gt;""),'Weekly Tracker'!$F$2:$F$766),"")</f>
        <v/>
      </c>
      <c r="G21" s="16">
        <f>IF(F21&lt;&gt;"",LOOKUP(2,1/('Weekly Tracker'!$E$2:$E$766=$A21)/('Weekly Tracker'!$F$2:$F$766&lt;&gt;""),'Weekly Tracker'!$G$2:$G$766),"")</f>
        <v/>
      </c>
      <c r="H21" s="9">
        <f>IFERROR(LOOKUP(2,1/('Weekly Tracker'!$E$2:$E$766=$A21)/('Weekly Tracker'!$H$2:$H$766&lt;&gt;""),'Weekly Tracker'!$H$2:$H$766),"")</f>
        <v/>
      </c>
      <c r="I21" s="16">
        <f>IF(H21&lt;&gt;"",LOOKUP(2,1/('Weekly Tracker'!$E$2:$E$766=$A21)/('Weekly Tracker'!$H$2:$H$766&lt;&gt;""),'Weekly Tracker'!$I$2:$I$766),"")</f>
        <v/>
      </c>
      <c r="J21" s="9">
        <f>IFERROR(LOOKUP(2,1/('Weekly Tracker'!$E$2:$E$766=$A21)/('Weekly Tracker'!$J$2:$J$766&lt;&gt;""),'Weekly Tracker'!$J$2:$J$766),"")</f>
        <v/>
      </c>
      <c r="K21" s="9">
        <f>IFERROR(LOOKUP(2,1/('Weekly Tracker'!$E$2:$E$766=$A21)/('Weekly Tracker'!$N$2:$N$766&lt;&gt;""),'Weekly Tracker'!$N$2:$N$766),"")</f>
        <v/>
      </c>
      <c r="L21" s="9">
        <f>IFERROR(LOOKUP(2,1/('Weekly Tracker'!$E$2:$E$766=$A21)/('Weekly Tracker'!$O$2:$O$766&lt;&gt;""),'Weekly Tracker'!$O$2:$O$766),"")</f>
        <v/>
      </c>
    </row>
    <row r="22">
      <c r="A22" s="9" t="inlineStr">
        <is>
          <t>VP VenkadeshaPerumal</t>
        </is>
      </c>
      <c r="B22" s="9" t="inlineStr">
        <is>
          <t>8807791011</t>
        </is>
      </c>
      <c r="C22" s="9" t="n"/>
      <c r="D22" s="9" t="n"/>
      <c r="E22" s="9" t="n"/>
      <c r="F22" s="9">
        <f>IFERROR(LOOKUP(2,1/('Weekly Tracker'!$E$2:$E$766=$A22)/('Weekly Tracker'!$F$2:$F$766&lt;&gt;""),'Weekly Tracker'!$F$2:$F$766),"")</f>
        <v/>
      </c>
      <c r="G22" s="16">
        <f>IF(F22&lt;&gt;"",LOOKUP(2,1/('Weekly Tracker'!$E$2:$E$766=$A22)/('Weekly Tracker'!$F$2:$F$766&lt;&gt;""),'Weekly Tracker'!$G$2:$G$766),"")</f>
        <v/>
      </c>
      <c r="H22" s="9">
        <f>IFERROR(LOOKUP(2,1/('Weekly Tracker'!$E$2:$E$766=$A22)/('Weekly Tracker'!$H$2:$H$766&lt;&gt;""),'Weekly Tracker'!$H$2:$H$766),"")</f>
        <v/>
      </c>
      <c r="I22" s="16">
        <f>IF(H22&lt;&gt;"",LOOKUP(2,1/('Weekly Tracker'!$E$2:$E$766=$A22)/('Weekly Tracker'!$H$2:$H$766&lt;&gt;""),'Weekly Tracker'!$I$2:$I$766),"")</f>
        <v/>
      </c>
      <c r="J22" s="9">
        <f>IFERROR(LOOKUP(2,1/('Weekly Tracker'!$E$2:$E$766=$A22)/('Weekly Tracker'!$J$2:$J$766&lt;&gt;""),'Weekly Tracker'!$J$2:$J$766),"")</f>
        <v/>
      </c>
      <c r="K22" s="9">
        <f>IFERROR(LOOKUP(2,1/('Weekly Tracker'!$E$2:$E$766=$A22)/('Weekly Tracker'!$N$2:$N$766&lt;&gt;""),'Weekly Tracker'!$N$2:$N$766),"")</f>
        <v/>
      </c>
      <c r="L22" s="9">
        <f>IFERROR(LOOKUP(2,1/('Weekly Tracker'!$E$2:$E$766=$A22)/('Weekly Tracker'!$O$2:$O$766&lt;&gt;""),'Weekly Tracker'!$O$2:$O$766),"")</f>
        <v/>
      </c>
    </row>
    <row r="23">
      <c r="A23" s="9" t="inlineStr">
        <is>
          <t>Rakesh TL Urja</t>
        </is>
      </c>
      <c r="B23" s="9" t="inlineStr">
        <is>
          <t>919791063268</t>
        </is>
      </c>
      <c r="C23" s="9" t="n"/>
      <c r="D23" s="9" t="n"/>
      <c r="E23" s="9" t="n"/>
      <c r="F23" s="9">
        <f>IFERROR(LOOKUP(2,1/('Weekly Tracker'!$E$2:$E$766=$A23)/('Weekly Tracker'!$F$2:$F$766&lt;&gt;""),'Weekly Tracker'!$F$2:$F$766),"")</f>
        <v/>
      </c>
      <c r="G23" s="16">
        <f>IF(F23&lt;&gt;"",LOOKUP(2,1/('Weekly Tracker'!$E$2:$E$766=$A23)/('Weekly Tracker'!$F$2:$F$766&lt;&gt;""),'Weekly Tracker'!$G$2:$G$766),"")</f>
        <v/>
      </c>
      <c r="H23" s="9">
        <f>IFERROR(LOOKUP(2,1/('Weekly Tracker'!$E$2:$E$766=$A23)/('Weekly Tracker'!$H$2:$H$766&lt;&gt;""),'Weekly Tracker'!$H$2:$H$766),"")</f>
        <v/>
      </c>
      <c r="I23" s="16">
        <f>IF(H23&lt;&gt;"",LOOKUP(2,1/('Weekly Tracker'!$E$2:$E$766=$A23)/('Weekly Tracker'!$H$2:$H$766&lt;&gt;""),'Weekly Tracker'!$I$2:$I$766),"")</f>
        <v/>
      </c>
      <c r="J23" s="9">
        <f>IFERROR(LOOKUP(2,1/('Weekly Tracker'!$E$2:$E$766=$A23)/('Weekly Tracker'!$J$2:$J$766&lt;&gt;""),'Weekly Tracker'!$J$2:$J$766),"")</f>
        <v/>
      </c>
      <c r="K23" s="9">
        <f>IFERROR(LOOKUP(2,1/('Weekly Tracker'!$E$2:$E$766=$A23)/('Weekly Tracker'!$N$2:$N$766&lt;&gt;""),'Weekly Tracker'!$N$2:$N$766),"")</f>
        <v/>
      </c>
      <c r="L23" s="9">
        <f>IFERROR(LOOKUP(2,1/('Weekly Tracker'!$E$2:$E$766=$A23)/('Weekly Tracker'!$O$2:$O$766&lt;&gt;""),'Weekly Tracker'!$O$2:$O$766),"")</f>
        <v/>
      </c>
    </row>
    <row r="24">
      <c r="A24" s="9" t="inlineStr">
        <is>
          <t>Anbu Arasan Urja</t>
        </is>
      </c>
      <c r="B24" s="9" t="inlineStr">
        <is>
          <t>917418262653, 919626452984</t>
        </is>
      </c>
      <c r="C24" s="9" t="n"/>
      <c r="D24" s="9" t="n"/>
      <c r="E24" s="9" t="n"/>
      <c r="F24" s="9">
        <f>IFERROR(LOOKUP(2,1/('Weekly Tracker'!$E$2:$E$766=$A24)/('Weekly Tracker'!$F$2:$F$766&lt;&gt;""),'Weekly Tracker'!$F$2:$F$766),"")</f>
        <v/>
      </c>
      <c r="G24" s="16">
        <f>IF(F24&lt;&gt;"",LOOKUP(2,1/('Weekly Tracker'!$E$2:$E$766=$A24)/('Weekly Tracker'!$F$2:$F$766&lt;&gt;""),'Weekly Tracker'!$G$2:$G$766),"")</f>
        <v/>
      </c>
      <c r="H24" s="9">
        <f>IFERROR(LOOKUP(2,1/('Weekly Tracker'!$E$2:$E$766=$A24)/('Weekly Tracker'!$H$2:$H$766&lt;&gt;""),'Weekly Tracker'!$H$2:$H$766),"")</f>
        <v/>
      </c>
      <c r="I24" s="16">
        <f>IF(H24&lt;&gt;"",LOOKUP(2,1/('Weekly Tracker'!$E$2:$E$766=$A24)/('Weekly Tracker'!$H$2:$H$766&lt;&gt;""),'Weekly Tracker'!$I$2:$I$766),"")</f>
        <v/>
      </c>
      <c r="J24" s="9">
        <f>IFERROR(LOOKUP(2,1/('Weekly Tracker'!$E$2:$E$766=$A24)/('Weekly Tracker'!$J$2:$J$766&lt;&gt;""),'Weekly Tracker'!$J$2:$J$766),"")</f>
        <v/>
      </c>
      <c r="K24" s="9">
        <f>IFERROR(LOOKUP(2,1/('Weekly Tracker'!$E$2:$E$766=$A24)/('Weekly Tracker'!$N$2:$N$766&lt;&gt;""),'Weekly Tracker'!$N$2:$N$766),"")</f>
        <v/>
      </c>
      <c r="L24" s="9">
        <f>IFERROR(LOOKUP(2,1/('Weekly Tracker'!$E$2:$E$766=$A24)/('Weekly Tracker'!$O$2:$O$766&lt;&gt;""),'Weekly Tracker'!$O$2:$O$766),"")</f>
        <v/>
      </c>
    </row>
    <row r="25">
      <c r="A25" s="9" t="inlineStr">
        <is>
          <t>Suresh Dada FB</t>
        </is>
      </c>
      <c r="B25" s="9" t="inlineStr">
        <is>
          <t>919489801803</t>
        </is>
      </c>
      <c r="C25" s="9" t="n"/>
      <c r="D25" s="9" t="n"/>
      <c r="E25" s="9" t="n"/>
      <c r="F25" s="9">
        <f>IFERROR(LOOKUP(2,1/('Weekly Tracker'!$E$2:$E$766=$A25)/('Weekly Tracker'!$F$2:$F$766&lt;&gt;""),'Weekly Tracker'!$F$2:$F$766),"")</f>
        <v/>
      </c>
      <c r="G25" s="16">
        <f>IF(F25&lt;&gt;"",LOOKUP(2,1/('Weekly Tracker'!$E$2:$E$766=$A25)/('Weekly Tracker'!$F$2:$F$766&lt;&gt;""),'Weekly Tracker'!$G$2:$G$766),"")</f>
        <v/>
      </c>
      <c r="H25" s="9">
        <f>IFERROR(LOOKUP(2,1/('Weekly Tracker'!$E$2:$E$766=$A25)/('Weekly Tracker'!$H$2:$H$766&lt;&gt;""),'Weekly Tracker'!$H$2:$H$766),"")</f>
        <v/>
      </c>
      <c r="I25" s="16">
        <f>IF(H25&lt;&gt;"",LOOKUP(2,1/('Weekly Tracker'!$E$2:$E$766=$A25)/('Weekly Tracker'!$H$2:$H$766&lt;&gt;""),'Weekly Tracker'!$I$2:$I$766),"")</f>
        <v/>
      </c>
      <c r="J25" s="9">
        <f>IFERROR(LOOKUP(2,1/('Weekly Tracker'!$E$2:$E$766=$A25)/('Weekly Tracker'!$J$2:$J$766&lt;&gt;""),'Weekly Tracker'!$J$2:$J$766),"")</f>
        <v/>
      </c>
      <c r="K25" s="9">
        <f>IFERROR(LOOKUP(2,1/('Weekly Tracker'!$E$2:$E$766=$A25)/('Weekly Tracker'!$N$2:$N$766&lt;&gt;""),'Weekly Tracker'!$N$2:$N$766),"")</f>
        <v/>
      </c>
      <c r="L25" s="9">
        <f>IFERROR(LOOKUP(2,1/('Weekly Tracker'!$E$2:$E$766=$A25)/('Weekly Tracker'!$O$2:$O$766&lt;&gt;""),'Weekly Tracker'!$O$2:$O$766),"")</f>
        <v/>
      </c>
    </row>
    <row r="26">
      <c r="A26" s="9" t="inlineStr">
        <is>
          <t>Bala Murugan FB</t>
        </is>
      </c>
      <c r="B26" s="9" t="inlineStr">
        <is>
          <t>9486622065, 7598704205, +91 91762 46373, 94866 22065</t>
        </is>
      </c>
      <c r="C26" s="9" t="n"/>
      <c r="D26" s="9" t="n"/>
      <c r="E26" s="9" t="n"/>
      <c r="F26" s="9">
        <f>IFERROR(LOOKUP(2,1/('Weekly Tracker'!$E$2:$E$766=$A26)/('Weekly Tracker'!$F$2:$F$766&lt;&gt;""),'Weekly Tracker'!$F$2:$F$766),"")</f>
        <v/>
      </c>
      <c r="G26" s="16">
        <f>IF(F26&lt;&gt;"",LOOKUP(2,1/('Weekly Tracker'!$E$2:$E$766=$A26)/('Weekly Tracker'!$F$2:$F$766&lt;&gt;""),'Weekly Tracker'!$G$2:$G$766),"")</f>
        <v/>
      </c>
      <c r="H26" s="9">
        <f>IFERROR(LOOKUP(2,1/('Weekly Tracker'!$E$2:$E$766=$A26)/('Weekly Tracker'!$H$2:$H$766&lt;&gt;""),'Weekly Tracker'!$H$2:$H$766),"")</f>
        <v/>
      </c>
      <c r="I26" s="16">
        <f>IF(H26&lt;&gt;"",LOOKUP(2,1/('Weekly Tracker'!$E$2:$E$766=$A26)/('Weekly Tracker'!$H$2:$H$766&lt;&gt;""),'Weekly Tracker'!$I$2:$I$766),"")</f>
        <v/>
      </c>
      <c r="J26" s="9">
        <f>IFERROR(LOOKUP(2,1/('Weekly Tracker'!$E$2:$E$766=$A26)/('Weekly Tracker'!$J$2:$J$766&lt;&gt;""),'Weekly Tracker'!$J$2:$J$766),"")</f>
        <v/>
      </c>
      <c r="K26" s="9">
        <f>IFERROR(LOOKUP(2,1/('Weekly Tracker'!$E$2:$E$766=$A26)/('Weekly Tracker'!$N$2:$N$766&lt;&gt;""),'Weekly Tracker'!$N$2:$N$766),"")</f>
        <v/>
      </c>
      <c r="L26" s="9">
        <f>IFERROR(LOOKUP(2,1/('Weekly Tracker'!$E$2:$E$766=$A26)/('Weekly Tracker'!$O$2:$O$766&lt;&gt;""),'Weekly Tracker'!$O$2:$O$766),"")</f>
        <v/>
      </c>
    </row>
    <row r="27">
      <c r="A27" s="9" t="inlineStr">
        <is>
          <t>Rajesh Sekar FB</t>
        </is>
      </c>
      <c r="B27" s="9" t="inlineStr">
        <is>
          <t>917639239885, +91 76392 39885</t>
        </is>
      </c>
      <c r="C27" s="9" t="n"/>
      <c r="D27" s="9" t="n"/>
      <c r="E27" s="9" t="n"/>
      <c r="F27" s="9">
        <f>IFERROR(LOOKUP(2,1/('Weekly Tracker'!$E$2:$E$766=$A27)/('Weekly Tracker'!$F$2:$F$766&lt;&gt;""),'Weekly Tracker'!$F$2:$F$766),"")</f>
        <v/>
      </c>
      <c r="G27" s="16">
        <f>IF(F27&lt;&gt;"",LOOKUP(2,1/('Weekly Tracker'!$E$2:$E$766=$A27)/('Weekly Tracker'!$F$2:$F$766&lt;&gt;""),'Weekly Tracker'!$G$2:$G$766),"")</f>
        <v/>
      </c>
      <c r="H27" s="9">
        <f>IFERROR(LOOKUP(2,1/('Weekly Tracker'!$E$2:$E$766=$A27)/('Weekly Tracker'!$H$2:$H$766&lt;&gt;""),'Weekly Tracker'!$H$2:$H$766),"")</f>
        <v/>
      </c>
      <c r="I27" s="16">
        <f>IF(H27&lt;&gt;"",LOOKUP(2,1/('Weekly Tracker'!$E$2:$E$766=$A27)/('Weekly Tracker'!$H$2:$H$766&lt;&gt;""),'Weekly Tracker'!$I$2:$I$766),"")</f>
        <v/>
      </c>
      <c r="J27" s="9">
        <f>IFERROR(LOOKUP(2,1/('Weekly Tracker'!$E$2:$E$766=$A27)/('Weekly Tracker'!$J$2:$J$766&lt;&gt;""),'Weekly Tracker'!$J$2:$J$766),"")</f>
        <v/>
      </c>
      <c r="K27" s="9">
        <f>IFERROR(LOOKUP(2,1/('Weekly Tracker'!$E$2:$E$766=$A27)/('Weekly Tracker'!$N$2:$N$766&lt;&gt;""),'Weekly Tracker'!$N$2:$N$766),"")</f>
        <v/>
      </c>
      <c r="L27" s="9">
        <f>IFERROR(LOOKUP(2,1/('Weekly Tracker'!$E$2:$E$766=$A27)/('Weekly Tracker'!$O$2:$O$766&lt;&gt;""),'Weekly Tracker'!$O$2:$O$766),"")</f>
        <v/>
      </c>
    </row>
    <row r="28">
      <c r="A28" s="9" t="inlineStr">
        <is>
          <t>Sai Adithya FB</t>
        </is>
      </c>
      <c r="B28" s="9" t="inlineStr">
        <is>
          <t>917358758870</t>
        </is>
      </c>
      <c r="C28" s="9" t="n"/>
      <c r="D28" s="9" t="n"/>
      <c r="E28" s="9" t="n"/>
      <c r="F28" s="9">
        <f>IFERROR(LOOKUP(2,1/('Weekly Tracker'!$E$2:$E$766=$A28)/('Weekly Tracker'!$F$2:$F$766&lt;&gt;""),'Weekly Tracker'!$F$2:$F$766),"")</f>
        <v/>
      </c>
      <c r="G28" s="16">
        <f>IF(F28&lt;&gt;"",LOOKUP(2,1/('Weekly Tracker'!$E$2:$E$766=$A28)/('Weekly Tracker'!$F$2:$F$766&lt;&gt;""),'Weekly Tracker'!$G$2:$G$766),"")</f>
        <v/>
      </c>
      <c r="H28" s="9">
        <f>IFERROR(LOOKUP(2,1/('Weekly Tracker'!$E$2:$E$766=$A28)/('Weekly Tracker'!$H$2:$H$766&lt;&gt;""),'Weekly Tracker'!$H$2:$H$766),"")</f>
        <v/>
      </c>
      <c r="I28" s="16">
        <f>IF(H28&lt;&gt;"",LOOKUP(2,1/('Weekly Tracker'!$E$2:$E$766=$A28)/('Weekly Tracker'!$H$2:$H$766&lt;&gt;""),'Weekly Tracker'!$I$2:$I$766),"")</f>
        <v/>
      </c>
      <c r="J28" s="9">
        <f>IFERROR(LOOKUP(2,1/('Weekly Tracker'!$E$2:$E$766=$A28)/('Weekly Tracker'!$J$2:$J$766&lt;&gt;""),'Weekly Tracker'!$J$2:$J$766),"")</f>
        <v/>
      </c>
      <c r="K28" s="9">
        <f>IFERROR(LOOKUP(2,1/('Weekly Tracker'!$E$2:$E$766=$A28)/('Weekly Tracker'!$N$2:$N$766&lt;&gt;""),'Weekly Tracker'!$N$2:$N$766),"")</f>
        <v/>
      </c>
      <c r="L28" s="9">
        <f>IFERROR(LOOKUP(2,1/('Weekly Tracker'!$E$2:$E$766=$A28)/('Weekly Tracker'!$O$2:$O$766&lt;&gt;""),'Weekly Tracker'!$O$2:$O$766),"")</f>
        <v/>
      </c>
    </row>
    <row r="29">
      <c r="A29" s="9" t="inlineStr">
        <is>
          <t>Niranjan Past Urja</t>
        </is>
      </c>
      <c r="B29" s="9" t="inlineStr">
        <is>
          <t>918939230269</t>
        </is>
      </c>
      <c r="C29" s="9" t="n"/>
      <c r="D29" s="9" t="n"/>
      <c r="E29" s="9" t="n"/>
      <c r="F29" s="9">
        <f>IFERROR(LOOKUP(2,1/('Weekly Tracker'!$E$2:$E$766=$A29)/('Weekly Tracker'!$F$2:$F$766&lt;&gt;""),'Weekly Tracker'!$F$2:$F$766),"")</f>
        <v/>
      </c>
      <c r="G29" s="16">
        <f>IF(F29&lt;&gt;"",LOOKUP(2,1/('Weekly Tracker'!$E$2:$E$766=$A29)/('Weekly Tracker'!$F$2:$F$766&lt;&gt;""),'Weekly Tracker'!$G$2:$G$766),"")</f>
        <v/>
      </c>
      <c r="H29" s="9">
        <f>IFERROR(LOOKUP(2,1/('Weekly Tracker'!$E$2:$E$766=$A29)/('Weekly Tracker'!$H$2:$H$766&lt;&gt;""),'Weekly Tracker'!$H$2:$H$766),"")</f>
        <v/>
      </c>
      <c r="I29" s="16">
        <f>IF(H29&lt;&gt;"",LOOKUP(2,1/('Weekly Tracker'!$E$2:$E$766=$A29)/('Weekly Tracker'!$H$2:$H$766&lt;&gt;""),'Weekly Tracker'!$I$2:$I$766),"")</f>
        <v/>
      </c>
      <c r="J29" s="9">
        <f>IFERROR(LOOKUP(2,1/('Weekly Tracker'!$E$2:$E$766=$A29)/('Weekly Tracker'!$J$2:$J$766&lt;&gt;""),'Weekly Tracker'!$J$2:$J$766),"")</f>
        <v/>
      </c>
      <c r="K29" s="9">
        <f>IFERROR(LOOKUP(2,1/('Weekly Tracker'!$E$2:$E$766=$A29)/('Weekly Tracker'!$N$2:$N$766&lt;&gt;""),'Weekly Tracker'!$N$2:$N$766),"")</f>
        <v/>
      </c>
      <c r="L29" s="9">
        <f>IFERROR(LOOKUP(2,1/('Weekly Tracker'!$E$2:$E$766=$A29)/('Weekly Tracker'!$O$2:$O$766&lt;&gt;""),'Weekly Tracker'!$O$2:$O$766),"")</f>
        <v/>
      </c>
    </row>
    <row r="30">
      <c r="A30" s="9" t="inlineStr">
        <is>
          <t>Ajith Kumar Grp UCEN</t>
        </is>
      </c>
      <c r="B30" s="9" t="inlineStr">
        <is>
          <t>919655944652</t>
        </is>
      </c>
      <c r="C30" s="9" t="n"/>
      <c r="D30" s="9" t="n"/>
      <c r="E30" s="9" t="n"/>
      <c r="F30" s="9">
        <f>IFERROR(LOOKUP(2,1/('Weekly Tracker'!$E$2:$E$766=$A30)/('Weekly Tracker'!$F$2:$F$766&lt;&gt;""),'Weekly Tracker'!$F$2:$F$766),"")</f>
        <v/>
      </c>
      <c r="G30" s="16">
        <f>IF(F30&lt;&gt;"",LOOKUP(2,1/('Weekly Tracker'!$E$2:$E$766=$A30)/('Weekly Tracker'!$F$2:$F$766&lt;&gt;""),'Weekly Tracker'!$G$2:$G$766),"")</f>
        <v/>
      </c>
      <c r="H30" s="9">
        <f>IFERROR(LOOKUP(2,1/('Weekly Tracker'!$E$2:$E$766=$A30)/('Weekly Tracker'!$H$2:$H$766&lt;&gt;""),'Weekly Tracker'!$H$2:$H$766),"")</f>
        <v/>
      </c>
      <c r="I30" s="16">
        <f>IF(H30&lt;&gt;"",LOOKUP(2,1/('Weekly Tracker'!$E$2:$E$766=$A30)/('Weekly Tracker'!$H$2:$H$766&lt;&gt;""),'Weekly Tracker'!$I$2:$I$766),"")</f>
        <v/>
      </c>
      <c r="J30" s="9">
        <f>IFERROR(LOOKUP(2,1/('Weekly Tracker'!$E$2:$E$766=$A30)/('Weekly Tracker'!$J$2:$J$766&lt;&gt;""),'Weekly Tracker'!$J$2:$J$766),"")</f>
        <v/>
      </c>
      <c r="K30" s="9">
        <f>IFERROR(LOOKUP(2,1/('Weekly Tracker'!$E$2:$E$766=$A30)/('Weekly Tracker'!$N$2:$N$766&lt;&gt;""),'Weekly Tracker'!$N$2:$N$766),"")</f>
        <v/>
      </c>
      <c r="L30" s="9">
        <f>IFERROR(LOOKUP(2,1/('Weekly Tracker'!$E$2:$E$766=$A30)/('Weekly Tracker'!$O$2:$O$766&lt;&gt;""),'Weekly Tracker'!$O$2:$O$766),"")</f>
        <v/>
      </c>
    </row>
    <row r="31">
      <c r="A31" s="9" t="inlineStr">
        <is>
          <t>Mahenren Scl Bang</t>
        </is>
      </c>
      <c r="B31" s="9" t="inlineStr">
        <is>
          <t>919036174100</t>
        </is>
      </c>
      <c r="C31" s="9" t="n"/>
      <c r="D31" s="9" t="n"/>
      <c r="E31" s="9" t="n"/>
      <c r="F31" s="9">
        <f>IFERROR(LOOKUP(2,1/('Weekly Tracker'!$E$2:$E$766=$A31)/('Weekly Tracker'!$F$2:$F$766&lt;&gt;""),'Weekly Tracker'!$F$2:$F$766),"")</f>
        <v/>
      </c>
      <c r="G31" s="16">
        <f>IF(F31&lt;&gt;"",LOOKUP(2,1/('Weekly Tracker'!$E$2:$E$766=$A31)/('Weekly Tracker'!$F$2:$F$766&lt;&gt;""),'Weekly Tracker'!$G$2:$G$766),"")</f>
        <v/>
      </c>
      <c r="H31" s="9">
        <f>IFERROR(LOOKUP(2,1/('Weekly Tracker'!$E$2:$E$766=$A31)/('Weekly Tracker'!$H$2:$H$766&lt;&gt;""),'Weekly Tracker'!$H$2:$H$766),"")</f>
        <v/>
      </c>
      <c r="I31" s="16">
        <f>IF(H31&lt;&gt;"",LOOKUP(2,1/('Weekly Tracker'!$E$2:$E$766=$A31)/('Weekly Tracker'!$H$2:$H$766&lt;&gt;""),'Weekly Tracker'!$I$2:$I$766),"")</f>
        <v/>
      </c>
      <c r="J31" s="9">
        <f>IFERROR(LOOKUP(2,1/('Weekly Tracker'!$E$2:$E$766=$A31)/('Weekly Tracker'!$J$2:$J$766&lt;&gt;""),'Weekly Tracker'!$J$2:$J$766),"")</f>
        <v/>
      </c>
      <c r="K31" s="9">
        <f>IFERROR(LOOKUP(2,1/('Weekly Tracker'!$E$2:$E$766=$A31)/('Weekly Tracker'!$N$2:$N$766&lt;&gt;""),'Weekly Tracker'!$N$2:$N$766),"")</f>
        <v/>
      </c>
      <c r="L31" s="9">
        <f>IFERROR(LOOKUP(2,1/('Weekly Tracker'!$E$2:$E$766=$A31)/('Weekly Tracker'!$O$2:$O$766&lt;&gt;""),'Weekly Tracker'!$O$2:$O$766),"")</f>
        <v/>
      </c>
    </row>
    <row r="32">
      <c r="A32" s="9" t="inlineStr">
        <is>
          <t>Suresh FB</t>
        </is>
      </c>
      <c r="B32" s="9" t="inlineStr">
        <is>
          <t>919500565218, 9500566218, 95005 66218</t>
        </is>
      </c>
      <c r="C32" s="9" t="n"/>
      <c r="D32" s="9" t="n"/>
      <c r="E32" s="9" t="n"/>
      <c r="F32" s="9">
        <f>IFERROR(LOOKUP(2,1/('Weekly Tracker'!$E$2:$E$766=$A32)/('Weekly Tracker'!$F$2:$F$766&lt;&gt;""),'Weekly Tracker'!$F$2:$F$766),"")</f>
        <v/>
      </c>
      <c r="G32" s="16">
        <f>IF(F32&lt;&gt;"",LOOKUP(2,1/('Weekly Tracker'!$E$2:$E$766=$A32)/('Weekly Tracker'!$F$2:$F$766&lt;&gt;""),'Weekly Tracker'!$G$2:$G$766),"")</f>
        <v/>
      </c>
      <c r="H32" s="9">
        <f>IFERROR(LOOKUP(2,1/('Weekly Tracker'!$E$2:$E$766=$A32)/('Weekly Tracker'!$H$2:$H$766&lt;&gt;""),'Weekly Tracker'!$H$2:$H$766),"")</f>
        <v/>
      </c>
      <c r="I32" s="16">
        <f>IF(H32&lt;&gt;"",LOOKUP(2,1/('Weekly Tracker'!$E$2:$E$766=$A32)/('Weekly Tracker'!$H$2:$H$766&lt;&gt;""),'Weekly Tracker'!$I$2:$I$766),"")</f>
        <v/>
      </c>
      <c r="J32" s="9">
        <f>IFERROR(LOOKUP(2,1/('Weekly Tracker'!$E$2:$E$766=$A32)/('Weekly Tracker'!$J$2:$J$766&lt;&gt;""),'Weekly Tracker'!$J$2:$J$766),"")</f>
        <v/>
      </c>
      <c r="K32" s="9">
        <f>IFERROR(LOOKUP(2,1/('Weekly Tracker'!$E$2:$E$766=$A32)/('Weekly Tracker'!$N$2:$N$766&lt;&gt;""),'Weekly Tracker'!$N$2:$N$766),"")</f>
        <v/>
      </c>
      <c r="L32" s="9">
        <f>IFERROR(LOOKUP(2,1/('Weekly Tracker'!$E$2:$E$766=$A32)/('Weekly Tracker'!$O$2:$O$766&lt;&gt;""),'Weekly Tracker'!$O$2:$O$766),"")</f>
        <v/>
      </c>
    </row>
    <row r="33">
      <c r="A33" s="9" t="inlineStr">
        <is>
          <t>Anto C Singh FB</t>
        </is>
      </c>
      <c r="B33" s="9" t="inlineStr">
        <is>
          <t>8524881458</t>
        </is>
      </c>
      <c r="C33" s="9" t="n"/>
      <c r="D33" s="9" t="n"/>
      <c r="E33" s="9" t="n"/>
      <c r="F33" s="9">
        <f>IFERROR(LOOKUP(2,1/('Weekly Tracker'!$E$2:$E$766=$A33)/('Weekly Tracker'!$F$2:$F$766&lt;&gt;""),'Weekly Tracker'!$F$2:$F$766),"")</f>
        <v/>
      </c>
      <c r="G33" s="16">
        <f>IF(F33&lt;&gt;"",LOOKUP(2,1/('Weekly Tracker'!$E$2:$E$766=$A33)/('Weekly Tracker'!$F$2:$F$766&lt;&gt;""),'Weekly Tracker'!$G$2:$G$766),"")</f>
        <v/>
      </c>
      <c r="H33" s="9">
        <f>IFERROR(LOOKUP(2,1/('Weekly Tracker'!$E$2:$E$766=$A33)/('Weekly Tracker'!$H$2:$H$766&lt;&gt;""),'Weekly Tracker'!$H$2:$H$766),"")</f>
        <v/>
      </c>
      <c r="I33" s="16">
        <f>IF(H33&lt;&gt;"",LOOKUP(2,1/('Weekly Tracker'!$E$2:$E$766=$A33)/('Weekly Tracker'!$H$2:$H$766&lt;&gt;""),'Weekly Tracker'!$I$2:$I$766),"")</f>
        <v/>
      </c>
      <c r="J33" s="9">
        <f>IFERROR(LOOKUP(2,1/('Weekly Tracker'!$E$2:$E$766=$A33)/('Weekly Tracker'!$J$2:$J$766&lt;&gt;""),'Weekly Tracker'!$J$2:$J$766),"")</f>
        <v/>
      </c>
      <c r="K33" s="9">
        <f>IFERROR(LOOKUP(2,1/('Weekly Tracker'!$E$2:$E$766=$A33)/('Weekly Tracker'!$N$2:$N$766&lt;&gt;""),'Weekly Tracker'!$N$2:$N$766),"")</f>
        <v/>
      </c>
      <c r="L33" s="9">
        <f>IFERROR(LOOKUP(2,1/('Weekly Tracker'!$E$2:$E$766=$A33)/('Weekly Tracker'!$O$2:$O$766&lt;&gt;""),'Weekly Tracker'!$O$2:$O$766),"")</f>
        <v/>
      </c>
    </row>
    <row r="34">
      <c r="A34" s="9" t="inlineStr">
        <is>
          <t>Sai Sundar FB</t>
        </is>
      </c>
      <c r="B34" s="9" t="inlineStr">
        <is>
          <t>8220935924</t>
        </is>
      </c>
      <c r="C34" s="9" t="n"/>
      <c r="D34" s="9" t="n"/>
      <c r="E34" s="9" t="n"/>
      <c r="F34" s="9">
        <f>IFERROR(LOOKUP(2,1/('Weekly Tracker'!$E$2:$E$766=$A34)/('Weekly Tracker'!$F$2:$F$766&lt;&gt;""),'Weekly Tracker'!$F$2:$F$766),"")</f>
        <v/>
      </c>
      <c r="G34" s="16">
        <f>IF(F34&lt;&gt;"",LOOKUP(2,1/('Weekly Tracker'!$E$2:$E$766=$A34)/('Weekly Tracker'!$F$2:$F$766&lt;&gt;""),'Weekly Tracker'!$G$2:$G$766),"")</f>
        <v/>
      </c>
      <c r="H34" s="9">
        <f>IFERROR(LOOKUP(2,1/('Weekly Tracker'!$E$2:$E$766=$A34)/('Weekly Tracker'!$H$2:$H$766&lt;&gt;""),'Weekly Tracker'!$H$2:$H$766),"")</f>
        <v/>
      </c>
      <c r="I34" s="16">
        <f>IF(H34&lt;&gt;"",LOOKUP(2,1/('Weekly Tracker'!$E$2:$E$766=$A34)/('Weekly Tracker'!$H$2:$H$766&lt;&gt;""),'Weekly Tracker'!$I$2:$I$766),"")</f>
        <v/>
      </c>
      <c r="J34" s="9">
        <f>IFERROR(LOOKUP(2,1/('Weekly Tracker'!$E$2:$E$766=$A34)/('Weekly Tracker'!$J$2:$J$766&lt;&gt;""),'Weekly Tracker'!$J$2:$J$766),"")</f>
        <v/>
      </c>
      <c r="K34" s="9">
        <f>IFERROR(LOOKUP(2,1/('Weekly Tracker'!$E$2:$E$766=$A34)/('Weekly Tracker'!$N$2:$N$766&lt;&gt;""),'Weekly Tracker'!$N$2:$N$766),"")</f>
        <v/>
      </c>
      <c r="L34" s="9">
        <f>IFERROR(LOOKUP(2,1/('Weekly Tracker'!$E$2:$E$766=$A34)/('Weekly Tracker'!$O$2:$O$766&lt;&gt;""),'Weekly Tracker'!$O$2:$O$766),"")</f>
        <v/>
      </c>
    </row>
    <row r="35">
      <c r="A35" s="9" t="inlineStr">
        <is>
          <t>SMS Pack</t>
        </is>
      </c>
      <c r="B35" s="9" t="inlineStr">
        <is>
          <t>*333#</t>
        </is>
      </c>
      <c r="C35" s="9" t="n"/>
      <c r="D35" s="9" t="n"/>
      <c r="E35" s="9" t="n"/>
      <c r="F35" s="9">
        <f>IFERROR(LOOKUP(2,1/('Weekly Tracker'!$E$2:$E$766=$A35)/('Weekly Tracker'!$F$2:$F$766&lt;&gt;""),'Weekly Tracker'!$F$2:$F$766),"")</f>
        <v/>
      </c>
      <c r="G35" s="16">
        <f>IF(F35&lt;&gt;"",LOOKUP(2,1/('Weekly Tracker'!$E$2:$E$766=$A35)/('Weekly Tracker'!$F$2:$F$766&lt;&gt;""),'Weekly Tracker'!$G$2:$G$766),"")</f>
        <v/>
      </c>
      <c r="H35" s="9">
        <f>IFERROR(LOOKUP(2,1/('Weekly Tracker'!$E$2:$E$766=$A35)/('Weekly Tracker'!$H$2:$H$766&lt;&gt;""),'Weekly Tracker'!$H$2:$H$766),"")</f>
        <v/>
      </c>
      <c r="I35" s="16">
        <f>IF(H35&lt;&gt;"",LOOKUP(2,1/('Weekly Tracker'!$E$2:$E$766=$A35)/('Weekly Tracker'!$H$2:$H$766&lt;&gt;""),'Weekly Tracker'!$I$2:$I$766),"")</f>
        <v/>
      </c>
      <c r="J35" s="9">
        <f>IFERROR(LOOKUP(2,1/('Weekly Tracker'!$E$2:$E$766=$A35)/('Weekly Tracker'!$J$2:$J$766&lt;&gt;""),'Weekly Tracker'!$J$2:$J$766),"")</f>
        <v/>
      </c>
      <c r="K35" s="9">
        <f>IFERROR(LOOKUP(2,1/('Weekly Tracker'!$E$2:$E$766=$A35)/('Weekly Tracker'!$N$2:$N$766&lt;&gt;""),'Weekly Tracker'!$N$2:$N$766),"")</f>
        <v/>
      </c>
      <c r="L35" s="9">
        <f>IFERROR(LOOKUP(2,1/('Weekly Tracker'!$E$2:$E$766=$A35)/('Weekly Tracker'!$O$2:$O$766&lt;&gt;""),'Weekly Tracker'!$O$2:$O$766),"")</f>
        <v/>
      </c>
    </row>
    <row r="36">
      <c r="A36" s="9" t="inlineStr">
        <is>
          <t>my airtel</t>
        </is>
      </c>
      <c r="B36" s="9" t="inlineStr">
        <is>
          <t>*121#</t>
        </is>
      </c>
      <c r="C36" s="9" t="n"/>
      <c r="D36" s="9" t="n"/>
      <c r="E36" s="9" t="n"/>
      <c r="F36" s="9">
        <f>IFERROR(LOOKUP(2,1/('Weekly Tracker'!$E$2:$E$766=$A36)/('Weekly Tracker'!$F$2:$F$766&lt;&gt;""),'Weekly Tracker'!$F$2:$F$766),"")</f>
        <v/>
      </c>
      <c r="G36" s="16">
        <f>IF(F36&lt;&gt;"",LOOKUP(2,1/('Weekly Tracker'!$E$2:$E$766=$A36)/('Weekly Tracker'!$F$2:$F$766&lt;&gt;""),'Weekly Tracker'!$G$2:$G$766),"")</f>
        <v/>
      </c>
      <c r="H36" s="9">
        <f>IFERROR(LOOKUP(2,1/('Weekly Tracker'!$E$2:$E$766=$A36)/('Weekly Tracker'!$H$2:$H$766&lt;&gt;""),'Weekly Tracker'!$H$2:$H$766),"")</f>
        <v/>
      </c>
      <c r="I36" s="16">
        <f>IF(H36&lt;&gt;"",LOOKUP(2,1/('Weekly Tracker'!$E$2:$E$766=$A36)/('Weekly Tracker'!$H$2:$H$766&lt;&gt;""),'Weekly Tracker'!$I$2:$I$766),"")</f>
        <v/>
      </c>
      <c r="J36" s="9">
        <f>IFERROR(LOOKUP(2,1/('Weekly Tracker'!$E$2:$E$766=$A36)/('Weekly Tracker'!$J$2:$J$766&lt;&gt;""),'Weekly Tracker'!$J$2:$J$766),"")</f>
        <v/>
      </c>
      <c r="K36" s="9">
        <f>IFERROR(LOOKUP(2,1/('Weekly Tracker'!$E$2:$E$766=$A36)/('Weekly Tracker'!$N$2:$N$766&lt;&gt;""),'Weekly Tracker'!$N$2:$N$766),"")</f>
        <v/>
      </c>
      <c r="L36" s="9">
        <f>IFERROR(LOOKUP(2,1/('Weekly Tracker'!$E$2:$E$766=$A36)/('Weekly Tracker'!$O$2:$O$766&lt;&gt;""),'Weekly Tracker'!$O$2:$O$766),"")</f>
        <v/>
      </c>
    </row>
    <row r="37">
      <c r="A37" s="9" t="inlineStr">
        <is>
          <t>AL friendzchat</t>
        </is>
      </c>
      <c r="B37" s="9" t="inlineStr">
        <is>
          <t>543216</t>
        </is>
      </c>
      <c r="C37" s="9" t="n"/>
      <c r="D37" s="9" t="n"/>
      <c r="E37" s="9" t="n"/>
      <c r="F37" s="9">
        <f>IFERROR(LOOKUP(2,1/('Weekly Tracker'!$E$2:$E$766=$A37)/('Weekly Tracker'!$F$2:$F$766&lt;&gt;""),'Weekly Tracker'!$F$2:$F$766),"")</f>
        <v/>
      </c>
      <c r="G37" s="16">
        <f>IF(F37&lt;&gt;"",LOOKUP(2,1/('Weekly Tracker'!$E$2:$E$766=$A37)/('Weekly Tracker'!$F$2:$F$766&lt;&gt;""),'Weekly Tracker'!$G$2:$G$766),"")</f>
        <v/>
      </c>
      <c r="H37" s="9">
        <f>IFERROR(LOOKUP(2,1/('Weekly Tracker'!$E$2:$E$766=$A37)/('Weekly Tracker'!$H$2:$H$766&lt;&gt;""),'Weekly Tracker'!$H$2:$H$766),"")</f>
        <v/>
      </c>
      <c r="I37" s="16">
        <f>IF(H37&lt;&gt;"",LOOKUP(2,1/('Weekly Tracker'!$E$2:$E$766=$A37)/('Weekly Tracker'!$H$2:$H$766&lt;&gt;""),'Weekly Tracker'!$I$2:$I$766),"")</f>
        <v/>
      </c>
      <c r="J37" s="9">
        <f>IFERROR(LOOKUP(2,1/('Weekly Tracker'!$E$2:$E$766=$A37)/('Weekly Tracker'!$J$2:$J$766&lt;&gt;""),'Weekly Tracker'!$J$2:$J$766),"")</f>
        <v/>
      </c>
      <c r="K37" s="9">
        <f>IFERROR(LOOKUP(2,1/('Weekly Tracker'!$E$2:$E$766=$A37)/('Weekly Tracker'!$N$2:$N$766&lt;&gt;""),'Weekly Tracker'!$N$2:$N$766),"")</f>
        <v/>
      </c>
      <c r="L37" s="9">
        <f>IFERROR(LOOKUP(2,1/('Weekly Tracker'!$E$2:$E$766=$A37)/('Weekly Tracker'!$O$2:$O$766&lt;&gt;""),'Weekly Tracker'!$O$2:$O$766),"")</f>
        <v/>
      </c>
    </row>
    <row r="38">
      <c r="A38" s="9" t="inlineStr">
        <is>
          <t>Entertainment Store</t>
        </is>
      </c>
      <c r="B38" s="9" t="inlineStr">
        <is>
          <t>56789</t>
        </is>
      </c>
      <c r="C38" s="9" t="n"/>
      <c r="D38" s="9" t="n"/>
      <c r="E38" s="9" t="n"/>
      <c r="F38" s="9">
        <f>IFERROR(LOOKUP(2,1/('Weekly Tracker'!$E$2:$E$766=$A38)/('Weekly Tracker'!$F$2:$F$766&lt;&gt;""),'Weekly Tracker'!$F$2:$F$766),"")</f>
        <v/>
      </c>
      <c r="G38" s="16">
        <f>IF(F38&lt;&gt;"",LOOKUP(2,1/('Weekly Tracker'!$E$2:$E$766=$A38)/('Weekly Tracker'!$F$2:$F$766&lt;&gt;""),'Weekly Tracker'!$G$2:$G$766),"")</f>
        <v/>
      </c>
      <c r="H38" s="9">
        <f>IFERROR(LOOKUP(2,1/('Weekly Tracker'!$E$2:$E$766=$A38)/('Weekly Tracker'!$H$2:$H$766&lt;&gt;""),'Weekly Tracker'!$H$2:$H$766),"")</f>
        <v/>
      </c>
      <c r="I38" s="16">
        <f>IF(H38&lt;&gt;"",LOOKUP(2,1/('Weekly Tracker'!$E$2:$E$766=$A38)/('Weekly Tracker'!$H$2:$H$766&lt;&gt;""),'Weekly Tracker'!$I$2:$I$766),"")</f>
        <v/>
      </c>
      <c r="J38" s="9">
        <f>IFERROR(LOOKUP(2,1/('Weekly Tracker'!$E$2:$E$766=$A38)/('Weekly Tracker'!$J$2:$J$766&lt;&gt;""),'Weekly Tracker'!$J$2:$J$766),"")</f>
        <v/>
      </c>
      <c r="K38" s="9">
        <f>IFERROR(LOOKUP(2,1/('Weekly Tracker'!$E$2:$E$766=$A38)/('Weekly Tracker'!$N$2:$N$766&lt;&gt;""),'Weekly Tracker'!$N$2:$N$766),"")</f>
        <v/>
      </c>
      <c r="L38" s="9">
        <f>IFERROR(LOOKUP(2,1/('Weekly Tracker'!$E$2:$E$766=$A38)/('Weekly Tracker'!$O$2:$O$766&lt;&gt;""),'Weekly Tracker'!$O$2:$O$766),"")</f>
        <v/>
      </c>
    </row>
    <row r="39">
      <c r="A39" s="9" t="inlineStr">
        <is>
          <t>Pandit ji LIVE</t>
        </is>
      </c>
      <c r="B39" s="9" t="inlineStr">
        <is>
          <t>579211</t>
        </is>
      </c>
      <c r="C39" s="9" t="n"/>
      <c r="D39" s="9" t="n"/>
      <c r="E39" s="9" t="n"/>
      <c r="F39" s="9">
        <f>IFERROR(LOOKUP(2,1/('Weekly Tracker'!$E$2:$E$766=$A39)/('Weekly Tracker'!$F$2:$F$766&lt;&gt;""),'Weekly Tracker'!$F$2:$F$766),"")</f>
        <v/>
      </c>
      <c r="G39" s="16">
        <f>IF(F39&lt;&gt;"",LOOKUP(2,1/('Weekly Tracker'!$E$2:$E$766=$A39)/('Weekly Tracker'!$F$2:$F$766&lt;&gt;""),'Weekly Tracker'!$G$2:$G$766),"")</f>
        <v/>
      </c>
      <c r="H39" s="9">
        <f>IFERROR(LOOKUP(2,1/('Weekly Tracker'!$E$2:$E$766=$A39)/('Weekly Tracker'!$H$2:$H$766&lt;&gt;""),'Weekly Tracker'!$H$2:$H$766),"")</f>
        <v/>
      </c>
      <c r="I39" s="16">
        <f>IF(H39&lt;&gt;"",LOOKUP(2,1/('Weekly Tracker'!$E$2:$E$766=$A39)/('Weekly Tracker'!$H$2:$H$766&lt;&gt;""),'Weekly Tracker'!$I$2:$I$766),"")</f>
        <v/>
      </c>
      <c r="J39" s="9">
        <f>IFERROR(LOOKUP(2,1/('Weekly Tracker'!$E$2:$E$766=$A39)/('Weekly Tracker'!$J$2:$J$766&lt;&gt;""),'Weekly Tracker'!$J$2:$J$766),"")</f>
        <v/>
      </c>
      <c r="K39" s="9">
        <f>IFERROR(LOOKUP(2,1/('Weekly Tracker'!$E$2:$E$766=$A39)/('Weekly Tracker'!$N$2:$N$766&lt;&gt;""),'Weekly Tracker'!$N$2:$N$766),"")</f>
        <v/>
      </c>
      <c r="L39" s="9">
        <f>IFERROR(LOOKUP(2,1/('Weekly Tracker'!$E$2:$E$766=$A39)/('Weekly Tracker'!$O$2:$O$766&lt;&gt;""),'Weekly Tracker'!$O$2:$O$766),"")</f>
        <v/>
      </c>
    </row>
    <row r="40">
      <c r="A40" s="9" t="inlineStr">
        <is>
          <t>Cybercrime Helpline</t>
        </is>
      </c>
      <c r="B40" s="9" t="inlineStr">
        <is>
          <t>1930</t>
        </is>
      </c>
      <c r="C40" s="9" t="n"/>
      <c r="D40" s="9" t="n"/>
      <c r="E40" s="9" t="n"/>
      <c r="F40" s="9">
        <f>IFERROR(LOOKUP(2,1/('Weekly Tracker'!$E$2:$E$766=$A40)/('Weekly Tracker'!$F$2:$F$766&lt;&gt;""),'Weekly Tracker'!$F$2:$F$766),"")</f>
        <v/>
      </c>
      <c r="G40" s="16">
        <f>IF(F40&lt;&gt;"",LOOKUP(2,1/('Weekly Tracker'!$E$2:$E$766=$A40)/('Weekly Tracker'!$F$2:$F$766&lt;&gt;""),'Weekly Tracker'!$G$2:$G$766),"")</f>
        <v/>
      </c>
      <c r="H40" s="9">
        <f>IFERROR(LOOKUP(2,1/('Weekly Tracker'!$E$2:$E$766=$A40)/('Weekly Tracker'!$H$2:$H$766&lt;&gt;""),'Weekly Tracker'!$H$2:$H$766),"")</f>
        <v/>
      </c>
      <c r="I40" s="16">
        <f>IF(H40&lt;&gt;"",LOOKUP(2,1/('Weekly Tracker'!$E$2:$E$766=$A40)/('Weekly Tracker'!$H$2:$H$766&lt;&gt;""),'Weekly Tracker'!$I$2:$I$766),"")</f>
        <v/>
      </c>
      <c r="J40" s="9">
        <f>IFERROR(LOOKUP(2,1/('Weekly Tracker'!$E$2:$E$766=$A40)/('Weekly Tracker'!$J$2:$J$766&lt;&gt;""),'Weekly Tracker'!$J$2:$J$766),"")</f>
        <v/>
      </c>
      <c r="K40" s="9">
        <f>IFERROR(LOOKUP(2,1/('Weekly Tracker'!$E$2:$E$766=$A40)/('Weekly Tracker'!$N$2:$N$766&lt;&gt;""),'Weekly Tracker'!$N$2:$N$766),"")</f>
        <v/>
      </c>
      <c r="L40" s="9">
        <f>IFERROR(LOOKUP(2,1/('Weekly Tracker'!$E$2:$E$766=$A40)/('Weekly Tracker'!$O$2:$O$766&lt;&gt;""),'Weekly Tracker'!$O$2:$O$766),"")</f>
        <v/>
      </c>
    </row>
    <row r="41">
      <c r="A41" s="9" t="inlineStr">
        <is>
          <t>My Offer</t>
        </is>
      </c>
      <c r="B41" s="9" t="inlineStr">
        <is>
          <t>12131</t>
        </is>
      </c>
      <c r="C41" s="9" t="n"/>
      <c r="D41" s="9" t="n"/>
      <c r="E41" s="9" t="n"/>
      <c r="F41" s="9">
        <f>IFERROR(LOOKUP(2,1/('Weekly Tracker'!$E$2:$E$766=$A41)/('Weekly Tracker'!$F$2:$F$766&lt;&gt;""),'Weekly Tracker'!$F$2:$F$766),"")</f>
        <v/>
      </c>
      <c r="G41" s="16">
        <f>IF(F41&lt;&gt;"",LOOKUP(2,1/('Weekly Tracker'!$E$2:$E$766=$A41)/('Weekly Tracker'!$F$2:$F$766&lt;&gt;""),'Weekly Tracker'!$G$2:$G$766),"")</f>
        <v/>
      </c>
      <c r="H41" s="9">
        <f>IFERROR(LOOKUP(2,1/('Weekly Tracker'!$E$2:$E$766=$A41)/('Weekly Tracker'!$H$2:$H$766&lt;&gt;""),'Weekly Tracker'!$H$2:$H$766),"")</f>
        <v/>
      </c>
      <c r="I41" s="16">
        <f>IF(H41&lt;&gt;"",LOOKUP(2,1/('Weekly Tracker'!$E$2:$E$766=$A41)/('Weekly Tracker'!$H$2:$H$766&lt;&gt;""),'Weekly Tracker'!$I$2:$I$766),"")</f>
        <v/>
      </c>
      <c r="J41" s="9">
        <f>IFERROR(LOOKUP(2,1/('Weekly Tracker'!$E$2:$E$766=$A41)/('Weekly Tracker'!$J$2:$J$766&lt;&gt;""),'Weekly Tracker'!$J$2:$J$766),"")</f>
        <v/>
      </c>
      <c r="K41" s="9">
        <f>IFERROR(LOOKUP(2,1/('Weekly Tracker'!$E$2:$E$766=$A41)/('Weekly Tracker'!$N$2:$N$766&lt;&gt;""),'Weekly Tracker'!$N$2:$N$766),"")</f>
        <v/>
      </c>
      <c r="L41" s="9">
        <f>IFERROR(LOOKUP(2,1/('Weekly Tracker'!$E$2:$E$766=$A41)/('Weekly Tracker'!$O$2:$O$766&lt;&gt;""),'Weekly Tracker'!$O$2:$O$766),"")</f>
        <v/>
      </c>
    </row>
    <row r="42">
      <c r="A42" s="9" t="inlineStr">
        <is>
          <t>Instant help 24x7</t>
        </is>
      </c>
      <c r="B42" s="9" t="inlineStr">
        <is>
          <t>*121#</t>
        </is>
      </c>
      <c r="C42" s="9" t="n"/>
      <c r="D42" s="9" t="n"/>
      <c r="E42" s="9" t="n"/>
      <c r="F42" s="9">
        <f>IFERROR(LOOKUP(2,1/('Weekly Tracker'!$E$2:$E$766=$A42)/('Weekly Tracker'!$F$2:$F$766&lt;&gt;""),'Weekly Tracker'!$F$2:$F$766),"")</f>
        <v/>
      </c>
      <c r="G42" s="16">
        <f>IF(F42&lt;&gt;"",LOOKUP(2,1/('Weekly Tracker'!$E$2:$E$766=$A42)/('Weekly Tracker'!$F$2:$F$766&lt;&gt;""),'Weekly Tracker'!$G$2:$G$766),"")</f>
        <v/>
      </c>
      <c r="H42" s="9">
        <f>IFERROR(LOOKUP(2,1/('Weekly Tracker'!$E$2:$E$766=$A42)/('Weekly Tracker'!$H$2:$H$766&lt;&gt;""),'Weekly Tracker'!$H$2:$H$766),"")</f>
        <v/>
      </c>
      <c r="I42" s="16">
        <f>IF(H42&lt;&gt;"",LOOKUP(2,1/('Weekly Tracker'!$E$2:$E$766=$A42)/('Weekly Tracker'!$H$2:$H$766&lt;&gt;""),'Weekly Tracker'!$I$2:$I$766),"")</f>
        <v/>
      </c>
      <c r="J42" s="9">
        <f>IFERROR(LOOKUP(2,1/('Weekly Tracker'!$E$2:$E$766=$A42)/('Weekly Tracker'!$J$2:$J$766&lt;&gt;""),'Weekly Tracker'!$J$2:$J$766),"")</f>
        <v/>
      </c>
      <c r="K42" s="9">
        <f>IFERROR(LOOKUP(2,1/('Weekly Tracker'!$E$2:$E$766=$A42)/('Weekly Tracker'!$N$2:$N$766&lt;&gt;""),'Weekly Tracker'!$N$2:$N$766),"")</f>
        <v/>
      </c>
      <c r="L42" s="9">
        <f>IFERROR(LOOKUP(2,1/('Weekly Tracker'!$E$2:$E$766=$A42)/('Weekly Tracker'!$O$2:$O$766&lt;&gt;""),'Weekly Tracker'!$O$2:$O$766),"")</f>
        <v/>
      </c>
    </row>
    <row r="43">
      <c r="A43" s="9" t="inlineStr">
        <is>
          <t>Full Talktime</t>
        </is>
      </c>
      <c r="B43" s="9" t="inlineStr">
        <is>
          <t>121312</t>
        </is>
      </c>
      <c r="C43" s="9" t="n"/>
      <c r="D43" s="9" t="n"/>
      <c r="E43" s="9" t="n"/>
      <c r="F43" s="9">
        <f>IFERROR(LOOKUP(2,1/('Weekly Tracker'!$E$2:$E$766=$A43)/('Weekly Tracker'!$F$2:$F$766&lt;&gt;""),'Weekly Tracker'!$F$2:$F$766),"")</f>
        <v/>
      </c>
      <c r="G43" s="16">
        <f>IF(F43&lt;&gt;"",LOOKUP(2,1/('Weekly Tracker'!$E$2:$E$766=$A43)/('Weekly Tracker'!$F$2:$F$766&lt;&gt;""),'Weekly Tracker'!$G$2:$G$766),"")</f>
        <v/>
      </c>
      <c r="H43" s="9">
        <f>IFERROR(LOOKUP(2,1/('Weekly Tracker'!$E$2:$E$766=$A43)/('Weekly Tracker'!$H$2:$H$766&lt;&gt;""),'Weekly Tracker'!$H$2:$H$766),"")</f>
        <v/>
      </c>
      <c r="I43" s="16">
        <f>IF(H43&lt;&gt;"",LOOKUP(2,1/('Weekly Tracker'!$E$2:$E$766=$A43)/('Weekly Tracker'!$H$2:$H$766&lt;&gt;""),'Weekly Tracker'!$I$2:$I$766),"")</f>
        <v/>
      </c>
      <c r="J43" s="9">
        <f>IFERROR(LOOKUP(2,1/('Weekly Tracker'!$E$2:$E$766=$A43)/('Weekly Tracker'!$J$2:$J$766&lt;&gt;""),'Weekly Tracker'!$J$2:$J$766),"")</f>
        <v/>
      </c>
      <c r="K43" s="9">
        <f>IFERROR(LOOKUP(2,1/('Weekly Tracker'!$E$2:$E$766=$A43)/('Weekly Tracker'!$N$2:$N$766&lt;&gt;""),'Weekly Tracker'!$N$2:$N$766),"")</f>
        <v/>
      </c>
      <c r="L43" s="9">
        <f>IFERROR(LOOKUP(2,1/('Weekly Tracker'!$E$2:$E$766=$A43)/('Weekly Tracker'!$O$2:$O$766&lt;&gt;""),'Weekly Tracker'!$O$2:$O$766),"")</f>
        <v/>
      </c>
    </row>
    <row r="44">
      <c r="A44" s="9" t="inlineStr">
        <is>
          <t>Advance Talktime</t>
        </is>
      </c>
      <c r="B44" s="9" t="inlineStr">
        <is>
          <t>52141</t>
        </is>
      </c>
      <c r="C44" s="9" t="n"/>
      <c r="D44" s="9" t="n"/>
      <c r="E44" s="9" t="n"/>
      <c r="F44" s="9">
        <f>IFERROR(LOOKUP(2,1/('Weekly Tracker'!$E$2:$E$766=$A44)/('Weekly Tracker'!$F$2:$F$766&lt;&gt;""),'Weekly Tracker'!$F$2:$F$766),"")</f>
        <v/>
      </c>
      <c r="G44" s="16">
        <f>IF(F44&lt;&gt;"",LOOKUP(2,1/('Weekly Tracker'!$E$2:$E$766=$A44)/('Weekly Tracker'!$F$2:$F$766&lt;&gt;""),'Weekly Tracker'!$G$2:$G$766),"")</f>
        <v/>
      </c>
      <c r="H44" s="9">
        <f>IFERROR(LOOKUP(2,1/('Weekly Tracker'!$E$2:$E$766=$A44)/('Weekly Tracker'!$H$2:$H$766&lt;&gt;""),'Weekly Tracker'!$H$2:$H$766),"")</f>
        <v/>
      </c>
      <c r="I44" s="16">
        <f>IF(H44&lt;&gt;"",LOOKUP(2,1/('Weekly Tracker'!$E$2:$E$766=$A44)/('Weekly Tracker'!$H$2:$H$766&lt;&gt;""),'Weekly Tracker'!$I$2:$I$766),"")</f>
        <v/>
      </c>
      <c r="J44" s="9">
        <f>IFERROR(LOOKUP(2,1/('Weekly Tracker'!$E$2:$E$766=$A44)/('Weekly Tracker'!$J$2:$J$766&lt;&gt;""),'Weekly Tracker'!$J$2:$J$766),"")</f>
        <v/>
      </c>
      <c r="K44" s="9">
        <f>IFERROR(LOOKUP(2,1/('Weekly Tracker'!$E$2:$E$766=$A44)/('Weekly Tracker'!$N$2:$N$766&lt;&gt;""),'Weekly Tracker'!$N$2:$N$766),"")</f>
        <v/>
      </c>
      <c r="L44" s="9">
        <f>IFERROR(LOOKUP(2,1/('Weekly Tracker'!$E$2:$E$766=$A44)/('Weekly Tracker'!$O$2:$O$766&lt;&gt;""),'Weekly Tracker'!$O$2:$O$766),"")</f>
        <v/>
      </c>
    </row>
    <row r="45">
      <c r="A45" s="9" t="inlineStr">
        <is>
          <t>AL hello tunes</t>
        </is>
      </c>
      <c r="B45" s="9" t="inlineStr">
        <is>
          <t>578785</t>
        </is>
      </c>
      <c r="C45" s="9" t="n"/>
      <c r="D45" s="9" t="n"/>
      <c r="E45" s="9" t="n"/>
      <c r="F45" s="9">
        <f>IFERROR(LOOKUP(2,1/('Weekly Tracker'!$E$2:$E$766=$A45)/('Weekly Tracker'!$F$2:$F$766&lt;&gt;""),'Weekly Tracker'!$F$2:$F$766),"")</f>
        <v/>
      </c>
      <c r="G45" s="16">
        <f>IF(F45&lt;&gt;"",LOOKUP(2,1/('Weekly Tracker'!$E$2:$E$766=$A45)/('Weekly Tracker'!$F$2:$F$766&lt;&gt;""),'Weekly Tracker'!$G$2:$G$766),"")</f>
        <v/>
      </c>
      <c r="H45" s="9">
        <f>IFERROR(LOOKUP(2,1/('Weekly Tracker'!$E$2:$E$766=$A45)/('Weekly Tracker'!$H$2:$H$766&lt;&gt;""),'Weekly Tracker'!$H$2:$H$766),"")</f>
        <v/>
      </c>
      <c r="I45" s="16">
        <f>IF(H45&lt;&gt;"",LOOKUP(2,1/('Weekly Tracker'!$E$2:$E$766=$A45)/('Weekly Tracker'!$H$2:$H$766&lt;&gt;""),'Weekly Tracker'!$I$2:$I$766),"")</f>
        <v/>
      </c>
      <c r="J45" s="9">
        <f>IFERROR(LOOKUP(2,1/('Weekly Tracker'!$E$2:$E$766=$A45)/('Weekly Tracker'!$J$2:$J$766&lt;&gt;""),'Weekly Tracker'!$J$2:$J$766),"")</f>
        <v/>
      </c>
      <c r="K45" s="9">
        <f>IFERROR(LOOKUP(2,1/('Weekly Tracker'!$E$2:$E$766=$A45)/('Weekly Tracker'!$N$2:$N$766&lt;&gt;""),'Weekly Tracker'!$N$2:$N$766),"")</f>
        <v/>
      </c>
      <c r="L45" s="9">
        <f>IFERROR(LOOKUP(2,1/('Weekly Tracker'!$E$2:$E$766=$A45)/('Weekly Tracker'!$O$2:$O$766&lt;&gt;""),'Weekly Tracker'!$O$2:$O$766),"")</f>
        <v/>
      </c>
    </row>
    <row r="46">
      <c r="A46" s="9" t="inlineStr">
        <is>
          <t>Internet packs</t>
        </is>
      </c>
      <c r="B46" s="9" t="inlineStr">
        <is>
          <t>*121*11#</t>
        </is>
      </c>
      <c r="C46" s="9" t="n"/>
      <c r="D46" s="9" t="n"/>
      <c r="E46" s="9" t="n"/>
      <c r="F46" s="9">
        <f>IFERROR(LOOKUP(2,1/('Weekly Tracker'!$E$2:$E$766=$A46)/('Weekly Tracker'!$F$2:$F$766&lt;&gt;""),'Weekly Tracker'!$F$2:$F$766),"")</f>
        <v/>
      </c>
      <c r="G46" s="16">
        <f>IF(F46&lt;&gt;"",LOOKUP(2,1/('Weekly Tracker'!$E$2:$E$766=$A46)/('Weekly Tracker'!$F$2:$F$766&lt;&gt;""),'Weekly Tracker'!$G$2:$G$766),"")</f>
        <v/>
      </c>
      <c r="H46" s="9">
        <f>IFERROR(LOOKUP(2,1/('Weekly Tracker'!$E$2:$E$766=$A46)/('Weekly Tracker'!$H$2:$H$766&lt;&gt;""),'Weekly Tracker'!$H$2:$H$766),"")</f>
        <v/>
      </c>
      <c r="I46" s="16">
        <f>IF(H46&lt;&gt;"",LOOKUP(2,1/('Weekly Tracker'!$E$2:$E$766=$A46)/('Weekly Tracker'!$H$2:$H$766&lt;&gt;""),'Weekly Tracker'!$I$2:$I$766),"")</f>
        <v/>
      </c>
      <c r="J46" s="9">
        <f>IFERROR(LOOKUP(2,1/('Weekly Tracker'!$E$2:$E$766=$A46)/('Weekly Tracker'!$J$2:$J$766&lt;&gt;""),'Weekly Tracker'!$J$2:$J$766),"")</f>
        <v/>
      </c>
      <c r="K46" s="9">
        <f>IFERROR(LOOKUP(2,1/('Weekly Tracker'!$E$2:$E$766=$A46)/('Weekly Tracker'!$N$2:$N$766&lt;&gt;""),'Weekly Tracker'!$N$2:$N$766),"")</f>
        <v/>
      </c>
      <c r="L46" s="9">
        <f>IFERROR(LOOKUP(2,1/('Weekly Tracker'!$E$2:$E$766=$A46)/('Weekly Tracker'!$O$2:$O$766&lt;&gt;""),'Weekly Tracker'!$O$2:$O$766),"")</f>
        <v/>
      </c>
    </row>
    <row r="47">
      <c r="A47" s="9" t="inlineStr">
        <is>
          <t>airtel money</t>
        </is>
      </c>
      <c r="B47" s="9" t="inlineStr">
        <is>
          <t>*400#</t>
        </is>
      </c>
      <c r="C47" s="9" t="n"/>
      <c r="D47" s="9" t="n"/>
      <c r="E47" s="9" t="n"/>
      <c r="F47" s="9">
        <f>IFERROR(LOOKUP(2,1/('Weekly Tracker'!$E$2:$E$766=$A47)/('Weekly Tracker'!$F$2:$F$766&lt;&gt;""),'Weekly Tracker'!$F$2:$F$766),"")</f>
        <v/>
      </c>
      <c r="G47" s="16">
        <f>IF(F47&lt;&gt;"",LOOKUP(2,1/('Weekly Tracker'!$E$2:$E$766=$A47)/('Weekly Tracker'!$F$2:$F$766&lt;&gt;""),'Weekly Tracker'!$G$2:$G$766),"")</f>
        <v/>
      </c>
      <c r="H47" s="9">
        <f>IFERROR(LOOKUP(2,1/('Weekly Tracker'!$E$2:$E$766=$A47)/('Weekly Tracker'!$H$2:$H$766&lt;&gt;""),'Weekly Tracker'!$H$2:$H$766),"")</f>
        <v/>
      </c>
      <c r="I47" s="16">
        <f>IF(H47&lt;&gt;"",LOOKUP(2,1/('Weekly Tracker'!$E$2:$E$766=$A47)/('Weekly Tracker'!$H$2:$H$766&lt;&gt;""),'Weekly Tracker'!$I$2:$I$766),"")</f>
        <v/>
      </c>
      <c r="J47" s="9">
        <f>IFERROR(LOOKUP(2,1/('Weekly Tracker'!$E$2:$E$766=$A47)/('Weekly Tracker'!$J$2:$J$766&lt;&gt;""),'Weekly Tracker'!$J$2:$J$766),"")</f>
        <v/>
      </c>
      <c r="K47" s="9">
        <f>IFERROR(LOOKUP(2,1/('Weekly Tracker'!$E$2:$E$766=$A47)/('Weekly Tracker'!$N$2:$N$766&lt;&gt;""),'Weekly Tracker'!$N$2:$N$766),"")</f>
        <v/>
      </c>
      <c r="L47" s="9">
        <f>IFERROR(LOOKUP(2,1/('Weekly Tracker'!$E$2:$E$766=$A47)/('Weekly Tracker'!$O$2:$O$766&lt;&gt;""),'Weekly Tracker'!$O$2:$O$766),"")</f>
        <v/>
      </c>
    </row>
    <row r="48">
      <c r="A48" s="9" t="inlineStr">
        <is>
          <t>Best Offer</t>
        </is>
      </c>
      <c r="B48" s="9" t="inlineStr">
        <is>
          <t>*121*1#</t>
        </is>
      </c>
      <c r="C48" s="9" t="n"/>
      <c r="D48" s="9" t="n"/>
      <c r="E48" s="9" t="n"/>
      <c r="F48" s="9">
        <f>IFERROR(LOOKUP(2,1/('Weekly Tracker'!$E$2:$E$766=$A48)/('Weekly Tracker'!$F$2:$F$766&lt;&gt;""),'Weekly Tracker'!$F$2:$F$766),"")</f>
        <v/>
      </c>
      <c r="G48" s="16">
        <f>IF(F48&lt;&gt;"",LOOKUP(2,1/('Weekly Tracker'!$E$2:$E$766=$A48)/('Weekly Tracker'!$F$2:$F$766&lt;&gt;""),'Weekly Tracker'!$G$2:$G$766),"")</f>
        <v/>
      </c>
      <c r="H48" s="9">
        <f>IFERROR(LOOKUP(2,1/('Weekly Tracker'!$E$2:$E$766=$A48)/('Weekly Tracker'!$H$2:$H$766&lt;&gt;""),'Weekly Tracker'!$H$2:$H$766),"")</f>
        <v/>
      </c>
      <c r="I48" s="16">
        <f>IF(H48&lt;&gt;"",LOOKUP(2,1/('Weekly Tracker'!$E$2:$E$766=$A48)/('Weekly Tracker'!$H$2:$H$766&lt;&gt;""),'Weekly Tracker'!$I$2:$I$766),"")</f>
        <v/>
      </c>
      <c r="J48" s="9">
        <f>IFERROR(LOOKUP(2,1/('Weekly Tracker'!$E$2:$E$766=$A48)/('Weekly Tracker'!$J$2:$J$766&lt;&gt;""),'Weekly Tracker'!$J$2:$J$766),"")</f>
        <v/>
      </c>
      <c r="K48" s="9">
        <f>IFERROR(LOOKUP(2,1/('Weekly Tracker'!$E$2:$E$766=$A48)/('Weekly Tracker'!$N$2:$N$766&lt;&gt;""),'Weekly Tracker'!$N$2:$N$766),"")</f>
        <v/>
      </c>
      <c r="L48" s="9">
        <f>IFERROR(LOOKUP(2,1/('Weekly Tracker'!$E$2:$E$766=$A48)/('Weekly Tracker'!$O$2:$O$766&lt;&gt;""),'Weekly Tracker'!$O$2:$O$766),"")</f>
        <v/>
      </c>
    </row>
    <row r="49">
      <c r="A49" s="9" t="inlineStr">
        <is>
          <t>customer care</t>
        </is>
      </c>
      <c r="B49" s="9" t="inlineStr">
        <is>
          <t>121</t>
        </is>
      </c>
      <c r="C49" s="9" t="n"/>
      <c r="D49" s="9" t="n"/>
      <c r="E49" s="9" t="n"/>
      <c r="F49" s="9">
        <f>IFERROR(LOOKUP(2,1/('Weekly Tracker'!$E$2:$E$766=$A49)/('Weekly Tracker'!$F$2:$F$766&lt;&gt;""),'Weekly Tracker'!$F$2:$F$766),"")</f>
        <v/>
      </c>
      <c r="G49" s="16">
        <f>IF(F49&lt;&gt;"",LOOKUP(2,1/('Weekly Tracker'!$E$2:$E$766=$A49)/('Weekly Tracker'!$F$2:$F$766&lt;&gt;""),'Weekly Tracker'!$G$2:$G$766),"")</f>
        <v/>
      </c>
      <c r="H49" s="9">
        <f>IFERROR(LOOKUP(2,1/('Weekly Tracker'!$E$2:$E$766=$A49)/('Weekly Tracker'!$H$2:$H$766&lt;&gt;""),'Weekly Tracker'!$H$2:$H$766),"")</f>
        <v/>
      </c>
      <c r="I49" s="16">
        <f>IF(H49&lt;&gt;"",LOOKUP(2,1/('Weekly Tracker'!$E$2:$E$766=$A49)/('Weekly Tracker'!$H$2:$H$766&lt;&gt;""),'Weekly Tracker'!$I$2:$I$766),"")</f>
        <v/>
      </c>
      <c r="J49" s="9">
        <f>IFERROR(LOOKUP(2,1/('Weekly Tracker'!$E$2:$E$766=$A49)/('Weekly Tracker'!$J$2:$J$766&lt;&gt;""),'Weekly Tracker'!$J$2:$J$766),"")</f>
        <v/>
      </c>
      <c r="K49" s="9">
        <f>IFERROR(LOOKUP(2,1/('Weekly Tracker'!$E$2:$E$766=$A49)/('Weekly Tracker'!$N$2:$N$766&lt;&gt;""),'Weekly Tracker'!$N$2:$N$766),"")</f>
        <v/>
      </c>
      <c r="L49" s="9">
        <f>IFERROR(LOOKUP(2,1/('Weekly Tracker'!$E$2:$E$766=$A49)/('Weekly Tracker'!$O$2:$O$766&lt;&gt;""),'Weekly Tracker'!$O$2:$O$766),"")</f>
        <v/>
      </c>
    </row>
    <row r="50">
      <c r="A50" s="9" t="inlineStr">
        <is>
          <t>AL on demand</t>
        </is>
      </c>
      <c r="B50" s="9" t="inlineStr">
        <is>
          <t>543213</t>
        </is>
      </c>
      <c r="C50" s="9" t="n"/>
      <c r="D50" s="9" t="n"/>
      <c r="E50" s="9" t="n"/>
      <c r="F50" s="9">
        <f>IFERROR(LOOKUP(2,1/('Weekly Tracker'!$E$2:$E$766=$A50)/('Weekly Tracker'!$F$2:$F$766&lt;&gt;""),'Weekly Tracker'!$F$2:$F$766),"")</f>
        <v/>
      </c>
      <c r="G50" s="16">
        <f>IF(F50&lt;&gt;"",LOOKUP(2,1/('Weekly Tracker'!$E$2:$E$766=$A50)/('Weekly Tracker'!$F$2:$F$766&lt;&gt;""),'Weekly Tracker'!$G$2:$G$766),"")</f>
        <v/>
      </c>
      <c r="H50" s="9">
        <f>IFERROR(LOOKUP(2,1/('Weekly Tracker'!$E$2:$E$766=$A50)/('Weekly Tracker'!$H$2:$H$766&lt;&gt;""),'Weekly Tracker'!$H$2:$H$766),"")</f>
        <v/>
      </c>
      <c r="I50" s="16">
        <f>IF(H50&lt;&gt;"",LOOKUP(2,1/('Weekly Tracker'!$E$2:$E$766=$A50)/('Weekly Tracker'!$H$2:$H$766&lt;&gt;""),'Weekly Tracker'!$I$2:$I$766),"")</f>
        <v/>
      </c>
      <c r="J50" s="9">
        <f>IFERROR(LOOKUP(2,1/('Weekly Tracker'!$E$2:$E$766=$A50)/('Weekly Tracker'!$J$2:$J$766&lt;&gt;""),'Weekly Tracker'!$J$2:$J$766),"")</f>
        <v/>
      </c>
      <c r="K50" s="9">
        <f>IFERROR(LOOKUP(2,1/('Weekly Tracker'!$E$2:$E$766=$A50)/('Weekly Tracker'!$N$2:$N$766&lt;&gt;""),'Weekly Tracker'!$N$2:$N$766),"")</f>
        <v/>
      </c>
      <c r="L50" s="9">
        <f>IFERROR(LOOKUP(2,1/('Weekly Tracker'!$E$2:$E$766=$A50)/('Weekly Tracker'!$O$2:$O$766&lt;&gt;""),'Weekly Tracker'!$O$2:$O$766),"")</f>
        <v/>
      </c>
    </row>
    <row r="51">
      <c r="A51" s="9" t="inlineStr">
        <is>
          <t>AL cricket</t>
        </is>
      </c>
      <c r="B51" s="9" t="inlineStr">
        <is>
          <t>543212601</t>
        </is>
      </c>
      <c r="C51" s="9" t="n"/>
      <c r="D51" s="9" t="n"/>
      <c r="E51" s="9" t="n"/>
      <c r="F51" s="9">
        <f>IFERROR(LOOKUP(2,1/('Weekly Tracker'!$E$2:$E$766=$A51)/('Weekly Tracker'!$F$2:$F$766&lt;&gt;""),'Weekly Tracker'!$F$2:$F$766),"")</f>
        <v/>
      </c>
      <c r="G51" s="16">
        <f>IF(F51&lt;&gt;"",LOOKUP(2,1/('Weekly Tracker'!$E$2:$E$766=$A51)/('Weekly Tracker'!$F$2:$F$766&lt;&gt;""),'Weekly Tracker'!$G$2:$G$766),"")</f>
        <v/>
      </c>
      <c r="H51" s="9">
        <f>IFERROR(LOOKUP(2,1/('Weekly Tracker'!$E$2:$E$766=$A51)/('Weekly Tracker'!$H$2:$H$766&lt;&gt;""),'Weekly Tracker'!$H$2:$H$766),"")</f>
        <v/>
      </c>
      <c r="I51" s="16">
        <f>IF(H51&lt;&gt;"",LOOKUP(2,1/('Weekly Tracker'!$E$2:$E$766=$A51)/('Weekly Tracker'!$H$2:$H$766&lt;&gt;""),'Weekly Tracker'!$I$2:$I$766),"")</f>
        <v/>
      </c>
      <c r="J51" s="9">
        <f>IFERROR(LOOKUP(2,1/('Weekly Tracker'!$E$2:$E$766=$A51)/('Weekly Tracker'!$J$2:$J$766&lt;&gt;""),'Weekly Tracker'!$J$2:$J$766),"")</f>
        <v/>
      </c>
      <c r="K51" s="9">
        <f>IFERROR(LOOKUP(2,1/('Weekly Tracker'!$E$2:$E$766=$A51)/('Weekly Tracker'!$N$2:$N$766&lt;&gt;""),'Weekly Tracker'!$N$2:$N$766),"")</f>
        <v/>
      </c>
      <c r="L51" s="9">
        <f>IFERROR(LOOKUP(2,1/('Weekly Tracker'!$E$2:$E$766=$A51)/('Weekly Tracker'!$O$2:$O$766&lt;&gt;""),'Weekly Tracker'!$O$2:$O$766),"")</f>
        <v/>
      </c>
    </row>
    <row r="52">
      <c r="A52" s="9" t="inlineStr">
        <is>
          <t>ambulance</t>
        </is>
      </c>
      <c r="B52" s="9" t="inlineStr">
        <is>
          <t>102</t>
        </is>
      </c>
      <c r="C52" s="9" t="n"/>
      <c r="D52" s="9" t="n"/>
      <c r="E52" s="9" t="n"/>
      <c r="F52" s="9">
        <f>IFERROR(LOOKUP(2,1/('Weekly Tracker'!$E$2:$E$766=$A52)/('Weekly Tracker'!$F$2:$F$766&lt;&gt;""),'Weekly Tracker'!$F$2:$F$766),"")</f>
        <v/>
      </c>
      <c r="G52" s="16">
        <f>IF(F52&lt;&gt;"",LOOKUP(2,1/('Weekly Tracker'!$E$2:$E$766=$A52)/('Weekly Tracker'!$F$2:$F$766&lt;&gt;""),'Weekly Tracker'!$G$2:$G$766),"")</f>
        <v/>
      </c>
      <c r="H52" s="9">
        <f>IFERROR(LOOKUP(2,1/('Weekly Tracker'!$E$2:$E$766=$A52)/('Weekly Tracker'!$H$2:$H$766&lt;&gt;""),'Weekly Tracker'!$H$2:$H$766),"")</f>
        <v/>
      </c>
      <c r="I52" s="16">
        <f>IF(H52&lt;&gt;"",LOOKUP(2,1/('Weekly Tracker'!$E$2:$E$766=$A52)/('Weekly Tracker'!$H$2:$H$766&lt;&gt;""),'Weekly Tracker'!$I$2:$I$766),"")</f>
        <v/>
      </c>
      <c r="J52" s="9">
        <f>IFERROR(LOOKUP(2,1/('Weekly Tracker'!$E$2:$E$766=$A52)/('Weekly Tracker'!$J$2:$J$766&lt;&gt;""),'Weekly Tracker'!$J$2:$J$766),"")</f>
        <v/>
      </c>
      <c r="K52" s="9">
        <f>IFERROR(LOOKUP(2,1/('Weekly Tracker'!$E$2:$E$766=$A52)/('Weekly Tracker'!$N$2:$N$766&lt;&gt;""),'Weekly Tracker'!$N$2:$N$766),"")</f>
        <v/>
      </c>
      <c r="L52" s="9">
        <f>IFERROR(LOOKUP(2,1/('Weekly Tracker'!$E$2:$E$766=$A52)/('Weekly Tracker'!$O$2:$O$766&lt;&gt;""),'Weekly Tracker'!$O$2:$O$766),"")</f>
        <v/>
      </c>
    </row>
    <row r="53">
      <c r="A53" s="9" t="inlineStr">
        <is>
          <t>ALentertainment</t>
        </is>
      </c>
      <c r="B53" s="9" t="inlineStr">
        <is>
          <t>56789</t>
        </is>
      </c>
      <c r="C53" s="9" t="n"/>
      <c r="D53" s="9" t="n"/>
      <c r="E53" s="9" t="n"/>
      <c r="F53" s="9">
        <f>IFERROR(LOOKUP(2,1/('Weekly Tracker'!$E$2:$E$766=$A53)/('Weekly Tracker'!$F$2:$F$766&lt;&gt;""),'Weekly Tracker'!$F$2:$F$766),"")</f>
        <v/>
      </c>
      <c r="G53" s="16">
        <f>IF(F53&lt;&gt;"",LOOKUP(2,1/('Weekly Tracker'!$E$2:$E$766=$A53)/('Weekly Tracker'!$F$2:$F$766&lt;&gt;""),'Weekly Tracker'!$G$2:$G$766),"")</f>
        <v/>
      </c>
      <c r="H53" s="9">
        <f>IFERROR(LOOKUP(2,1/('Weekly Tracker'!$E$2:$E$766=$A53)/('Weekly Tracker'!$H$2:$H$766&lt;&gt;""),'Weekly Tracker'!$H$2:$H$766),"")</f>
        <v/>
      </c>
      <c r="I53" s="16">
        <f>IF(H53&lt;&gt;"",LOOKUP(2,1/('Weekly Tracker'!$E$2:$E$766=$A53)/('Weekly Tracker'!$H$2:$H$766&lt;&gt;""),'Weekly Tracker'!$I$2:$I$766),"")</f>
        <v/>
      </c>
      <c r="J53" s="9">
        <f>IFERROR(LOOKUP(2,1/('Weekly Tracker'!$E$2:$E$766=$A53)/('Weekly Tracker'!$J$2:$J$766&lt;&gt;""),'Weekly Tracker'!$J$2:$J$766),"")</f>
        <v/>
      </c>
      <c r="K53" s="9">
        <f>IFERROR(LOOKUP(2,1/('Weekly Tracker'!$E$2:$E$766=$A53)/('Weekly Tracker'!$N$2:$N$766&lt;&gt;""),'Weekly Tracker'!$N$2:$N$766),"")</f>
        <v/>
      </c>
      <c r="L53" s="9">
        <f>IFERROR(LOOKUP(2,1/('Weekly Tracker'!$E$2:$E$766=$A53)/('Weekly Tracker'!$O$2:$O$766&lt;&gt;""),'Weekly Tracker'!$O$2:$O$766),"")</f>
        <v/>
      </c>
    </row>
    <row r="54">
      <c r="A54" s="9" t="inlineStr">
        <is>
          <t>AL *dial</t>
        </is>
      </c>
      <c r="B54" s="9" t="inlineStr">
        <is>
          <t>*321#</t>
        </is>
      </c>
      <c r="C54" s="9" t="n"/>
      <c r="D54" s="9" t="n"/>
      <c r="E54" s="9" t="n"/>
      <c r="F54" s="9">
        <f>IFERROR(LOOKUP(2,1/('Weekly Tracker'!$E$2:$E$766=$A54)/('Weekly Tracker'!$F$2:$F$766&lt;&gt;""),'Weekly Tracker'!$F$2:$F$766),"")</f>
        <v/>
      </c>
      <c r="G54" s="16">
        <f>IF(F54&lt;&gt;"",LOOKUP(2,1/('Weekly Tracker'!$E$2:$E$766=$A54)/('Weekly Tracker'!$F$2:$F$766&lt;&gt;""),'Weekly Tracker'!$G$2:$G$766),"")</f>
        <v/>
      </c>
      <c r="H54" s="9">
        <f>IFERROR(LOOKUP(2,1/('Weekly Tracker'!$E$2:$E$766=$A54)/('Weekly Tracker'!$H$2:$H$766&lt;&gt;""),'Weekly Tracker'!$H$2:$H$766),"")</f>
        <v/>
      </c>
      <c r="I54" s="16">
        <f>IF(H54&lt;&gt;"",LOOKUP(2,1/('Weekly Tracker'!$E$2:$E$766=$A54)/('Weekly Tracker'!$H$2:$H$766&lt;&gt;""),'Weekly Tracker'!$I$2:$I$766),"")</f>
        <v/>
      </c>
      <c r="J54" s="9">
        <f>IFERROR(LOOKUP(2,1/('Weekly Tracker'!$E$2:$E$766=$A54)/('Weekly Tracker'!$J$2:$J$766&lt;&gt;""),'Weekly Tracker'!$J$2:$J$766),"")</f>
        <v/>
      </c>
      <c r="K54" s="9">
        <f>IFERROR(LOOKUP(2,1/('Weekly Tracker'!$E$2:$E$766=$A54)/('Weekly Tracker'!$N$2:$N$766&lt;&gt;""),'Weekly Tracker'!$N$2:$N$766),"")</f>
        <v/>
      </c>
      <c r="L54" s="9">
        <f>IFERROR(LOOKUP(2,1/('Weekly Tracker'!$E$2:$E$766=$A54)/('Weekly Tracker'!$O$2:$O$766&lt;&gt;""),'Weekly Tracker'!$O$2:$O$766),"")</f>
        <v/>
      </c>
    </row>
    <row r="55">
      <c r="A55" s="9" t="inlineStr">
        <is>
          <t>railway inquiry</t>
        </is>
      </c>
      <c r="B55" s="9" t="inlineStr">
        <is>
          <t>139</t>
        </is>
      </c>
      <c r="C55" s="9" t="n"/>
      <c r="D55" s="9" t="n"/>
      <c r="E55" s="9" t="n"/>
      <c r="F55" s="9">
        <f>IFERROR(LOOKUP(2,1/('Weekly Tracker'!$E$2:$E$766=$A55)/('Weekly Tracker'!$F$2:$F$766&lt;&gt;""),'Weekly Tracker'!$F$2:$F$766),"")</f>
        <v/>
      </c>
      <c r="G55" s="16">
        <f>IF(F55&lt;&gt;"",LOOKUP(2,1/('Weekly Tracker'!$E$2:$E$766=$A55)/('Weekly Tracker'!$F$2:$F$766&lt;&gt;""),'Weekly Tracker'!$G$2:$G$766),"")</f>
        <v/>
      </c>
      <c r="H55" s="9">
        <f>IFERROR(LOOKUP(2,1/('Weekly Tracker'!$E$2:$E$766=$A55)/('Weekly Tracker'!$H$2:$H$766&lt;&gt;""),'Weekly Tracker'!$H$2:$H$766),"")</f>
        <v/>
      </c>
      <c r="I55" s="16">
        <f>IF(H55&lt;&gt;"",LOOKUP(2,1/('Weekly Tracker'!$E$2:$E$766=$A55)/('Weekly Tracker'!$H$2:$H$766&lt;&gt;""),'Weekly Tracker'!$I$2:$I$766),"")</f>
        <v/>
      </c>
      <c r="J55" s="9">
        <f>IFERROR(LOOKUP(2,1/('Weekly Tracker'!$E$2:$E$766=$A55)/('Weekly Tracker'!$J$2:$J$766&lt;&gt;""),'Weekly Tracker'!$J$2:$J$766),"")</f>
        <v/>
      </c>
      <c r="K55" s="9">
        <f>IFERROR(LOOKUP(2,1/('Weekly Tracker'!$E$2:$E$766=$A55)/('Weekly Tracker'!$N$2:$N$766&lt;&gt;""),'Weekly Tracker'!$N$2:$N$766),"")</f>
        <v/>
      </c>
      <c r="L55" s="9">
        <f>IFERROR(LOOKUP(2,1/('Weekly Tracker'!$E$2:$E$766=$A55)/('Weekly Tracker'!$O$2:$O$766&lt;&gt;""),'Weekly Tracker'!$O$2:$O$766),"")</f>
        <v/>
      </c>
    </row>
    <row r="56">
      <c r="A56" s="9" t="inlineStr">
        <is>
          <t>police</t>
        </is>
      </c>
      <c r="B56" s="9" t="inlineStr">
        <is>
          <t>100</t>
        </is>
      </c>
      <c r="C56" s="9" t="n"/>
      <c r="D56" s="9" t="n"/>
      <c r="E56" s="9" t="n"/>
      <c r="F56" s="9">
        <f>IFERROR(LOOKUP(2,1/('Weekly Tracker'!$E$2:$E$766=$A56)/('Weekly Tracker'!$F$2:$F$766&lt;&gt;""),'Weekly Tracker'!$F$2:$F$766),"")</f>
        <v/>
      </c>
      <c r="G56" s="16">
        <f>IF(F56&lt;&gt;"",LOOKUP(2,1/('Weekly Tracker'!$E$2:$E$766=$A56)/('Weekly Tracker'!$F$2:$F$766&lt;&gt;""),'Weekly Tracker'!$G$2:$G$766),"")</f>
        <v/>
      </c>
      <c r="H56" s="9">
        <f>IFERROR(LOOKUP(2,1/('Weekly Tracker'!$E$2:$E$766=$A56)/('Weekly Tracker'!$H$2:$H$766&lt;&gt;""),'Weekly Tracker'!$H$2:$H$766),"")</f>
        <v/>
      </c>
      <c r="I56" s="16">
        <f>IF(H56&lt;&gt;"",LOOKUP(2,1/('Weekly Tracker'!$E$2:$E$766=$A56)/('Weekly Tracker'!$H$2:$H$766&lt;&gt;""),'Weekly Tracker'!$I$2:$I$766),"")</f>
        <v/>
      </c>
      <c r="J56" s="9">
        <f>IFERROR(LOOKUP(2,1/('Weekly Tracker'!$E$2:$E$766=$A56)/('Weekly Tracker'!$J$2:$J$766&lt;&gt;""),'Weekly Tracker'!$J$2:$J$766),"")</f>
        <v/>
      </c>
      <c r="K56" s="9">
        <f>IFERROR(LOOKUP(2,1/('Weekly Tracker'!$E$2:$E$766=$A56)/('Weekly Tracker'!$N$2:$N$766&lt;&gt;""),'Weekly Tracker'!$N$2:$N$766),"")</f>
        <v/>
      </c>
      <c r="L56" s="9">
        <f>IFERROR(LOOKUP(2,1/('Weekly Tracker'!$E$2:$E$766=$A56)/('Weekly Tracker'!$O$2:$O$766&lt;&gt;""),'Weekly Tracker'!$O$2:$O$766),"")</f>
        <v/>
      </c>
    </row>
    <row r="57">
      <c r="A57" s="9" t="inlineStr">
        <is>
          <t>airtel live(AL)</t>
        </is>
      </c>
      <c r="B57" s="9" t="inlineStr">
        <is>
          <t>54321</t>
        </is>
      </c>
      <c r="C57" s="9" t="n"/>
      <c r="D57" s="9" t="n"/>
      <c r="E57" s="9" t="n"/>
      <c r="F57" s="9">
        <f>IFERROR(LOOKUP(2,1/('Weekly Tracker'!$E$2:$E$766=$A57)/('Weekly Tracker'!$F$2:$F$766&lt;&gt;""),'Weekly Tracker'!$F$2:$F$766),"")</f>
        <v/>
      </c>
      <c r="G57" s="16">
        <f>IF(F57&lt;&gt;"",LOOKUP(2,1/('Weekly Tracker'!$E$2:$E$766=$A57)/('Weekly Tracker'!$F$2:$F$766&lt;&gt;""),'Weekly Tracker'!$G$2:$G$766),"")</f>
        <v/>
      </c>
      <c r="H57" s="9">
        <f>IFERROR(LOOKUP(2,1/('Weekly Tracker'!$E$2:$E$766=$A57)/('Weekly Tracker'!$H$2:$H$766&lt;&gt;""),'Weekly Tracker'!$H$2:$H$766),"")</f>
        <v/>
      </c>
      <c r="I57" s="16">
        <f>IF(H57&lt;&gt;"",LOOKUP(2,1/('Weekly Tracker'!$E$2:$E$766=$A57)/('Weekly Tracker'!$H$2:$H$766&lt;&gt;""),'Weekly Tracker'!$I$2:$I$766),"")</f>
        <v/>
      </c>
      <c r="J57" s="9">
        <f>IFERROR(LOOKUP(2,1/('Weekly Tracker'!$E$2:$E$766=$A57)/('Weekly Tracker'!$J$2:$J$766&lt;&gt;""),'Weekly Tracker'!$J$2:$J$766),"")</f>
        <v/>
      </c>
      <c r="K57" s="9">
        <f>IFERROR(LOOKUP(2,1/('Weekly Tracker'!$E$2:$E$766=$A57)/('Weekly Tracker'!$N$2:$N$766&lt;&gt;""),'Weekly Tracker'!$N$2:$N$766),"")</f>
        <v/>
      </c>
      <c r="L57" s="9">
        <f>IFERROR(LOOKUP(2,1/('Weekly Tracker'!$E$2:$E$766=$A57)/('Weekly Tracker'!$O$2:$O$766&lt;&gt;""),'Weekly Tracker'!$O$2:$O$766),"")</f>
        <v/>
      </c>
    </row>
    <row r="58">
      <c r="A58" s="9" t="inlineStr">
        <is>
          <t>fire</t>
        </is>
      </c>
      <c r="B58" s="9" t="inlineStr">
        <is>
          <t>101</t>
        </is>
      </c>
      <c r="C58" s="9" t="n"/>
      <c r="D58" s="9" t="n"/>
      <c r="E58" s="9" t="n"/>
      <c r="F58" s="9">
        <f>IFERROR(LOOKUP(2,1/('Weekly Tracker'!$E$2:$E$766=$A58)/('Weekly Tracker'!$F$2:$F$766&lt;&gt;""),'Weekly Tracker'!$F$2:$F$766),"")</f>
        <v/>
      </c>
      <c r="G58" s="16">
        <f>IF(F58&lt;&gt;"",LOOKUP(2,1/('Weekly Tracker'!$E$2:$E$766=$A58)/('Weekly Tracker'!$F$2:$F$766&lt;&gt;""),'Weekly Tracker'!$G$2:$G$766),"")</f>
        <v/>
      </c>
      <c r="H58" s="9">
        <f>IFERROR(LOOKUP(2,1/('Weekly Tracker'!$E$2:$E$766=$A58)/('Weekly Tracker'!$H$2:$H$766&lt;&gt;""),'Weekly Tracker'!$H$2:$H$766),"")</f>
        <v/>
      </c>
      <c r="I58" s="16">
        <f>IF(H58&lt;&gt;"",LOOKUP(2,1/('Weekly Tracker'!$E$2:$E$766=$A58)/('Weekly Tracker'!$H$2:$H$766&lt;&gt;""),'Weekly Tracker'!$I$2:$I$766),"")</f>
        <v/>
      </c>
      <c r="J58" s="9">
        <f>IFERROR(LOOKUP(2,1/('Weekly Tracker'!$E$2:$E$766=$A58)/('Weekly Tracker'!$J$2:$J$766&lt;&gt;""),'Weekly Tracker'!$J$2:$J$766),"")</f>
        <v/>
      </c>
      <c r="K58" s="9">
        <f>IFERROR(LOOKUP(2,1/('Weekly Tracker'!$E$2:$E$766=$A58)/('Weekly Tracker'!$N$2:$N$766&lt;&gt;""),'Weekly Tracker'!$N$2:$N$766),"")</f>
        <v/>
      </c>
      <c r="L58" s="9">
        <f>IFERROR(LOOKUP(2,1/('Weekly Tracker'!$E$2:$E$766=$A58)/('Weekly Tracker'!$O$2:$O$766&lt;&gt;""),'Weekly Tracker'!$O$2:$O$766),"")</f>
        <v/>
      </c>
    </row>
    <row r="59">
      <c r="A59" s="9" t="inlineStr">
        <is>
          <t>airtel Store</t>
        </is>
      </c>
      <c r="B59" s="9" t="inlineStr">
        <is>
          <t>129</t>
        </is>
      </c>
      <c r="C59" s="9" t="n"/>
      <c r="D59" s="9" t="n"/>
      <c r="E59" s="9" t="n"/>
      <c r="F59" s="9">
        <f>IFERROR(LOOKUP(2,1/('Weekly Tracker'!$E$2:$E$766=$A59)/('Weekly Tracker'!$F$2:$F$766&lt;&gt;""),'Weekly Tracker'!$F$2:$F$766),"")</f>
        <v/>
      </c>
      <c r="G59" s="16">
        <f>IF(F59&lt;&gt;"",LOOKUP(2,1/('Weekly Tracker'!$E$2:$E$766=$A59)/('Weekly Tracker'!$F$2:$F$766&lt;&gt;""),'Weekly Tracker'!$G$2:$G$766),"")</f>
        <v/>
      </c>
      <c r="H59" s="9">
        <f>IFERROR(LOOKUP(2,1/('Weekly Tracker'!$E$2:$E$766=$A59)/('Weekly Tracker'!$H$2:$H$766&lt;&gt;""),'Weekly Tracker'!$H$2:$H$766),"")</f>
        <v/>
      </c>
      <c r="I59" s="16">
        <f>IF(H59&lt;&gt;"",LOOKUP(2,1/('Weekly Tracker'!$E$2:$E$766=$A59)/('Weekly Tracker'!$H$2:$H$766&lt;&gt;""),'Weekly Tracker'!$I$2:$I$766),"")</f>
        <v/>
      </c>
      <c r="J59" s="9">
        <f>IFERROR(LOOKUP(2,1/('Weekly Tracker'!$E$2:$E$766=$A59)/('Weekly Tracker'!$J$2:$J$766&lt;&gt;""),'Weekly Tracker'!$J$2:$J$766),"")</f>
        <v/>
      </c>
      <c r="K59" s="9">
        <f>IFERROR(LOOKUP(2,1/('Weekly Tracker'!$E$2:$E$766=$A59)/('Weekly Tracker'!$N$2:$N$766&lt;&gt;""),'Weekly Tracker'!$N$2:$N$766),"")</f>
        <v/>
      </c>
      <c r="L59" s="9">
        <f>IFERROR(LOOKUP(2,1/('Weekly Tracker'!$E$2:$E$766=$A59)/('Weekly Tracker'!$O$2:$O$766&lt;&gt;""),'Weekly Tracker'!$O$2:$O$766),"")</f>
        <v/>
      </c>
    </row>
    <row r="60">
      <c r="A60" s="9" t="inlineStr">
        <is>
          <t>CardForKnots Insta</t>
        </is>
      </c>
      <c r="B60" s="9" t="inlineStr">
        <is>
          <t>97910 64773</t>
        </is>
      </c>
      <c r="C60" s="9" t="n"/>
      <c r="D60" s="9" t="n"/>
      <c r="E60" s="9" t="n"/>
      <c r="F60" s="9">
        <f>IFERROR(LOOKUP(2,1/('Weekly Tracker'!$E$2:$E$766=$A60)/('Weekly Tracker'!$F$2:$F$766&lt;&gt;""),'Weekly Tracker'!$F$2:$F$766),"")</f>
        <v/>
      </c>
      <c r="G60" s="16">
        <f>IF(F60&lt;&gt;"",LOOKUP(2,1/('Weekly Tracker'!$E$2:$E$766=$A60)/('Weekly Tracker'!$F$2:$F$766&lt;&gt;""),'Weekly Tracker'!$G$2:$G$766),"")</f>
        <v/>
      </c>
      <c r="H60" s="9">
        <f>IFERROR(LOOKUP(2,1/('Weekly Tracker'!$E$2:$E$766=$A60)/('Weekly Tracker'!$H$2:$H$766&lt;&gt;""),'Weekly Tracker'!$H$2:$H$766),"")</f>
        <v/>
      </c>
      <c r="I60" s="16">
        <f>IF(H60&lt;&gt;"",LOOKUP(2,1/('Weekly Tracker'!$E$2:$E$766=$A60)/('Weekly Tracker'!$H$2:$H$766&lt;&gt;""),'Weekly Tracker'!$I$2:$I$766),"")</f>
        <v/>
      </c>
      <c r="J60" s="9">
        <f>IFERROR(LOOKUP(2,1/('Weekly Tracker'!$E$2:$E$766=$A60)/('Weekly Tracker'!$J$2:$J$766&lt;&gt;""),'Weekly Tracker'!$J$2:$J$766),"")</f>
        <v/>
      </c>
      <c r="K60" s="9">
        <f>IFERROR(LOOKUP(2,1/('Weekly Tracker'!$E$2:$E$766=$A60)/('Weekly Tracker'!$N$2:$N$766&lt;&gt;""),'Weekly Tracker'!$N$2:$N$766),"")</f>
        <v/>
      </c>
      <c r="L60" s="9">
        <f>IFERROR(LOOKUP(2,1/('Weekly Tracker'!$E$2:$E$766=$A60)/('Weekly Tracker'!$O$2:$O$766&lt;&gt;""),'Weekly Tracker'!$O$2:$O$766),"")</f>
        <v/>
      </c>
    </row>
    <row r="61">
      <c r="A61" s="9" t="inlineStr">
        <is>
          <t>Ranjith Samuvel Insta</t>
        </is>
      </c>
      <c r="B61" s="9" t="inlineStr">
        <is>
          <t>918754884707, 919489185601</t>
        </is>
      </c>
      <c r="C61" s="9" t="n"/>
      <c r="D61" s="9" t="n"/>
      <c r="E61" s="9" t="n"/>
      <c r="F61" s="9">
        <f>IFERROR(LOOKUP(2,1/('Weekly Tracker'!$E$2:$E$766=$A61)/('Weekly Tracker'!$F$2:$F$766&lt;&gt;""),'Weekly Tracker'!$F$2:$F$766),"")</f>
        <v/>
      </c>
      <c r="G61" s="16">
        <f>IF(F61&lt;&gt;"",LOOKUP(2,1/('Weekly Tracker'!$E$2:$E$766=$A61)/('Weekly Tracker'!$F$2:$F$766&lt;&gt;""),'Weekly Tracker'!$G$2:$G$766),"")</f>
        <v/>
      </c>
      <c r="H61" s="9">
        <f>IFERROR(LOOKUP(2,1/('Weekly Tracker'!$E$2:$E$766=$A61)/('Weekly Tracker'!$H$2:$H$766&lt;&gt;""),'Weekly Tracker'!$H$2:$H$766),"")</f>
        <v/>
      </c>
      <c r="I61" s="16">
        <f>IF(H61&lt;&gt;"",LOOKUP(2,1/('Weekly Tracker'!$E$2:$E$766=$A61)/('Weekly Tracker'!$H$2:$H$766&lt;&gt;""),'Weekly Tracker'!$I$2:$I$766),"")</f>
        <v/>
      </c>
      <c r="J61" s="9">
        <f>IFERROR(LOOKUP(2,1/('Weekly Tracker'!$E$2:$E$766=$A61)/('Weekly Tracker'!$J$2:$J$766&lt;&gt;""),'Weekly Tracker'!$J$2:$J$766),"")</f>
        <v/>
      </c>
      <c r="K61" s="9">
        <f>IFERROR(LOOKUP(2,1/('Weekly Tracker'!$E$2:$E$766=$A61)/('Weekly Tracker'!$N$2:$N$766&lt;&gt;""),'Weekly Tracker'!$N$2:$N$766),"")</f>
        <v/>
      </c>
      <c r="L61" s="9">
        <f>IFERROR(LOOKUP(2,1/('Weekly Tracker'!$E$2:$E$766=$A61)/('Weekly Tracker'!$O$2:$O$766&lt;&gt;""),'Weekly Tracker'!$O$2:$O$766),"")</f>
        <v/>
      </c>
    </row>
    <row r="62">
      <c r="A62" s="9" t="inlineStr">
        <is>
          <t>Azad samsl. Bro</t>
        </is>
      </c>
      <c r="B62" s="9" t="inlineStr">
        <is>
          <t>918489539490</t>
        </is>
      </c>
      <c r="C62" s="9" t="n"/>
      <c r="D62" s="9" t="n"/>
      <c r="E62" s="9" t="n"/>
      <c r="F62" s="9">
        <f>IFERROR(LOOKUP(2,1/('Weekly Tracker'!$E$2:$E$766=$A62)/('Weekly Tracker'!$F$2:$F$766&lt;&gt;""),'Weekly Tracker'!$F$2:$F$766),"")</f>
        <v/>
      </c>
      <c r="G62" s="16">
        <f>IF(F62&lt;&gt;"",LOOKUP(2,1/('Weekly Tracker'!$E$2:$E$766=$A62)/('Weekly Tracker'!$F$2:$F$766&lt;&gt;""),'Weekly Tracker'!$G$2:$G$766),"")</f>
        <v/>
      </c>
      <c r="H62" s="9">
        <f>IFERROR(LOOKUP(2,1/('Weekly Tracker'!$E$2:$E$766=$A62)/('Weekly Tracker'!$H$2:$H$766&lt;&gt;""),'Weekly Tracker'!$H$2:$H$766),"")</f>
        <v/>
      </c>
      <c r="I62" s="16">
        <f>IF(H62&lt;&gt;"",LOOKUP(2,1/('Weekly Tracker'!$E$2:$E$766=$A62)/('Weekly Tracker'!$H$2:$H$766&lt;&gt;""),'Weekly Tracker'!$I$2:$I$766),"")</f>
        <v/>
      </c>
      <c r="J62" s="9">
        <f>IFERROR(LOOKUP(2,1/('Weekly Tracker'!$E$2:$E$766=$A62)/('Weekly Tracker'!$J$2:$J$766&lt;&gt;""),'Weekly Tracker'!$J$2:$J$766),"")</f>
        <v/>
      </c>
      <c r="K62" s="9">
        <f>IFERROR(LOOKUP(2,1/('Weekly Tracker'!$E$2:$E$766=$A62)/('Weekly Tracker'!$N$2:$N$766&lt;&gt;""),'Weekly Tracker'!$N$2:$N$766),"")</f>
        <v/>
      </c>
      <c r="L62" s="9">
        <f>IFERROR(LOOKUP(2,1/('Weekly Tracker'!$E$2:$E$766=$A62)/('Weekly Tracker'!$O$2:$O$766&lt;&gt;""),'Weekly Tracker'!$O$2:$O$766),"")</f>
        <v/>
      </c>
    </row>
    <row r="63">
      <c r="A63" s="9" t="inlineStr">
        <is>
          <t>Suresh Rajan-KSR Insta</t>
        </is>
      </c>
      <c r="B63" s="9" t="inlineStr">
        <is>
          <t>6379448501</t>
        </is>
      </c>
      <c r="C63" s="9" t="n"/>
      <c r="D63" s="9" t="n"/>
      <c r="E63" s="9" t="n"/>
      <c r="F63" s="9">
        <f>IFERROR(LOOKUP(2,1/('Weekly Tracker'!$E$2:$E$766=$A63)/('Weekly Tracker'!$F$2:$F$766&lt;&gt;""),'Weekly Tracker'!$F$2:$F$766),"")</f>
        <v/>
      </c>
      <c r="G63" s="16">
        <f>IF(F63&lt;&gt;"",LOOKUP(2,1/('Weekly Tracker'!$E$2:$E$766=$A63)/('Weekly Tracker'!$F$2:$F$766&lt;&gt;""),'Weekly Tracker'!$G$2:$G$766),"")</f>
        <v/>
      </c>
      <c r="H63" s="9">
        <f>IFERROR(LOOKUP(2,1/('Weekly Tracker'!$E$2:$E$766=$A63)/('Weekly Tracker'!$H$2:$H$766&lt;&gt;""),'Weekly Tracker'!$H$2:$H$766),"")</f>
        <v/>
      </c>
      <c r="I63" s="16">
        <f>IF(H63&lt;&gt;"",LOOKUP(2,1/('Weekly Tracker'!$E$2:$E$766=$A63)/('Weekly Tracker'!$H$2:$H$766&lt;&gt;""),'Weekly Tracker'!$I$2:$I$766),"")</f>
        <v/>
      </c>
      <c r="J63" s="9">
        <f>IFERROR(LOOKUP(2,1/('Weekly Tracker'!$E$2:$E$766=$A63)/('Weekly Tracker'!$J$2:$J$766&lt;&gt;""),'Weekly Tracker'!$J$2:$J$766),"")</f>
        <v/>
      </c>
      <c r="K63" s="9">
        <f>IFERROR(LOOKUP(2,1/('Weekly Tracker'!$E$2:$E$766=$A63)/('Weekly Tracker'!$N$2:$N$766&lt;&gt;""),'Weekly Tracker'!$N$2:$N$766),"")</f>
        <v/>
      </c>
      <c r="L63" s="9">
        <f>IFERROR(LOOKUP(2,1/('Weekly Tracker'!$E$2:$E$766=$A63)/('Weekly Tracker'!$O$2:$O$766&lt;&gt;""),'Weekly Tracker'!$O$2:$O$766),"")</f>
        <v/>
      </c>
    </row>
    <row r="64">
      <c r="A64" s="9" t="inlineStr">
        <is>
          <t>Ramesh Akka</t>
        </is>
      </c>
      <c r="B64" s="9" t="inlineStr">
        <is>
          <t>919655206161</t>
        </is>
      </c>
      <c r="C64" s="9" t="n"/>
      <c r="D64" s="9" t="n"/>
      <c r="E64" s="9" t="n"/>
      <c r="F64" s="9">
        <f>IFERROR(LOOKUP(2,1/('Weekly Tracker'!$E$2:$E$766=$A64)/('Weekly Tracker'!$F$2:$F$766&lt;&gt;""),'Weekly Tracker'!$F$2:$F$766),"")</f>
        <v/>
      </c>
      <c r="G64" s="16">
        <f>IF(F64&lt;&gt;"",LOOKUP(2,1/('Weekly Tracker'!$E$2:$E$766=$A64)/('Weekly Tracker'!$F$2:$F$766&lt;&gt;""),'Weekly Tracker'!$G$2:$G$766),"")</f>
        <v/>
      </c>
      <c r="H64" s="9">
        <f>IFERROR(LOOKUP(2,1/('Weekly Tracker'!$E$2:$E$766=$A64)/('Weekly Tracker'!$H$2:$H$766&lt;&gt;""),'Weekly Tracker'!$H$2:$H$766),"")</f>
        <v/>
      </c>
      <c r="I64" s="16">
        <f>IF(H64&lt;&gt;"",LOOKUP(2,1/('Weekly Tracker'!$E$2:$E$766=$A64)/('Weekly Tracker'!$H$2:$H$766&lt;&gt;""),'Weekly Tracker'!$I$2:$I$766),"")</f>
        <v/>
      </c>
      <c r="J64" s="9">
        <f>IFERROR(LOOKUP(2,1/('Weekly Tracker'!$E$2:$E$766=$A64)/('Weekly Tracker'!$J$2:$J$766&lt;&gt;""),'Weekly Tracker'!$J$2:$J$766),"")</f>
        <v/>
      </c>
      <c r="K64" s="9">
        <f>IFERROR(LOOKUP(2,1/('Weekly Tracker'!$E$2:$E$766=$A64)/('Weekly Tracker'!$N$2:$N$766&lt;&gt;""),'Weekly Tracker'!$N$2:$N$766),"")</f>
        <v/>
      </c>
      <c r="L64" s="9">
        <f>IFERROR(LOOKUP(2,1/('Weekly Tracker'!$E$2:$E$766=$A64)/('Weekly Tracker'!$O$2:$O$766&lt;&gt;""),'Weekly Tracker'!$O$2:$O$766),"")</f>
        <v/>
      </c>
    </row>
    <row r="65">
      <c r="A65" s="9" t="inlineStr">
        <is>
          <t>Ponram</t>
        </is>
      </c>
      <c r="B65" s="9" t="inlineStr">
        <is>
          <t>918012903203</t>
        </is>
      </c>
      <c r="C65" s="9" t="n"/>
      <c r="D65" s="9" t="n"/>
      <c r="E65" s="9" t="n"/>
      <c r="F65" s="9">
        <f>IFERROR(LOOKUP(2,1/('Weekly Tracker'!$E$2:$E$766=$A65)/('Weekly Tracker'!$F$2:$F$766&lt;&gt;""),'Weekly Tracker'!$F$2:$F$766),"")</f>
        <v/>
      </c>
      <c r="G65" s="16">
        <f>IF(F65&lt;&gt;"",LOOKUP(2,1/('Weekly Tracker'!$E$2:$E$766=$A65)/('Weekly Tracker'!$F$2:$F$766&lt;&gt;""),'Weekly Tracker'!$G$2:$G$766),"")</f>
        <v/>
      </c>
      <c r="H65" s="9">
        <f>IFERROR(LOOKUP(2,1/('Weekly Tracker'!$E$2:$E$766=$A65)/('Weekly Tracker'!$H$2:$H$766&lt;&gt;""),'Weekly Tracker'!$H$2:$H$766),"")</f>
        <v/>
      </c>
      <c r="I65" s="16">
        <f>IF(H65&lt;&gt;"",LOOKUP(2,1/('Weekly Tracker'!$E$2:$E$766=$A65)/('Weekly Tracker'!$H$2:$H$766&lt;&gt;""),'Weekly Tracker'!$I$2:$I$766),"")</f>
        <v/>
      </c>
      <c r="J65" s="9">
        <f>IFERROR(LOOKUP(2,1/('Weekly Tracker'!$E$2:$E$766=$A65)/('Weekly Tracker'!$J$2:$J$766&lt;&gt;""),'Weekly Tracker'!$J$2:$J$766),"")</f>
        <v/>
      </c>
      <c r="K65" s="9">
        <f>IFERROR(LOOKUP(2,1/('Weekly Tracker'!$E$2:$E$766=$A65)/('Weekly Tracker'!$N$2:$N$766&lt;&gt;""),'Weekly Tracker'!$N$2:$N$766),"")</f>
        <v/>
      </c>
      <c r="L65" s="9">
        <f>IFERROR(LOOKUP(2,1/('Weekly Tracker'!$E$2:$E$766=$A65)/('Weekly Tracker'!$O$2:$O$766&lt;&gt;""),'Weekly Tracker'!$O$2:$O$766),"")</f>
        <v/>
      </c>
    </row>
    <row r="66">
      <c r="A66" s="9" t="inlineStr">
        <is>
          <t>Jaffer FB</t>
        </is>
      </c>
      <c r="B66" s="9" t="inlineStr">
        <is>
          <t>9092214011</t>
        </is>
      </c>
      <c r="C66" s="9" t="n"/>
      <c r="D66" s="9" t="n"/>
      <c r="E66" s="9" t="n"/>
      <c r="F66" s="9">
        <f>IFERROR(LOOKUP(2,1/('Weekly Tracker'!$E$2:$E$766=$A66)/('Weekly Tracker'!$F$2:$F$766&lt;&gt;""),'Weekly Tracker'!$F$2:$F$766),"")</f>
        <v/>
      </c>
      <c r="G66" s="16">
        <f>IF(F66&lt;&gt;"",LOOKUP(2,1/('Weekly Tracker'!$E$2:$E$766=$A66)/('Weekly Tracker'!$F$2:$F$766&lt;&gt;""),'Weekly Tracker'!$G$2:$G$766),"")</f>
        <v/>
      </c>
      <c r="H66" s="9">
        <f>IFERROR(LOOKUP(2,1/('Weekly Tracker'!$E$2:$E$766=$A66)/('Weekly Tracker'!$H$2:$H$766&lt;&gt;""),'Weekly Tracker'!$H$2:$H$766),"")</f>
        <v/>
      </c>
      <c r="I66" s="16">
        <f>IF(H66&lt;&gt;"",LOOKUP(2,1/('Weekly Tracker'!$E$2:$E$766=$A66)/('Weekly Tracker'!$H$2:$H$766&lt;&gt;""),'Weekly Tracker'!$I$2:$I$766),"")</f>
        <v/>
      </c>
      <c r="J66" s="9">
        <f>IFERROR(LOOKUP(2,1/('Weekly Tracker'!$E$2:$E$766=$A66)/('Weekly Tracker'!$J$2:$J$766&lt;&gt;""),'Weekly Tracker'!$J$2:$J$766),"")</f>
        <v/>
      </c>
      <c r="K66" s="9">
        <f>IFERROR(LOOKUP(2,1/('Weekly Tracker'!$E$2:$E$766=$A66)/('Weekly Tracker'!$N$2:$N$766&lt;&gt;""),'Weekly Tracker'!$N$2:$N$766),"")</f>
        <v/>
      </c>
      <c r="L66" s="9">
        <f>IFERROR(LOOKUP(2,1/('Weekly Tracker'!$E$2:$E$766=$A66)/('Weekly Tracker'!$O$2:$O$766&lt;&gt;""),'Weekly Tracker'!$O$2:$O$766),"")</f>
        <v/>
      </c>
    </row>
    <row r="67">
      <c r="A67" s="9" t="inlineStr">
        <is>
          <t>Durga Prasad Chn</t>
        </is>
      </c>
      <c r="B67" s="9" t="inlineStr">
        <is>
          <t>919176706486</t>
        </is>
      </c>
      <c r="C67" s="9" t="n"/>
      <c r="D67" s="9" t="n"/>
      <c r="E67" s="9" t="n"/>
      <c r="F67" s="9">
        <f>IFERROR(LOOKUP(2,1/('Weekly Tracker'!$E$2:$E$766=$A67)/('Weekly Tracker'!$F$2:$F$766&lt;&gt;""),'Weekly Tracker'!$F$2:$F$766),"")</f>
        <v/>
      </c>
      <c r="G67" s="16">
        <f>IF(F67&lt;&gt;"",LOOKUP(2,1/('Weekly Tracker'!$E$2:$E$766=$A67)/('Weekly Tracker'!$F$2:$F$766&lt;&gt;""),'Weekly Tracker'!$G$2:$G$766),"")</f>
        <v/>
      </c>
      <c r="H67" s="9">
        <f>IFERROR(LOOKUP(2,1/('Weekly Tracker'!$E$2:$E$766=$A67)/('Weekly Tracker'!$H$2:$H$766&lt;&gt;""),'Weekly Tracker'!$H$2:$H$766),"")</f>
        <v/>
      </c>
      <c r="I67" s="16">
        <f>IF(H67&lt;&gt;"",LOOKUP(2,1/('Weekly Tracker'!$E$2:$E$766=$A67)/('Weekly Tracker'!$H$2:$H$766&lt;&gt;""),'Weekly Tracker'!$I$2:$I$766),"")</f>
        <v/>
      </c>
      <c r="J67" s="9">
        <f>IFERROR(LOOKUP(2,1/('Weekly Tracker'!$E$2:$E$766=$A67)/('Weekly Tracker'!$J$2:$J$766&lt;&gt;""),'Weekly Tracker'!$J$2:$J$766),"")</f>
        <v/>
      </c>
      <c r="K67" s="9">
        <f>IFERROR(LOOKUP(2,1/('Weekly Tracker'!$E$2:$E$766=$A67)/('Weekly Tracker'!$N$2:$N$766&lt;&gt;""),'Weekly Tracker'!$N$2:$N$766),"")</f>
        <v/>
      </c>
      <c r="L67" s="9">
        <f>IFERROR(LOOKUP(2,1/('Weekly Tracker'!$E$2:$E$766=$A67)/('Weekly Tracker'!$O$2:$O$766&lt;&gt;""),'Weekly Tracker'!$O$2:$O$766),"")</f>
        <v/>
      </c>
    </row>
    <row r="68">
      <c r="A68" s="9" t="inlineStr">
        <is>
          <t>Ganesh Urja</t>
        </is>
      </c>
      <c r="B68" s="9" t="inlineStr">
        <is>
          <t>919943820178</t>
        </is>
      </c>
      <c r="C68" s="9" t="n"/>
      <c r="D68" s="9" t="n"/>
      <c r="E68" s="9" t="n"/>
      <c r="F68" s="9">
        <f>IFERROR(LOOKUP(2,1/('Weekly Tracker'!$E$2:$E$766=$A68)/('Weekly Tracker'!$F$2:$F$766&lt;&gt;""),'Weekly Tracker'!$F$2:$F$766),"")</f>
        <v/>
      </c>
      <c r="G68" s="16">
        <f>IF(F68&lt;&gt;"",LOOKUP(2,1/('Weekly Tracker'!$E$2:$E$766=$A68)/('Weekly Tracker'!$F$2:$F$766&lt;&gt;""),'Weekly Tracker'!$G$2:$G$766),"")</f>
        <v/>
      </c>
      <c r="H68" s="9">
        <f>IFERROR(LOOKUP(2,1/('Weekly Tracker'!$E$2:$E$766=$A68)/('Weekly Tracker'!$H$2:$H$766&lt;&gt;""),'Weekly Tracker'!$H$2:$H$766),"")</f>
        <v/>
      </c>
      <c r="I68" s="16">
        <f>IF(H68&lt;&gt;"",LOOKUP(2,1/('Weekly Tracker'!$E$2:$E$766=$A68)/('Weekly Tracker'!$H$2:$H$766&lt;&gt;""),'Weekly Tracker'!$I$2:$I$766),"")</f>
        <v/>
      </c>
      <c r="J68" s="9">
        <f>IFERROR(LOOKUP(2,1/('Weekly Tracker'!$E$2:$E$766=$A68)/('Weekly Tracker'!$J$2:$J$766&lt;&gt;""),'Weekly Tracker'!$J$2:$J$766),"")</f>
        <v/>
      </c>
      <c r="K68" s="9">
        <f>IFERROR(LOOKUP(2,1/('Weekly Tracker'!$E$2:$E$766=$A68)/('Weekly Tracker'!$N$2:$N$766&lt;&gt;""),'Weekly Tracker'!$N$2:$N$766),"")</f>
        <v/>
      </c>
      <c r="L68" s="9">
        <f>IFERROR(LOOKUP(2,1/('Weekly Tracker'!$E$2:$E$766=$A68)/('Weekly Tracker'!$O$2:$O$766&lt;&gt;""),'Weekly Tracker'!$O$2:$O$766),"")</f>
        <v/>
      </c>
    </row>
    <row r="69">
      <c r="A69" s="9" t="inlineStr">
        <is>
          <t>Dhanunjaya Verz</t>
        </is>
      </c>
      <c r="B69" s="9" t="inlineStr">
        <is>
          <t>919966119533</t>
        </is>
      </c>
      <c r="C69" s="9" t="n"/>
      <c r="D69" s="9" t="n"/>
      <c r="E69" s="9" t="n"/>
      <c r="F69" s="9">
        <f>IFERROR(LOOKUP(2,1/('Weekly Tracker'!$E$2:$E$766=$A69)/('Weekly Tracker'!$F$2:$F$766&lt;&gt;""),'Weekly Tracker'!$F$2:$F$766),"")</f>
        <v/>
      </c>
      <c r="G69" s="16">
        <f>IF(F69&lt;&gt;"",LOOKUP(2,1/('Weekly Tracker'!$E$2:$E$766=$A69)/('Weekly Tracker'!$F$2:$F$766&lt;&gt;""),'Weekly Tracker'!$G$2:$G$766),"")</f>
        <v/>
      </c>
      <c r="H69" s="9">
        <f>IFERROR(LOOKUP(2,1/('Weekly Tracker'!$E$2:$E$766=$A69)/('Weekly Tracker'!$H$2:$H$766&lt;&gt;""),'Weekly Tracker'!$H$2:$H$766),"")</f>
        <v/>
      </c>
      <c r="I69" s="16">
        <f>IF(H69&lt;&gt;"",LOOKUP(2,1/('Weekly Tracker'!$E$2:$E$766=$A69)/('Weekly Tracker'!$H$2:$H$766&lt;&gt;""),'Weekly Tracker'!$I$2:$I$766),"")</f>
        <v/>
      </c>
      <c r="J69" s="9">
        <f>IFERROR(LOOKUP(2,1/('Weekly Tracker'!$E$2:$E$766=$A69)/('Weekly Tracker'!$J$2:$J$766&lt;&gt;""),'Weekly Tracker'!$J$2:$J$766),"")</f>
        <v/>
      </c>
      <c r="K69" s="9">
        <f>IFERROR(LOOKUP(2,1/('Weekly Tracker'!$E$2:$E$766=$A69)/('Weekly Tracker'!$N$2:$N$766&lt;&gt;""),'Weekly Tracker'!$N$2:$N$766),"")</f>
        <v/>
      </c>
      <c r="L69" s="9">
        <f>IFERROR(LOOKUP(2,1/('Weekly Tracker'!$E$2:$E$766=$A69)/('Weekly Tracker'!$O$2:$O$766&lt;&gt;""),'Weekly Tracker'!$O$2:$O$766),"")</f>
        <v/>
      </c>
    </row>
    <row r="70">
      <c r="A70" s="9" t="inlineStr">
        <is>
          <t>VigneshMurugan Urja</t>
        </is>
      </c>
      <c r="B70" s="9" t="inlineStr">
        <is>
          <t>9629184428</t>
        </is>
      </c>
      <c r="C70" s="9" t="n"/>
      <c r="D70" s="9" t="n"/>
      <c r="E70" s="9" t="n"/>
      <c r="F70" s="9">
        <f>IFERROR(LOOKUP(2,1/('Weekly Tracker'!$E$2:$E$766=$A70)/('Weekly Tracker'!$F$2:$F$766&lt;&gt;""),'Weekly Tracker'!$F$2:$F$766),"")</f>
        <v/>
      </c>
      <c r="G70" s="16">
        <f>IF(F70&lt;&gt;"",LOOKUP(2,1/('Weekly Tracker'!$E$2:$E$766=$A70)/('Weekly Tracker'!$F$2:$F$766&lt;&gt;""),'Weekly Tracker'!$G$2:$G$766),"")</f>
        <v/>
      </c>
      <c r="H70" s="9">
        <f>IFERROR(LOOKUP(2,1/('Weekly Tracker'!$E$2:$E$766=$A70)/('Weekly Tracker'!$H$2:$H$766&lt;&gt;""),'Weekly Tracker'!$H$2:$H$766),"")</f>
        <v/>
      </c>
      <c r="I70" s="16">
        <f>IF(H70&lt;&gt;"",LOOKUP(2,1/('Weekly Tracker'!$E$2:$E$766=$A70)/('Weekly Tracker'!$H$2:$H$766&lt;&gt;""),'Weekly Tracker'!$I$2:$I$766),"")</f>
        <v/>
      </c>
      <c r="J70" s="9">
        <f>IFERROR(LOOKUP(2,1/('Weekly Tracker'!$E$2:$E$766=$A70)/('Weekly Tracker'!$J$2:$J$766&lt;&gt;""),'Weekly Tracker'!$J$2:$J$766),"")</f>
        <v/>
      </c>
      <c r="K70" s="9">
        <f>IFERROR(LOOKUP(2,1/('Weekly Tracker'!$E$2:$E$766=$A70)/('Weekly Tracker'!$N$2:$N$766&lt;&gt;""),'Weekly Tracker'!$N$2:$N$766),"")</f>
        <v/>
      </c>
      <c r="L70" s="9">
        <f>IFERROR(LOOKUP(2,1/('Weekly Tracker'!$E$2:$E$766=$A70)/('Weekly Tracker'!$O$2:$O$766&lt;&gt;""),'Weekly Tracker'!$O$2:$O$766),"")</f>
        <v/>
      </c>
    </row>
    <row r="71">
      <c r="A71" s="9" t="inlineStr">
        <is>
          <t>Muthu Mari CSE Prof</t>
        </is>
      </c>
      <c r="B71" s="9" t="inlineStr">
        <is>
          <t>919443040782</t>
        </is>
      </c>
      <c r="C71" s="9" t="n"/>
      <c r="D71" s="9" t="n"/>
      <c r="E71" s="9" t="n"/>
      <c r="F71" s="9">
        <f>IFERROR(LOOKUP(2,1/('Weekly Tracker'!$E$2:$E$766=$A71)/('Weekly Tracker'!$F$2:$F$766&lt;&gt;""),'Weekly Tracker'!$F$2:$F$766),"")</f>
        <v/>
      </c>
      <c r="G71" s="16">
        <f>IF(F71&lt;&gt;"",LOOKUP(2,1/('Weekly Tracker'!$E$2:$E$766=$A71)/('Weekly Tracker'!$F$2:$F$766&lt;&gt;""),'Weekly Tracker'!$G$2:$G$766),"")</f>
        <v/>
      </c>
      <c r="H71" s="9">
        <f>IFERROR(LOOKUP(2,1/('Weekly Tracker'!$E$2:$E$766=$A71)/('Weekly Tracker'!$H$2:$H$766&lt;&gt;""),'Weekly Tracker'!$H$2:$H$766),"")</f>
        <v/>
      </c>
      <c r="I71" s="16">
        <f>IF(H71&lt;&gt;"",LOOKUP(2,1/('Weekly Tracker'!$E$2:$E$766=$A71)/('Weekly Tracker'!$H$2:$H$766&lt;&gt;""),'Weekly Tracker'!$I$2:$I$766),"")</f>
        <v/>
      </c>
      <c r="J71" s="9">
        <f>IFERROR(LOOKUP(2,1/('Weekly Tracker'!$E$2:$E$766=$A71)/('Weekly Tracker'!$J$2:$J$766&lt;&gt;""),'Weekly Tracker'!$J$2:$J$766),"")</f>
        <v/>
      </c>
      <c r="K71" s="9">
        <f>IFERROR(LOOKUP(2,1/('Weekly Tracker'!$E$2:$E$766=$A71)/('Weekly Tracker'!$N$2:$N$766&lt;&gt;""),'Weekly Tracker'!$N$2:$N$766),"")</f>
        <v/>
      </c>
      <c r="L71" s="9">
        <f>IFERROR(LOOKUP(2,1/('Weekly Tracker'!$E$2:$E$766=$A71)/('Weekly Tracker'!$O$2:$O$766&lt;&gt;""),'Weekly Tracker'!$O$2:$O$766),"")</f>
        <v/>
      </c>
    </row>
    <row r="72">
      <c r="A72" s="9" t="inlineStr">
        <is>
          <t>Priya HDFC</t>
        </is>
      </c>
      <c r="B72" s="9" t="inlineStr">
        <is>
          <t>914446347715</t>
        </is>
      </c>
      <c r="C72" s="9" t="n"/>
      <c r="D72" s="9" t="n"/>
      <c r="E72" s="9" t="n"/>
      <c r="F72" s="9">
        <f>IFERROR(LOOKUP(2,1/('Weekly Tracker'!$E$2:$E$766=$A72)/('Weekly Tracker'!$F$2:$F$766&lt;&gt;""),'Weekly Tracker'!$F$2:$F$766),"")</f>
        <v/>
      </c>
      <c r="G72" s="16">
        <f>IF(F72&lt;&gt;"",LOOKUP(2,1/('Weekly Tracker'!$E$2:$E$766=$A72)/('Weekly Tracker'!$F$2:$F$766&lt;&gt;""),'Weekly Tracker'!$G$2:$G$766),"")</f>
        <v/>
      </c>
      <c r="H72" s="9">
        <f>IFERROR(LOOKUP(2,1/('Weekly Tracker'!$E$2:$E$766=$A72)/('Weekly Tracker'!$H$2:$H$766&lt;&gt;""),'Weekly Tracker'!$H$2:$H$766),"")</f>
        <v/>
      </c>
      <c r="I72" s="16">
        <f>IF(H72&lt;&gt;"",LOOKUP(2,1/('Weekly Tracker'!$E$2:$E$766=$A72)/('Weekly Tracker'!$H$2:$H$766&lt;&gt;""),'Weekly Tracker'!$I$2:$I$766),"")</f>
        <v/>
      </c>
      <c r="J72" s="9">
        <f>IFERROR(LOOKUP(2,1/('Weekly Tracker'!$E$2:$E$766=$A72)/('Weekly Tracker'!$J$2:$J$766&lt;&gt;""),'Weekly Tracker'!$J$2:$J$766),"")</f>
        <v/>
      </c>
      <c r="K72" s="9">
        <f>IFERROR(LOOKUP(2,1/('Weekly Tracker'!$E$2:$E$766=$A72)/('Weekly Tracker'!$N$2:$N$766&lt;&gt;""),'Weekly Tracker'!$N$2:$N$766),"")</f>
        <v/>
      </c>
      <c r="L72" s="9">
        <f>IFERROR(LOOKUP(2,1/('Weekly Tracker'!$E$2:$E$766=$A72)/('Weekly Tracker'!$O$2:$O$766&lt;&gt;""),'Weekly Tracker'!$O$2:$O$766),"")</f>
        <v/>
      </c>
    </row>
    <row r="73">
      <c r="A73" s="9" t="inlineStr">
        <is>
          <t>Aravind Ramesh FB</t>
        </is>
      </c>
      <c r="B73" s="9" t="inlineStr">
        <is>
          <t>9994494705</t>
        </is>
      </c>
      <c r="C73" s="9" t="n"/>
      <c r="D73" s="9" t="n"/>
      <c r="E73" s="9" t="n"/>
      <c r="F73" s="9">
        <f>IFERROR(LOOKUP(2,1/('Weekly Tracker'!$E$2:$E$766=$A73)/('Weekly Tracker'!$F$2:$F$766&lt;&gt;""),'Weekly Tracker'!$F$2:$F$766),"")</f>
        <v/>
      </c>
      <c r="G73" s="16">
        <f>IF(F73&lt;&gt;"",LOOKUP(2,1/('Weekly Tracker'!$E$2:$E$766=$A73)/('Weekly Tracker'!$F$2:$F$766&lt;&gt;""),'Weekly Tracker'!$G$2:$G$766),"")</f>
        <v/>
      </c>
      <c r="H73" s="9">
        <f>IFERROR(LOOKUP(2,1/('Weekly Tracker'!$E$2:$E$766=$A73)/('Weekly Tracker'!$H$2:$H$766&lt;&gt;""),'Weekly Tracker'!$H$2:$H$766),"")</f>
        <v/>
      </c>
      <c r="I73" s="16">
        <f>IF(H73&lt;&gt;"",LOOKUP(2,1/('Weekly Tracker'!$E$2:$E$766=$A73)/('Weekly Tracker'!$H$2:$H$766&lt;&gt;""),'Weekly Tracker'!$I$2:$I$766),"")</f>
        <v/>
      </c>
      <c r="J73" s="9">
        <f>IFERROR(LOOKUP(2,1/('Weekly Tracker'!$E$2:$E$766=$A73)/('Weekly Tracker'!$J$2:$J$766&lt;&gt;""),'Weekly Tracker'!$J$2:$J$766),"")</f>
        <v/>
      </c>
      <c r="K73" s="9">
        <f>IFERROR(LOOKUP(2,1/('Weekly Tracker'!$E$2:$E$766=$A73)/('Weekly Tracker'!$N$2:$N$766&lt;&gt;""),'Weekly Tracker'!$N$2:$N$766),"")</f>
        <v/>
      </c>
      <c r="L73" s="9">
        <f>IFERROR(LOOKUP(2,1/('Weekly Tracker'!$E$2:$E$766=$A73)/('Weekly Tracker'!$O$2:$O$766&lt;&gt;""),'Weekly Tracker'!$O$2:$O$766),"")</f>
        <v/>
      </c>
    </row>
    <row r="74">
      <c r="A74" s="9" t="inlineStr">
        <is>
          <t>Arjun Grp Ucen</t>
        </is>
      </c>
      <c r="B74" s="9" t="inlineStr">
        <is>
          <t>81108 17950</t>
        </is>
      </c>
      <c r="C74" s="9" t="n"/>
      <c r="D74" s="9" t="n"/>
      <c r="E74" s="9" t="n"/>
      <c r="F74" s="9">
        <f>IFERROR(LOOKUP(2,1/('Weekly Tracker'!$E$2:$E$766=$A74)/('Weekly Tracker'!$F$2:$F$766&lt;&gt;""),'Weekly Tracker'!$F$2:$F$766),"")</f>
        <v/>
      </c>
      <c r="G74" s="16">
        <f>IF(F74&lt;&gt;"",LOOKUP(2,1/('Weekly Tracker'!$E$2:$E$766=$A74)/('Weekly Tracker'!$F$2:$F$766&lt;&gt;""),'Weekly Tracker'!$G$2:$G$766),"")</f>
        <v/>
      </c>
      <c r="H74" s="9">
        <f>IFERROR(LOOKUP(2,1/('Weekly Tracker'!$E$2:$E$766=$A74)/('Weekly Tracker'!$H$2:$H$766&lt;&gt;""),'Weekly Tracker'!$H$2:$H$766),"")</f>
        <v/>
      </c>
      <c r="I74" s="16">
        <f>IF(H74&lt;&gt;"",LOOKUP(2,1/('Weekly Tracker'!$E$2:$E$766=$A74)/('Weekly Tracker'!$H$2:$H$766&lt;&gt;""),'Weekly Tracker'!$I$2:$I$766),"")</f>
        <v/>
      </c>
      <c r="J74" s="9">
        <f>IFERROR(LOOKUP(2,1/('Weekly Tracker'!$E$2:$E$766=$A74)/('Weekly Tracker'!$J$2:$J$766&lt;&gt;""),'Weekly Tracker'!$J$2:$J$766),"")</f>
        <v/>
      </c>
      <c r="K74" s="9">
        <f>IFERROR(LOOKUP(2,1/('Weekly Tracker'!$E$2:$E$766=$A74)/('Weekly Tracker'!$N$2:$N$766&lt;&gt;""),'Weekly Tracker'!$N$2:$N$766),"")</f>
        <v/>
      </c>
      <c r="L74" s="9">
        <f>IFERROR(LOOKUP(2,1/('Weekly Tracker'!$E$2:$E$766=$A74)/('Weekly Tracker'!$O$2:$O$766&lt;&gt;""),'Weekly Tracker'!$O$2:$O$766),"")</f>
        <v/>
      </c>
    </row>
    <row r="75">
      <c r="A75" s="9" t="inlineStr">
        <is>
          <t>Stalin Scl</t>
        </is>
      </c>
      <c r="B75" s="9" t="inlineStr">
        <is>
          <t>919715958383</t>
        </is>
      </c>
      <c r="C75" s="9" t="n"/>
      <c r="D75" s="9" t="n"/>
      <c r="E75" s="9" t="n"/>
      <c r="F75" s="9">
        <f>IFERROR(LOOKUP(2,1/('Weekly Tracker'!$E$2:$E$766=$A75)/('Weekly Tracker'!$F$2:$F$766&lt;&gt;""),'Weekly Tracker'!$F$2:$F$766),"")</f>
        <v/>
      </c>
      <c r="G75" s="16">
        <f>IF(F75&lt;&gt;"",LOOKUP(2,1/('Weekly Tracker'!$E$2:$E$766=$A75)/('Weekly Tracker'!$F$2:$F$766&lt;&gt;""),'Weekly Tracker'!$G$2:$G$766),"")</f>
        <v/>
      </c>
      <c r="H75" s="9">
        <f>IFERROR(LOOKUP(2,1/('Weekly Tracker'!$E$2:$E$766=$A75)/('Weekly Tracker'!$H$2:$H$766&lt;&gt;""),'Weekly Tracker'!$H$2:$H$766),"")</f>
        <v/>
      </c>
      <c r="I75" s="16">
        <f>IF(H75&lt;&gt;"",LOOKUP(2,1/('Weekly Tracker'!$E$2:$E$766=$A75)/('Weekly Tracker'!$H$2:$H$766&lt;&gt;""),'Weekly Tracker'!$I$2:$I$766),"")</f>
        <v/>
      </c>
      <c r="J75" s="9">
        <f>IFERROR(LOOKUP(2,1/('Weekly Tracker'!$E$2:$E$766=$A75)/('Weekly Tracker'!$J$2:$J$766&lt;&gt;""),'Weekly Tracker'!$J$2:$J$766),"")</f>
        <v/>
      </c>
      <c r="K75" s="9">
        <f>IFERROR(LOOKUP(2,1/('Weekly Tracker'!$E$2:$E$766=$A75)/('Weekly Tracker'!$N$2:$N$766&lt;&gt;""),'Weekly Tracker'!$N$2:$N$766),"")</f>
        <v/>
      </c>
      <c r="L75" s="9">
        <f>IFERROR(LOOKUP(2,1/('Weekly Tracker'!$E$2:$E$766=$A75)/('Weekly Tracker'!$O$2:$O$766&lt;&gt;""),'Weekly Tracker'!$O$2:$O$766),"")</f>
        <v/>
      </c>
    </row>
    <row r="76">
      <c r="A76" s="9" t="inlineStr">
        <is>
          <t>Sathesh Kumar Nadar Scl</t>
        </is>
      </c>
      <c r="B76" s="9" t="inlineStr">
        <is>
          <t>919524496489</t>
        </is>
      </c>
      <c r="C76" s="9" t="n"/>
      <c r="D76" s="9" t="n"/>
      <c r="E76" s="9" t="n"/>
      <c r="F76" s="9">
        <f>IFERROR(LOOKUP(2,1/('Weekly Tracker'!$E$2:$E$766=$A76)/('Weekly Tracker'!$F$2:$F$766&lt;&gt;""),'Weekly Tracker'!$F$2:$F$766),"")</f>
        <v/>
      </c>
      <c r="G76" s="16">
        <f>IF(F76&lt;&gt;"",LOOKUP(2,1/('Weekly Tracker'!$E$2:$E$766=$A76)/('Weekly Tracker'!$F$2:$F$766&lt;&gt;""),'Weekly Tracker'!$G$2:$G$766),"")</f>
        <v/>
      </c>
      <c r="H76" s="9">
        <f>IFERROR(LOOKUP(2,1/('Weekly Tracker'!$E$2:$E$766=$A76)/('Weekly Tracker'!$H$2:$H$766&lt;&gt;""),'Weekly Tracker'!$H$2:$H$766),"")</f>
        <v/>
      </c>
      <c r="I76" s="16">
        <f>IF(H76&lt;&gt;"",LOOKUP(2,1/('Weekly Tracker'!$E$2:$E$766=$A76)/('Weekly Tracker'!$H$2:$H$766&lt;&gt;""),'Weekly Tracker'!$I$2:$I$766),"")</f>
        <v/>
      </c>
      <c r="J76" s="9">
        <f>IFERROR(LOOKUP(2,1/('Weekly Tracker'!$E$2:$E$766=$A76)/('Weekly Tracker'!$J$2:$J$766&lt;&gt;""),'Weekly Tracker'!$J$2:$J$766),"")</f>
        <v/>
      </c>
      <c r="K76" s="9">
        <f>IFERROR(LOOKUP(2,1/('Weekly Tracker'!$E$2:$E$766=$A76)/('Weekly Tracker'!$N$2:$N$766&lt;&gt;""),'Weekly Tracker'!$N$2:$N$766),"")</f>
        <v/>
      </c>
      <c r="L76" s="9">
        <f>IFERROR(LOOKUP(2,1/('Weekly Tracker'!$E$2:$E$766=$A76)/('Weekly Tracker'!$O$2:$O$766&lt;&gt;""),'Weekly Tracker'!$O$2:$O$766),"")</f>
        <v/>
      </c>
    </row>
    <row r="77">
      <c r="A77" s="9" t="inlineStr">
        <is>
          <t>Pandi Pandyaraj FB</t>
        </is>
      </c>
      <c r="B77" s="9" t="inlineStr">
        <is>
          <t>8056388248</t>
        </is>
      </c>
      <c r="C77" s="9" t="n"/>
      <c r="D77" s="9" t="n"/>
      <c r="E77" s="9" t="n"/>
      <c r="F77" s="9">
        <f>IFERROR(LOOKUP(2,1/('Weekly Tracker'!$E$2:$E$766=$A77)/('Weekly Tracker'!$F$2:$F$766&lt;&gt;""),'Weekly Tracker'!$F$2:$F$766),"")</f>
        <v/>
      </c>
      <c r="G77" s="16">
        <f>IF(F77&lt;&gt;"",LOOKUP(2,1/('Weekly Tracker'!$E$2:$E$766=$A77)/('Weekly Tracker'!$F$2:$F$766&lt;&gt;""),'Weekly Tracker'!$G$2:$G$766),"")</f>
        <v/>
      </c>
      <c r="H77" s="9">
        <f>IFERROR(LOOKUP(2,1/('Weekly Tracker'!$E$2:$E$766=$A77)/('Weekly Tracker'!$H$2:$H$766&lt;&gt;""),'Weekly Tracker'!$H$2:$H$766),"")</f>
        <v/>
      </c>
      <c r="I77" s="16">
        <f>IF(H77&lt;&gt;"",LOOKUP(2,1/('Weekly Tracker'!$E$2:$E$766=$A77)/('Weekly Tracker'!$H$2:$H$766&lt;&gt;""),'Weekly Tracker'!$I$2:$I$766),"")</f>
        <v/>
      </c>
      <c r="J77" s="9">
        <f>IFERROR(LOOKUP(2,1/('Weekly Tracker'!$E$2:$E$766=$A77)/('Weekly Tracker'!$J$2:$J$766&lt;&gt;""),'Weekly Tracker'!$J$2:$J$766),"")</f>
        <v/>
      </c>
      <c r="K77" s="9">
        <f>IFERROR(LOOKUP(2,1/('Weekly Tracker'!$E$2:$E$766=$A77)/('Weekly Tracker'!$N$2:$N$766&lt;&gt;""),'Weekly Tracker'!$N$2:$N$766),"")</f>
        <v/>
      </c>
      <c r="L77" s="9">
        <f>IFERROR(LOOKUP(2,1/('Weekly Tracker'!$E$2:$E$766=$A77)/('Weekly Tracker'!$O$2:$O$766&lt;&gt;""),'Weekly Tracker'!$O$2:$O$766),"")</f>
        <v/>
      </c>
    </row>
    <row r="78">
      <c r="A78" s="9" t="inlineStr">
        <is>
          <t>Suresh Mariappan FB</t>
        </is>
      </c>
      <c r="B78" s="9" t="inlineStr">
        <is>
          <t>8073744044</t>
        </is>
      </c>
      <c r="C78" s="9" t="n"/>
      <c r="D78" s="9" t="n"/>
      <c r="E78" s="9" t="n"/>
      <c r="F78" s="9">
        <f>IFERROR(LOOKUP(2,1/('Weekly Tracker'!$E$2:$E$766=$A78)/('Weekly Tracker'!$F$2:$F$766&lt;&gt;""),'Weekly Tracker'!$F$2:$F$766),"")</f>
        <v/>
      </c>
      <c r="G78" s="16">
        <f>IF(F78&lt;&gt;"",LOOKUP(2,1/('Weekly Tracker'!$E$2:$E$766=$A78)/('Weekly Tracker'!$F$2:$F$766&lt;&gt;""),'Weekly Tracker'!$G$2:$G$766),"")</f>
        <v/>
      </c>
      <c r="H78" s="9">
        <f>IFERROR(LOOKUP(2,1/('Weekly Tracker'!$E$2:$E$766=$A78)/('Weekly Tracker'!$H$2:$H$766&lt;&gt;""),'Weekly Tracker'!$H$2:$H$766),"")</f>
        <v/>
      </c>
      <c r="I78" s="16">
        <f>IF(H78&lt;&gt;"",LOOKUP(2,1/('Weekly Tracker'!$E$2:$E$766=$A78)/('Weekly Tracker'!$H$2:$H$766&lt;&gt;""),'Weekly Tracker'!$I$2:$I$766),"")</f>
        <v/>
      </c>
      <c r="J78" s="9">
        <f>IFERROR(LOOKUP(2,1/('Weekly Tracker'!$E$2:$E$766=$A78)/('Weekly Tracker'!$J$2:$J$766&lt;&gt;""),'Weekly Tracker'!$J$2:$J$766),"")</f>
        <v/>
      </c>
      <c r="K78" s="9">
        <f>IFERROR(LOOKUP(2,1/('Weekly Tracker'!$E$2:$E$766=$A78)/('Weekly Tracker'!$N$2:$N$766&lt;&gt;""),'Weekly Tracker'!$N$2:$N$766),"")</f>
        <v/>
      </c>
      <c r="L78" s="9">
        <f>IFERROR(LOOKUP(2,1/('Weekly Tracker'!$E$2:$E$766=$A78)/('Weekly Tracker'!$O$2:$O$766&lt;&gt;""),'Weekly Tracker'!$O$2:$O$766),"")</f>
        <v/>
      </c>
    </row>
    <row r="79">
      <c r="A79" s="9" t="inlineStr">
        <is>
          <t>GopiNath FB</t>
        </is>
      </c>
      <c r="B79" s="9" t="inlineStr">
        <is>
          <t>9629557356</t>
        </is>
      </c>
      <c r="C79" s="9" t="n"/>
      <c r="D79" s="9" t="n"/>
      <c r="E79" s="9" t="n"/>
      <c r="F79" s="9">
        <f>IFERROR(LOOKUP(2,1/('Weekly Tracker'!$E$2:$E$766=$A79)/('Weekly Tracker'!$F$2:$F$766&lt;&gt;""),'Weekly Tracker'!$F$2:$F$766),"")</f>
        <v/>
      </c>
      <c r="G79" s="16">
        <f>IF(F79&lt;&gt;"",LOOKUP(2,1/('Weekly Tracker'!$E$2:$E$766=$A79)/('Weekly Tracker'!$F$2:$F$766&lt;&gt;""),'Weekly Tracker'!$G$2:$G$766),"")</f>
        <v/>
      </c>
      <c r="H79" s="9">
        <f>IFERROR(LOOKUP(2,1/('Weekly Tracker'!$E$2:$E$766=$A79)/('Weekly Tracker'!$H$2:$H$766&lt;&gt;""),'Weekly Tracker'!$H$2:$H$766),"")</f>
        <v/>
      </c>
      <c r="I79" s="16">
        <f>IF(H79&lt;&gt;"",LOOKUP(2,1/('Weekly Tracker'!$E$2:$E$766=$A79)/('Weekly Tracker'!$H$2:$H$766&lt;&gt;""),'Weekly Tracker'!$I$2:$I$766),"")</f>
        <v/>
      </c>
      <c r="J79" s="9">
        <f>IFERROR(LOOKUP(2,1/('Weekly Tracker'!$E$2:$E$766=$A79)/('Weekly Tracker'!$J$2:$J$766&lt;&gt;""),'Weekly Tracker'!$J$2:$J$766),"")</f>
        <v/>
      </c>
      <c r="K79" s="9">
        <f>IFERROR(LOOKUP(2,1/('Weekly Tracker'!$E$2:$E$766=$A79)/('Weekly Tracker'!$N$2:$N$766&lt;&gt;""),'Weekly Tracker'!$N$2:$N$766),"")</f>
        <v/>
      </c>
      <c r="L79" s="9">
        <f>IFERROR(LOOKUP(2,1/('Weekly Tracker'!$E$2:$E$766=$A79)/('Weekly Tracker'!$O$2:$O$766&lt;&gt;""),'Weekly Tracker'!$O$2:$O$766),"")</f>
        <v/>
      </c>
    </row>
    <row r="80">
      <c r="A80" s="9" t="inlineStr">
        <is>
          <t>Kurinji Mech</t>
        </is>
      </c>
      <c r="B80" s="9" t="inlineStr">
        <is>
          <t>+91 73735 9373</t>
        </is>
      </c>
      <c r="C80" s="9" t="n"/>
      <c r="D80" s="9" t="n"/>
      <c r="E80" s="9" t="n"/>
      <c r="F80" s="9">
        <f>IFERROR(LOOKUP(2,1/('Weekly Tracker'!$E$2:$E$766=$A80)/('Weekly Tracker'!$F$2:$F$766&lt;&gt;""),'Weekly Tracker'!$F$2:$F$766),"")</f>
        <v/>
      </c>
      <c r="G80" s="16">
        <f>IF(F80&lt;&gt;"",LOOKUP(2,1/('Weekly Tracker'!$E$2:$E$766=$A80)/('Weekly Tracker'!$F$2:$F$766&lt;&gt;""),'Weekly Tracker'!$G$2:$G$766),"")</f>
        <v/>
      </c>
      <c r="H80" s="9">
        <f>IFERROR(LOOKUP(2,1/('Weekly Tracker'!$E$2:$E$766=$A80)/('Weekly Tracker'!$H$2:$H$766&lt;&gt;""),'Weekly Tracker'!$H$2:$H$766),"")</f>
        <v/>
      </c>
      <c r="I80" s="16">
        <f>IF(H80&lt;&gt;"",LOOKUP(2,1/('Weekly Tracker'!$E$2:$E$766=$A80)/('Weekly Tracker'!$H$2:$H$766&lt;&gt;""),'Weekly Tracker'!$I$2:$I$766),"")</f>
        <v/>
      </c>
      <c r="J80" s="9">
        <f>IFERROR(LOOKUP(2,1/('Weekly Tracker'!$E$2:$E$766=$A80)/('Weekly Tracker'!$J$2:$J$766&lt;&gt;""),'Weekly Tracker'!$J$2:$J$766),"")</f>
        <v/>
      </c>
      <c r="K80" s="9">
        <f>IFERROR(LOOKUP(2,1/('Weekly Tracker'!$E$2:$E$766=$A80)/('Weekly Tracker'!$N$2:$N$766&lt;&gt;""),'Weekly Tracker'!$N$2:$N$766),"")</f>
        <v/>
      </c>
      <c r="L80" s="9">
        <f>IFERROR(LOOKUP(2,1/('Weekly Tracker'!$E$2:$E$766=$A80)/('Weekly Tracker'!$O$2:$O$766&lt;&gt;""),'Weekly Tracker'!$O$2:$O$766),"")</f>
        <v/>
      </c>
    </row>
    <row r="81">
      <c r="A81" s="9" t="inlineStr">
        <is>
          <t>Vishnu</t>
        </is>
      </c>
      <c r="B81" s="9" t="inlineStr">
        <is>
          <t>918189854170</t>
        </is>
      </c>
      <c r="C81" s="9" t="n"/>
      <c r="D81" s="9" t="n"/>
      <c r="E81" s="9" t="n"/>
      <c r="F81" s="9">
        <f>IFERROR(LOOKUP(2,1/('Weekly Tracker'!$E$2:$E$766=$A81)/('Weekly Tracker'!$F$2:$F$766&lt;&gt;""),'Weekly Tracker'!$F$2:$F$766),"")</f>
        <v/>
      </c>
      <c r="G81" s="16">
        <f>IF(F81&lt;&gt;"",LOOKUP(2,1/('Weekly Tracker'!$E$2:$E$766=$A81)/('Weekly Tracker'!$F$2:$F$766&lt;&gt;""),'Weekly Tracker'!$G$2:$G$766),"")</f>
        <v/>
      </c>
      <c r="H81" s="9">
        <f>IFERROR(LOOKUP(2,1/('Weekly Tracker'!$E$2:$E$766=$A81)/('Weekly Tracker'!$H$2:$H$766&lt;&gt;""),'Weekly Tracker'!$H$2:$H$766),"")</f>
        <v/>
      </c>
      <c r="I81" s="16">
        <f>IF(H81&lt;&gt;"",LOOKUP(2,1/('Weekly Tracker'!$E$2:$E$766=$A81)/('Weekly Tracker'!$H$2:$H$766&lt;&gt;""),'Weekly Tracker'!$I$2:$I$766),"")</f>
        <v/>
      </c>
      <c r="J81" s="9">
        <f>IFERROR(LOOKUP(2,1/('Weekly Tracker'!$E$2:$E$766=$A81)/('Weekly Tracker'!$J$2:$J$766&lt;&gt;""),'Weekly Tracker'!$J$2:$J$766),"")</f>
        <v/>
      </c>
      <c r="K81" s="9">
        <f>IFERROR(LOOKUP(2,1/('Weekly Tracker'!$E$2:$E$766=$A81)/('Weekly Tracker'!$N$2:$N$766&lt;&gt;""),'Weekly Tracker'!$N$2:$N$766),"")</f>
        <v/>
      </c>
      <c r="L81" s="9">
        <f>IFERROR(LOOKUP(2,1/('Weekly Tracker'!$E$2:$E$766=$A81)/('Weekly Tracker'!$O$2:$O$766&lt;&gt;""),'Weekly Tracker'!$O$2:$O$766),"")</f>
        <v/>
      </c>
    </row>
    <row r="82">
      <c r="A82" s="9" t="inlineStr">
        <is>
          <t>Midun DA Urja</t>
        </is>
      </c>
      <c r="B82" s="9" t="inlineStr">
        <is>
          <t>919787961875, 7708611221</t>
        </is>
      </c>
      <c r="C82" s="9" t="n"/>
      <c r="D82" s="9" t="n"/>
      <c r="E82" s="9" t="n"/>
      <c r="F82" s="9">
        <f>IFERROR(LOOKUP(2,1/('Weekly Tracker'!$E$2:$E$766=$A82)/('Weekly Tracker'!$F$2:$F$766&lt;&gt;""),'Weekly Tracker'!$F$2:$F$766),"")</f>
        <v/>
      </c>
      <c r="G82" s="16">
        <f>IF(F82&lt;&gt;"",LOOKUP(2,1/('Weekly Tracker'!$E$2:$E$766=$A82)/('Weekly Tracker'!$F$2:$F$766&lt;&gt;""),'Weekly Tracker'!$G$2:$G$766),"")</f>
        <v/>
      </c>
      <c r="H82" s="9">
        <f>IFERROR(LOOKUP(2,1/('Weekly Tracker'!$E$2:$E$766=$A82)/('Weekly Tracker'!$H$2:$H$766&lt;&gt;""),'Weekly Tracker'!$H$2:$H$766),"")</f>
        <v/>
      </c>
      <c r="I82" s="16">
        <f>IF(H82&lt;&gt;"",LOOKUP(2,1/('Weekly Tracker'!$E$2:$E$766=$A82)/('Weekly Tracker'!$H$2:$H$766&lt;&gt;""),'Weekly Tracker'!$I$2:$I$766),"")</f>
        <v/>
      </c>
      <c r="J82" s="9">
        <f>IFERROR(LOOKUP(2,1/('Weekly Tracker'!$E$2:$E$766=$A82)/('Weekly Tracker'!$J$2:$J$766&lt;&gt;""),'Weekly Tracker'!$J$2:$J$766),"")</f>
        <v/>
      </c>
      <c r="K82" s="9">
        <f>IFERROR(LOOKUP(2,1/('Weekly Tracker'!$E$2:$E$766=$A82)/('Weekly Tracker'!$N$2:$N$766&lt;&gt;""),'Weekly Tracker'!$N$2:$N$766),"")</f>
        <v/>
      </c>
      <c r="L82" s="9">
        <f>IFERROR(LOOKUP(2,1/('Weekly Tracker'!$E$2:$E$766=$A82)/('Weekly Tracker'!$O$2:$O$766&lt;&gt;""),'Weekly Tracker'!$O$2:$O$766),"")</f>
        <v/>
      </c>
    </row>
    <row r="83">
      <c r="A83" s="9" t="inlineStr">
        <is>
          <t>Raja HCL</t>
        </is>
      </c>
      <c r="B83" s="9" t="inlineStr">
        <is>
          <t>9003419984</t>
        </is>
      </c>
      <c r="C83" s="9" t="n"/>
      <c r="D83" s="9" t="n"/>
      <c r="E83" s="9" t="n"/>
      <c r="F83" s="9">
        <f>IFERROR(LOOKUP(2,1/('Weekly Tracker'!$E$2:$E$766=$A83)/('Weekly Tracker'!$F$2:$F$766&lt;&gt;""),'Weekly Tracker'!$F$2:$F$766),"")</f>
        <v/>
      </c>
      <c r="G83" s="16">
        <f>IF(F83&lt;&gt;"",LOOKUP(2,1/('Weekly Tracker'!$E$2:$E$766=$A83)/('Weekly Tracker'!$F$2:$F$766&lt;&gt;""),'Weekly Tracker'!$G$2:$G$766),"")</f>
        <v/>
      </c>
      <c r="H83" s="9">
        <f>IFERROR(LOOKUP(2,1/('Weekly Tracker'!$E$2:$E$766=$A83)/('Weekly Tracker'!$H$2:$H$766&lt;&gt;""),'Weekly Tracker'!$H$2:$H$766),"")</f>
        <v/>
      </c>
      <c r="I83" s="16">
        <f>IF(H83&lt;&gt;"",LOOKUP(2,1/('Weekly Tracker'!$E$2:$E$766=$A83)/('Weekly Tracker'!$H$2:$H$766&lt;&gt;""),'Weekly Tracker'!$I$2:$I$766),"")</f>
        <v/>
      </c>
      <c r="J83" s="9">
        <f>IFERROR(LOOKUP(2,1/('Weekly Tracker'!$E$2:$E$766=$A83)/('Weekly Tracker'!$J$2:$J$766&lt;&gt;""),'Weekly Tracker'!$J$2:$J$766),"")</f>
        <v/>
      </c>
      <c r="K83" s="9">
        <f>IFERROR(LOOKUP(2,1/('Weekly Tracker'!$E$2:$E$766=$A83)/('Weekly Tracker'!$N$2:$N$766&lt;&gt;""),'Weekly Tracker'!$N$2:$N$766),"")</f>
        <v/>
      </c>
      <c r="L83" s="9">
        <f>IFERROR(LOOKUP(2,1/('Weekly Tracker'!$E$2:$E$766=$A83)/('Weekly Tracker'!$O$2:$O$766&lt;&gt;""),'Weekly Tracker'!$O$2:$O$766),"")</f>
        <v/>
      </c>
    </row>
    <row r="84">
      <c r="A84" s="9" t="inlineStr">
        <is>
          <t>Sky Mobiles</t>
        </is>
      </c>
      <c r="B84" s="9" t="inlineStr">
        <is>
          <t>8148828086</t>
        </is>
      </c>
      <c r="C84" s="9" t="n"/>
      <c r="D84" s="9" t="n"/>
      <c r="E84" s="9" t="n"/>
      <c r="F84" s="9">
        <f>IFERROR(LOOKUP(2,1/('Weekly Tracker'!$E$2:$E$766=$A84)/('Weekly Tracker'!$F$2:$F$766&lt;&gt;""),'Weekly Tracker'!$F$2:$F$766),"")</f>
        <v/>
      </c>
      <c r="G84" s="16">
        <f>IF(F84&lt;&gt;"",LOOKUP(2,1/('Weekly Tracker'!$E$2:$E$766=$A84)/('Weekly Tracker'!$F$2:$F$766&lt;&gt;""),'Weekly Tracker'!$G$2:$G$766),"")</f>
        <v/>
      </c>
      <c r="H84" s="9">
        <f>IFERROR(LOOKUP(2,1/('Weekly Tracker'!$E$2:$E$766=$A84)/('Weekly Tracker'!$H$2:$H$766&lt;&gt;""),'Weekly Tracker'!$H$2:$H$766),"")</f>
        <v/>
      </c>
      <c r="I84" s="16">
        <f>IF(H84&lt;&gt;"",LOOKUP(2,1/('Weekly Tracker'!$E$2:$E$766=$A84)/('Weekly Tracker'!$H$2:$H$766&lt;&gt;""),'Weekly Tracker'!$I$2:$I$766),"")</f>
        <v/>
      </c>
      <c r="J84" s="9">
        <f>IFERROR(LOOKUP(2,1/('Weekly Tracker'!$E$2:$E$766=$A84)/('Weekly Tracker'!$J$2:$J$766&lt;&gt;""),'Weekly Tracker'!$J$2:$J$766),"")</f>
        <v/>
      </c>
      <c r="K84" s="9">
        <f>IFERROR(LOOKUP(2,1/('Weekly Tracker'!$E$2:$E$766=$A84)/('Weekly Tracker'!$N$2:$N$766&lt;&gt;""),'Weekly Tracker'!$N$2:$N$766),"")</f>
        <v/>
      </c>
      <c r="L84" s="9">
        <f>IFERROR(LOOKUP(2,1/('Weekly Tracker'!$E$2:$E$766=$A84)/('Weekly Tracker'!$O$2:$O$766&lt;&gt;""),'Weekly Tracker'!$O$2:$O$766),"")</f>
        <v/>
      </c>
    </row>
    <row r="85">
      <c r="A85" s="9" t="inlineStr">
        <is>
          <t>Suthan B Grp Ucen</t>
        </is>
      </c>
      <c r="B85" s="9" t="inlineStr">
        <is>
          <t>918122412662</t>
        </is>
      </c>
      <c r="C85" s="9" t="n"/>
      <c r="D85" s="9" t="n"/>
      <c r="E85" s="9" t="n"/>
      <c r="F85" s="9">
        <f>IFERROR(LOOKUP(2,1/('Weekly Tracker'!$E$2:$E$766=$A85)/('Weekly Tracker'!$F$2:$F$766&lt;&gt;""),'Weekly Tracker'!$F$2:$F$766),"")</f>
        <v/>
      </c>
      <c r="G85" s="16">
        <f>IF(F85&lt;&gt;"",LOOKUP(2,1/('Weekly Tracker'!$E$2:$E$766=$A85)/('Weekly Tracker'!$F$2:$F$766&lt;&gt;""),'Weekly Tracker'!$G$2:$G$766),"")</f>
        <v/>
      </c>
      <c r="H85" s="9">
        <f>IFERROR(LOOKUP(2,1/('Weekly Tracker'!$E$2:$E$766=$A85)/('Weekly Tracker'!$H$2:$H$766&lt;&gt;""),'Weekly Tracker'!$H$2:$H$766),"")</f>
        <v/>
      </c>
      <c r="I85" s="16">
        <f>IF(H85&lt;&gt;"",LOOKUP(2,1/('Weekly Tracker'!$E$2:$E$766=$A85)/('Weekly Tracker'!$H$2:$H$766&lt;&gt;""),'Weekly Tracker'!$I$2:$I$766),"")</f>
        <v/>
      </c>
      <c r="J85" s="9">
        <f>IFERROR(LOOKUP(2,1/('Weekly Tracker'!$E$2:$E$766=$A85)/('Weekly Tracker'!$J$2:$J$766&lt;&gt;""),'Weekly Tracker'!$J$2:$J$766),"")</f>
        <v/>
      </c>
      <c r="K85" s="9">
        <f>IFERROR(LOOKUP(2,1/('Weekly Tracker'!$E$2:$E$766=$A85)/('Weekly Tracker'!$N$2:$N$766&lt;&gt;""),'Weekly Tracker'!$N$2:$N$766),"")</f>
        <v/>
      </c>
      <c r="L85" s="9">
        <f>IFERROR(LOOKUP(2,1/('Weekly Tracker'!$E$2:$E$766=$A85)/('Weekly Tracker'!$O$2:$O$766&lt;&gt;""),'Weekly Tracker'!$O$2:$O$766),"")</f>
        <v/>
      </c>
    </row>
    <row r="86">
      <c r="A86" s="9" t="inlineStr">
        <is>
          <t>Navajeevan Medipakkam</t>
        </is>
      </c>
      <c r="B86" s="9" t="inlineStr">
        <is>
          <t>7092862694</t>
        </is>
      </c>
      <c r="C86" s="9" t="n"/>
      <c r="D86" s="9" t="n"/>
      <c r="E86" s="9" t="n"/>
      <c r="F86" s="9">
        <f>IFERROR(LOOKUP(2,1/('Weekly Tracker'!$E$2:$E$766=$A86)/('Weekly Tracker'!$F$2:$F$766&lt;&gt;""),'Weekly Tracker'!$F$2:$F$766),"")</f>
        <v/>
      </c>
      <c r="G86" s="16">
        <f>IF(F86&lt;&gt;"",LOOKUP(2,1/('Weekly Tracker'!$E$2:$E$766=$A86)/('Weekly Tracker'!$F$2:$F$766&lt;&gt;""),'Weekly Tracker'!$G$2:$G$766),"")</f>
        <v/>
      </c>
      <c r="H86" s="9">
        <f>IFERROR(LOOKUP(2,1/('Weekly Tracker'!$E$2:$E$766=$A86)/('Weekly Tracker'!$H$2:$H$766&lt;&gt;""),'Weekly Tracker'!$H$2:$H$766),"")</f>
        <v/>
      </c>
      <c r="I86" s="16">
        <f>IF(H86&lt;&gt;"",LOOKUP(2,1/('Weekly Tracker'!$E$2:$E$766=$A86)/('Weekly Tracker'!$H$2:$H$766&lt;&gt;""),'Weekly Tracker'!$I$2:$I$766),"")</f>
        <v/>
      </c>
      <c r="J86" s="9">
        <f>IFERROR(LOOKUP(2,1/('Weekly Tracker'!$E$2:$E$766=$A86)/('Weekly Tracker'!$J$2:$J$766&lt;&gt;""),'Weekly Tracker'!$J$2:$J$766),"")</f>
        <v/>
      </c>
      <c r="K86" s="9">
        <f>IFERROR(LOOKUP(2,1/('Weekly Tracker'!$E$2:$E$766=$A86)/('Weekly Tracker'!$N$2:$N$766&lt;&gt;""),'Weekly Tracker'!$N$2:$N$766),"")</f>
        <v/>
      </c>
      <c r="L86" s="9">
        <f>IFERROR(LOOKUP(2,1/('Weekly Tracker'!$E$2:$E$766=$A86)/('Weekly Tracker'!$O$2:$O$766&lt;&gt;""),'Weekly Tracker'!$O$2:$O$766),"")</f>
        <v/>
      </c>
    </row>
    <row r="87">
      <c r="A87" s="9" t="inlineStr">
        <is>
          <t>Angel Studio Kdnl</t>
        </is>
      </c>
      <c r="B87" s="9" t="inlineStr">
        <is>
          <t>8608881066</t>
        </is>
      </c>
      <c r="C87" s="9" t="n"/>
      <c r="D87" s="9" t="n"/>
      <c r="E87" s="9" t="n"/>
      <c r="F87" s="9">
        <f>IFERROR(LOOKUP(2,1/('Weekly Tracker'!$E$2:$E$766=$A87)/('Weekly Tracker'!$F$2:$F$766&lt;&gt;""),'Weekly Tracker'!$F$2:$F$766),"")</f>
        <v/>
      </c>
      <c r="G87" s="16">
        <f>IF(F87&lt;&gt;"",LOOKUP(2,1/('Weekly Tracker'!$E$2:$E$766=$A87)/('Weekly Tracker'!$F$2:$F$766&lt;&gt;""),'Weekly Tracker'!$G$2:$G$766),"")</f>
        <v/>
      </c>
      <c r="H87" s="9">
        <f>IFERROR(LOOKUP(2,1/('Weekly Tracker'!$E$2:$E$766=$A87)/('Weekly Tracker'!$H$2:$H$766&lt;&gt;""),'Weekly Tracker'!$H$2:$H$766),"")</f>
        <v/>
      </c>
      <c r="I87" s="16">
        <f>IF(H87&lt;&gt;"",LOOKUP(2,1/('Weekly Tracker'!$E$2:$E$766=$A87)/('Weekly Tracker'!$H$2:$H$766&lt;&gt;""),'Weekly Tracker'!$I$2:$I$766),"")</f>
        <v/>
      </c>
      <c r="J87" s="9">
        <f>IFERROR(LOOKUP(2,1/('Weekly Tracker'!$E$2:$E$766=$A87)/('Weekly Tracker'!$J$2:$J$766&lt;&gt;""),'Weekly Tracker'!$J$2:$J$766),"")</f>
        <v/>
      </c>
      <c r="K87" s="9">
        <f>IFERROR(LOOKUP(2,1/('Weekly Tracker'!$E$2:$E$766=$A87)/('Weekly Tracker'!$N$2:$N$766&lt;&gt;""),'Weekly Tracker'!$N$2:$N$766),"")</f>
        <v/>
      </c>
      <c r="L87" s="9">
        <f>IFERROR(LOOKUP(2,1/('Weekly Tracker'!$E$2:$E$766=$A87)/('Weekly Tracker'!$O$2:$O$766&lt;&gt;""),'Weekly Tracker'!$O$2:$O$766),"")</f>
        <v/>
      </c>
    </row>
    <row r="88">
      <c r="A88" s="9" t="inlineStr">
        <is>
          <t>Abubuker Grp Ucen</t>
        </is>
      </c>
      <c r="B88" s="9" t="inlineStr">
        <is>
          <t>919655028238</t>
        </is>
      </c>
      <c r="C88" s="9" t="n"/>
      <c r="D88" s="9" t="n"/>
      <c r="E88" s="9" t="n"/>
      <c r="F88" s="9">
        <f>IFERROR(LOOKUP(2,1/('Weekly Tracker'!$E$2:$E$766=$A88)/('Weekly Tracker'!$F$2:$F$766&lt;&gt;""),'Weekly Tracker'!$F$2:$F$766),"")</f>
        <v/>
      </c>
      <c r="G88" s="16">
        <f>IF(F88&lt;&gt;"",LOOKUP(2,1/('Weekly Tracker'!$E$2:$E$766=$A88)/('Weekly Tracker'!$F$2:$F$766&lt;&gt;""),'Weekly Tracker'!$G$2:$G$766),"")</f>
        <v/>
      </c>
      <c r="H88" s="9">
        <f>IFERROR(LOOKUP(2,1/('Weekly Tracker'!$E$2:$E$766=$A88)/('Weekly Tracker'!$H$2:$H$766&lt;&gt;""),'Weekly Tracker'!$H$2:$H$766),"")</f>
        <v/>
      </c>
      <c r="I88" s="16">
        <f>IF(H88&lt;&gt;"",LOOKUP(2,1/('Weekly Tracker'!$E$2:$E$766=$A88)/('Weekly Tracker'!$H$2:$H$766&lt;&gt;""),'Weekly Tracker'!$I$2:$I$766),"")</f>
        <v/>
      </c>
      <c r="J88" s="9">
        <f>IFERROR(LOOKUP(2,1/('Weekly Tracker'!$E$2:$E$766=$A88)/('Weekly Tracker'!$J$2:$J$766&lt;&gt;""),'Weekly Tracker'!$J$2:$J$766),"")</f>
        <v/>
      </c>
      <c r="K88" s="9">
        <f>IFERROR(LOOKUP(2,1/('Weekly Tracker'!$E$2:$E$766=$A88)/('Weekly Tracker'!$N$2:$N$766&lt;&gt;""),'Weekly Tracker'!$N$2:$N$766),"")</f>
        <v/>
      </c>
      <c r="L88" s="9">
        <f>IFERROR(LOOKUP(2,1/('Weekly Tracker'!$E$2:$E$766=$A88)/('Weekly Tracker'!$O$2:$O$766&lt;&gt;""),'Weekly Tracker'!$O$2:$O$766),"")</f>
        <v/>
      </c>
    </row>
    <row r="89">
      <c r="A89" s="9" t="inlineStr">
        <is>
          <t>Sibi Civil</t>
        </is>
      </c>
      <c r="B89" s="9" t="inlineStr">
        <is>
          <t>919566922729</t>
        </is>
      </c>
      <c r="C89" s="9" t="n"/>
      <c r="D89" s="9" t="n"/>
      <c r="E89" s="9" t="n"/>
      <c r="F89" s="9">
        <f>IFERROR(LOOKUP(2,1/('Weekly Tracker'!$E$2:$E$766=$A89)/('Weekly Tracker'!$F$2:$F$766&lt;&gt;""),'Weekly Tracker'!$F$2:$F$766),"")</f>
        <v/>
      </c>
      <c r="G89" s="16">
        <f>IF(F89&lt;&gt;"",LOOKUP(2,1/('Weekly Tracker'!$E$2:$E$766=$A89)/('Weekly Tracker'!$F$2:$F$766&lt;&gt;""),'Weekly Tracker'!$G$2:$G$766),"")</f>
        <v/>
      </c>
      <c r="H89" s="9">
        <f>IFERROR(LOOKUP(2,1/('Weekly Tracker'!$E$2:$E$766=$A89)/('Weekly Tracker'!$H$2:$H$766&lt;&gt;""),'Weekly Tracker'!$H$2:$H$766),"")</f>
        <v/>
      </c>
      <c r="I89" s="16">
        <f>IF(H89&lt;&gt;"",LOOKUP(2,1/('Weekly Tracker'!$E$2:$E$766=$A89)/('Weekly Tracker'!$H$2:$H$766&lt;&gt;""),'Weekly Tracker'!$I$2:$I$766),"")</f>
        <v/>
      </c>
      <c r="J89" s="9">
        <f>IFERROR(LOOKUP(2,1/('Weekly Tracker'!$E$2:$E$766=$A89)/('Weekly Tracker'!$J$2:$J$766&lt;&gt;""),'Weekly Tracker'!$J$2:$J$766),"")</f>
        <v/>
      </c>
      <c r="K89" s="9">
        <f>IFERROR(LOOKUP(2,1/('Weekly Tracker'!$E$2:$E$766=$A89)/('Weekly Tracker'!$N$2:$N$766&lt;&gt;""),'Weekly Tracker'!$N$2:$N$766),"")</f>
        <v/>
      </c>
      <c r="L89" s="9">
        <f>IFERROR(LOOKUP(2,1/('Weekly Tracker'!$E$2:$E$766=$A89)/('Weekly Tracker'!$O$2:$O$766&lt;&gt;""),'Weekly Tracker'!$O$2:$O$766),"")</f>
        <v/>
      </c>
    </row>
    <row r="90">
      <c r="A90" s="9" t="inlineStr">
        <is>
          <t>Thaivathu Raja FB</t>
        </is>
      </c>
      <c r="B90" s="9" t="inlineStr">
        <is>
          <t>9710026836</t>
        </is>
      </c>
      <c r="C90" s="9" t="n"/>
      <c r="D90" s="9" t="n"/>
      <c r="E90" s="9" t="n"/>
      <c r="F90" s="9">
        <f>IFERROR(LOOKUP(2,1/('Weekly Tracker'!$E$2:$E$766=$A90)/('Weekly Tracker'!$F$2:$F$766&lt;&gt;""),'Weekly Tracker'!$F$2:$F$766),"")</f>
        <v/>
      </c>
      <c r="G90" s="16">
        <f>IF(F90&lt;&gt;"",LOOKUP(2,1/('Weekly Tracker'!$E$2:$E$766=$A90)/('Weekly Tracker'!$F$2:$F$766&lt;&gt;""),'Weekly Tracker'!$G$2:$G$766),"")</f>
        <v/>
      </c>
      <c r="H90" s="9">
        <f>IFERROR(LOOKUP(2,1/('Weekly Tracker'!$E$2:$E$766=$A90)/('Weekly Tracker'!$H$2:$H$766&lt;&gt;""),'Weekly Tracker'!$H$2:$H$766),"")</f>
        <v/>
      </c>
      <c r="I90" s="16">
        <f>IF(H90&lt;&gt;"",LOOKUP(2,1/('Weekly Tracker'!$E$2:$E$766=$A90)/('Weekly Tracker'!$H$2:$H$766&lt;&gt;""),'Weekly Tracker'!$I$2:$I$766),"")</f>
        <v/>
      </c>
      <c r="J90" s="9">
        <f>IFERROR(LOOKUP(2,1/('Weekly Tracker'!$E$2:$E$766=$A90)/('Weekly Tracker'!$J$2:$J$766&lt;&gt;""),'Weekly Tracker'!$J$2:$J$766),"")</f>
        <v/>
      </c>
      <c r="K90" s="9">
        <f>IFERROR(LOOKUP(2,1/('Weekly Tracker'!$E$2:$E$766=$A90)/('Weekly Tracker'!$N$2:$N$766&lt;&gt;""),'Weekly Tracker'!$N$2:$N$766),"")</f>
        <v/>
      </c>
      <c r="L90" s="9">
        <f>IFERROR(LOOKUP(2,1/('Weekly Tracker'!$E$2:$E$766=$A90)/('Weekly Tracker'!$O$2:$O$766&lt;&gt;""),'Weekly Tracker'!$O$2:$O$766),"")</f>
        <v/>
      </c>
    </row>
    <row r="91">
      <c r="A91" s="9" t="inlineStr">
        <is>
          <t>Dhivya PL</t>
        </is>
      </c>
      <c r="B91" s="9" t="inlineStr">
        <is>
          <t>918925236751</t>
        </is>
      </c>
      <c r="C91" s="9" t="n"/>
      <c r="D91" s="9" t="n"/>
      <c r="E91" s="9" t="n"/>
      <c r="F91" s="9">
        <f>IFERROR(LOOKUP(2,1/('Weekly Tracker'!$E$2:$E$766=$A91)/('Weekly Tracker'!$F$2:$F$766&lt;&gt;""),'Weekly Tracker'!$F$2:$F$766),"")</f>
        <v/>
      </c>
      <c r="G91" s="16">
        <f>IF(F91&lt;&gt;"",LOOKUP(2,1/('Weekly Tracker'!$E$2:$E$766=$A91)/('Weekly Tracker'!$F$2:$F$766&lt;&gt;""),'Weekly Tracker'!$G$2:$G$766),"")</f>
        <v/>
      </c>
      <c r="H91" s="9">
        <f>IFERROR(LOOKUP(2,1/('Weekly Tracker'!$E$2:$E$766=$A91)/('Weekly Tracker'!$H$2:$H$766&lt;&gt;""),'Weekly Tracker'!$H$2:$H$766),"")</f>
        <v/>
      </c>
      <c r="I91" s="16">
        <f>IF(H91&lt;&gt;"",LOOKUP(2,1/('Weekly Tracker'!$E$2:$E$766=$A91)/('Weekly Tracker'!$H$2:$H$766&lt;&gt;""),'Weekly Tracker'!$I$2:$I$766),"")</f>
        <v/>
      </c>
      <c r="J91" s="9">
        <f>IFERROR(LOOKUP(2,1/('Weekly Tracker'!$E$2:$E$766=$A91)/('Weekly Tracker'!$J$2:$J$766&lt;&gt;""),'Weekly Tracker'!$J$2:$J$766),"")</f>
        <v/>
      </c>
      <c r="K91" s="9">
        <f>IFERROR(LOOKUP(2,1/('Weekly Tracker'!$E$2:$E$766=$A91)/('Weekly Tracker'!$N$2:$N$766&lt;&gt;""),'Weekly Tracker'!$N$2:$N$766),"")</f>
        <v/>
      </c>
      <c r="L91" s="9">
        <f>IFERROR(LOOKUP(2,1/('Weekly Tracker'!$E$2:$E$766=$A91)/('Weekly Tracker'!$O$2:$O$766&lt;&gt;""),'Weekly Tracker'!$O$2:$O$766),"")</f>
        <v/>
      </c>
    </row>
    <row r="92">
      <c r="A92" s="9" t="inlineStr">
        <is>
          <t>Alwin Vinoth FB</t>
        </is>
      </c>
      <c r="B92" s="9" t="inlineStr">
        <is>
          <t>9488445102</t>
        </is>
      </c>
      <c r="C92" s="9" t="n"/>
      <c r="D92" s="9" t="n"/>
      <c r="E92" s="9" t="n"/>
      <c r="F92" s="9">
        <f>IFERROR(LOOKUP(2,1/('Weekly Tracker'!$E$2:$E$766=$A92)/('Weekly Tracker'!$F$2:$F$766&lt;&gt;""),'Weekly Tracker'!$F$2:$F$766),"")</f>
        <v/>
      </c>
      <c r="G92" s="16">
        <f>IF(F92&lt;&gt;"",LOOKUP(2,1/('Weekly Tracker'!$E$2:$E$766=$A92)/('Weekly Tracker'!$F$2:$F$766&lt;&gt;""),'Weekly Tracker'!$G$2:$G$766),"")</f>
        <v/>
      </c>
      <c r="H92" s="9">
        <f>IFERROR(LOOKUP(2,1/('Weekly Tracker'!$E$2:$E$766=$A92)/('Weekly Tracker'!$H$2:$H$766&lt;&gt;""),'Weekly Tracker'!$H$2:$H$766),"")</f>
        <v/>
      </c>
      <c r="I92" s="16">
        <f>IF(H92&lt;&gt;"",LOOKUP(2,1/('Weekly Tracker'!$E$2:$E$766=$A92)/('Weekly Tracker'!$H$2:$H$766&lt;&gt;""),'Weekly Tracker'!$I$2:$I$766),"")</f>
        <v/>
      </c>
      <c r="J92" s="9">
        <f>IFERROR(LOOKUP(2,1/('Weekly Tracker'!$E$2:$E$766=$A92)/('Weekly Tracker'!$J$2:$J$766&lt;&gt;""),'Weekly Tracker'!$J$2:$J$766),"")</f>
        <v/>
      </c>
      <c r="K92" s="9">
        <f>IFERROR(LOOKUP(2,1/('Weekly Tracker'!$E$2:$E$766=$A92)/('Weekly Tracker'!$N$2:$N$766&lt;&gt;""),'Weekly Tracker'!$N$2:$N$766),"")</f>
        <v/>
      </c>
      <c r="L92" s="9">
        <f>IFERROR(LOOKUP(2,1/('Weekly Tracker'!$E$2:$E$766=$A92)/('Weekly Tracker'!$O$2:$O$766&lt;&gt;""),'Weekly Tracker'!$O$2:$O$766),"")</f>
        <v/>
      </c>
    </row>
    <row r="93">
      <c r="A93" s="9" t="inlineStr">
        <is>
          <t>Nethaji FB</t>
        </is>
      </c>
      <c r="B93" s="9" t="inlineStr">
        <is>
          <t>919095375317, 919110681632</t>
        </is>
      </c>
      <c r="C93" s="9" t="n"/>
      <c r="D93" s="9" t="n"/>
      <c r="E93" s="9" t="n"/>
      <c r="F93" s="9">
        <f>IFERROR(LOOKUP(2,1/('Weekly Tracker'!$E$2:$E$766=$A93)/('Weekly Tracker'!$F$2:$F$766&lt;&gt;""),'Weekly Tracker'!$F$2:$F$766),"")</f>
        <v/>
      </c>
      <c r="G93" s="16">
        <f>IF(F93&lt;&gt;"",LOOKUP(2,1/('Weekly Tracker'!$E$2:$E$766=$A93)/('Weekly Tracker'!$F$2:$F$766&lt;&gt;""),'Weekly Tracker'!$G$2:$G$766),"")</f>
        <v/>
      </c>
      <c r="H93" s="9">
        <f>IFERROR(LOOKUP(2,1/('Weekly Tracker'!$E$2:$E$766=$A93)/('Weekly Tracker'!$H$2:$H$766&lt;&gt;""),'Weekly Tracker'!$H$2:$H$766),"")</f>
        <v/>
      </c>
      <c r="I93" s="16">
        <f>IF(H93&lt;&gt;"",LOOKUP(2,1/('Weekly Tracker'!$E$2:$E$766=$A93)/('Weekly Tracker'!$H$2:$H$766&lt;&gt;""),'Weekly Tracker'!$I$2:$I$766),"")</f>
        <v/>
      </c>
      <c r="J93" s="9">
        <f>IFERROR(LOOKUP(2,1/('Weekly Tracker'!$E$2:$E$766=$A93)/('Weekly Tracker'!$J$2:$J$766&lt;&gt;""),'Weekly Tracker'!$J$2:$J$766),"")</f>
        <v/>
      </c>
      <c r="K93" s="9">
        <f>IFERROR(LOOKUP(2,1/('Weekly Tracker'!$E$2:$E$766=$A93)/('Weekly Tracker'!$N$2:$N$766&lt;&gt;""),'Weekly Tracker'!$N$2:$N$766),"")</f>
        <v/>
      </c>
      <c r="L93" s="9">
        <f>IFERROR(LOOKUP(2,1/('Weekly Tracker'!$E$2:$E$766=$A93)/('Weekly Tracker'!$O$2:$O$766&lt;&gt;""),'Weekly Tracker'!$O$2:$O$766),"")</f>
        <v/>
      </c>
    </row>
    <row r="94">
      <c r="A94" s="9" t="inlineStr">
        <is>
          <t>Umar Abdul FB</t>
        </is>
      </c>
      <c r="B94" s="9" t="inlineStr">
        <is>
          <t>971522925452</t>
        </is>
      </c>
      <c r="C94" s="9" t="n"/>
      <c r="D94" s="9" t="n"/>
      <c r="E94" s="9" t="n"/>
      <c r="F94" s="9">
        <f>IFERROR(LOOKUP(2,1/('Weekly Tracker'!$E$2:$E$766=$A94)/('Weekly Tracker'!$F$2:$F$766&lt;&gt;""),'Weekly Tracker'!$F$2:$F$766),"")</f>
        <v/>
      </c>
      <c r="G94" s="16">
        <f>IF(F94&lt;&gt;"",LOOKUP(2,1/('Weekly Tracker'!$E$2:$E$766=$A94)/('Weekly Tracker'!$F$2:$F$766&lt;&gt;""),'Weekly Tracker'!$G$2:$G$766),"")</f>
        <v/>
      </c>
      <c r="H94" s="9">
        <f>IFERROR(LOOKUP(2,1/('Weekly Tracker'!$E$2:$E$766=$A94)/('Weekly Tracker'!$H$2:$H$766&lt;&gt;""),'Weekly Tracker'!$H$2:$H$766),"")</f>
        <v/>
      </c>
      <c r="I94" s="16">
        <f>IF(H94&lt;&gt;"",LOOKUP(2,1/('Weekly Tracker'!$E$2:$E$766=$A94)/('Weekly Tracker'!$H$2:$H$766&lt;&gt;""),'Weekly Tracker'!$I$2:$I$766),"")</f>
        <v/>
      </c>
      <c r="J94" s="9">
        <f>IFERROR(LOOKUP(2,1/('Weekly Tracker'!$E$2:$E$766=$A94)/('Weekly Tracker'!$J$2:$J$766&lt;&gt;""),'Weekly Tracker'!$J$2:$J$766),"")</f>
        <v/>
      </c>
      <c r="K94" s="9">
        <f>IFERROR(LOOKUP(2,1/('Weekly Tracker'!$E$2:$E$766=$A94)/('Weekly Tracker'!$N$2:$N$766&lt;&gt;""),'Weekly Tracker'!$N$2:$N$766),"")</f>
        <v/>
      </c>
      <c r="L94" s="9">
        <f>IFERROR(LOOKUP(2,1/('Weekly Tracker'!$E$2:$E$766=$A94)/('Weekly Tracker'!$O$2:$O$766&lt;&gt;""),'Weekly Tracker'!$O$2:$O$766),"")</f>
        <v/>
      </c>
    </row>
    <row r="95">
      <c r="A95" s="9" t="inlineStr">
        <is>
          <t>Arivazhagan Urja</t>
        </is>
      </c>
      <c r="B95" s="9" t="inlineStr">
        <is>
          <t>917373471533</t>
        </is>
      </c>
      <c r="C95" s="9" t="n"/>
      <c r="D95" s="9" t="n"/>
      <c r="E95" s="9" t="n"/>
      <c r="F95" s="9">
        <f>IFERROR(LOOKUP(2,1/('Weekly Tracker'!$E$2:$E$766=$A95)/('Weekly Tracker'!$F$2:$F$766&lt;&gt;""),'Weekly Tracker'!$F$2:$F$766),"")</f>
        <v/>
      </c>
      <c r="G95" s="16">
        <f>IF(F95&lt;&gt;"",LOOKUP(2,1/('Weekly Tracker'!$E$2:$E$766=$A95)/('Weekly Tracker'!$F$2:$F$766&lt;&gt;""),'Weekly Tracker'!$G$2:$G$766),"")</f>
        <v/>
      </c>
      <c r="H95" s="9">
        <f>IFERROR(LOOKUP(2,1/('Weekly Tracker'!$E$2:$E$766=$A95)/('Weekly Tracker'!$H$2:$H$766&lt;&gt;""),'Weekly Tracker'!$H$2:$H$766),"")</f>
        <v/>
      </c>
      <c r="I95" s="16">
        <f>IF(H95&lt;&gt;"",LOOKUP(2,1/('Weekly Tracker'!$E$2:$E$766=$A95)/('Weekly Tracker'!$H$2:$H$766&lt;&gt;""),'Weekly Tracker'!$I$2:$I$766),"")</f>
        <v/>
      </c>
      <c r="J95" s="9">
        <f>IFERROR(LOOKUP(2,1/('Weekly Tracker'!$E$2:$E$766=$A95)/('Weekly Tracker'!$J$2:$J$766&lt;&gt;""),'Weekly Tracker'!$J$2:$J$766),"")</f>
        <v/>
      </c>
      <c r="K95" s="9">
        <f>IFERROR(LOOKUP(2,1/('Weekly Tracker'!$E$2:$E$766=$A95)/('Weekly Tracker'!$N$2:$N$766&lt;&gt;""),'Weekly Tracker'!$N$2:$N$766),"")</f>
        <v/>
      </c>
      <c r="L95" s="9">
        <f>IFERROR(LOOKUP(2,1/('Weekly Tracker'!$E$2:$E$766=$A95)/('Weekly Tracker'!$O$2:$O$766&lt;&gt;""),'Weekly Tracker'!$O$2:$O$766),"")</f>
        <v/>
      </c>
    </row>
    <row r="96">
      <c r="A96" s="9" t="inlineStr">
        <is>
          <t>Silambarasi Junior</t>
        </is>
      </c>
      <c r="B96" s="9" t="inlineStr">
        <is>
          <t>917536974354</t>
        </is>
      </c>
      <c r="C96" s="9" t="n"/>
      <c r="D96" s="9" t="n"/>
      <c r="E96" s="9" t="n"/>
      <c r="F96" s="9">
        <f>IFERROR(LOOKUP(2,1/('Weekly Tracker'!$E$2:$E$766=$A96)/('Weekly Tracker'!$F$2:$F$766&lt;&gt;""),'Weekly Tracker'!$F$2:$F$766),"")</f>
        <v/>
      </c>
      <c r="G96" s="16">
        <f>IF(F96&lt;&gt;"",LOOKUP(2,1/('Weekly Tracker'!$E$2:$E$766=$A96)/('Weekly Tracker'!$F$2:$F$766&lt;&gt;""),'Weekly Tracker'!$G$2:$G$766),"")</f>
        <v/>
      </c>
      <c r="H96" s="9">
        <f>IFERROR(LOOKUP(2,1/('Weekly Tracker'!$E$2:$E$766=$A96)/('Weekly Tracker'!$H$2:$H$766&lt;&gt;""),'Weekly Tracker'!$H$2:$H$766),"")</f>
        <v/>
      </c>
      <c r="I96" s="16">
        <f>IF(H96&lt;&gt;"",LOOKUP(2,1/('Weekly Tracker'!$E$2:$E$766=$A96)/('Weekly Tracker'!$H$2:$H$766&lt;&gt;""),'Weekly Tracker'!$I$2:$I$766),"")</f>
        <v/>
      </c>
      <c r="J96" s="9">
        <f>IFERROR(LOOKUP(2,1/('Weekly Tracker'!$E$2:$E$766=$A96)/('Weekly Tracker'!$J$2:$J$766&lt;&gt;""),'Weekly Tracker'!$J$2:$J$766),"")</f>
        <v/>
      </c>
      <c r="K96" s="9">
        <f>IFERROR(LOOKUP(2,1/('Weekly Tracker'!$E$2:$E$766=$A96)/('Weekly Tracker'!$N$2:$N$766&lt;&gt;""),'Weekly Tracker'!$N$2:$N$766),"")</f>
        <v/>
      </c>
      <c r="L96" s="9">
        <f>IFERROR(LOOKUP(2,1/('Weekly Tracker'!$E$2:$E$766=$A96)/('Weekly Tracker'!$O$2:$O$766&lt;&gt;""),'Weekly Tracker'!$O$2:$O$766),"")</f>
        <v/>
      </c>
    </row>
    <row r="97">
      <c r="A97" s="9" t="inlineStr">
        <is>
          <t>Yasir Urja</t>
        </is>
      </c>
      <c r="B97" s="9" t="inlineStr">
        <is>
          <t>917708880332</t>
        </is>
      </c>
      <c r="C97" s="9" t="n"/>
      <c r="D97" s="9" t="n"/>
      <c r="E97" s="9" t="n"/>
      <c r="F97" s="9">
        <f>IFERROR(LOOKUP(2,1/('Weekly Tracker'!$E$2:$E$766=$A97)/('Weekly Tracker'!$F$2:$F$766&lt;&gt;""),'Weekly Tracker'!$F$2:$F$766),"")</f>
        <v/>
      </c>
      <c r="G97" s="16">
        <f>IF(F97&lt;&gt;"",LOOKUP(2,1/('Weekly Tracker'!$E$2:$E$766=$A97)/('Weekly Tracker'!$F$2:$F$766&lt;&gt;""),'Weekly Tracker'!$G$2:$G$766),"")</f>
        <v/>
      </c>
      <c r="H97" s="9">
        <f>IFERROR(LOOKUP(2,1/('Weekly Tracker'!$E$2:$E$766=$A97)/('Weekly Tracker'!$H$2:$H$766&lt;&gt;""),'Weekly Tracker'!$H$2:$H$766),"")</f>
        <v/>
      </c>
      <c r="I97" s="16">
        <f>IF(H97&lt;&gt;"",LOOKUP(2,1/('Weekly Tracker'!$E$2:$E$766=$A97)/('Weekly Tracker'!$H$2:$H$766&lt;&gt;""),'Weekly Tracker'!$I$2:$I$766),"")</f>
        <v/>
      </c>
      <c r="J97" s="9">
        <f>IFERROR(LOOKUP(2,1/('Weekly Tracker'!$E$2:$E$766=$A97)/('Weekly Tracker'!$J$2:$J$766&lt;&gt;""),'Weekly Tracker'!$J$2:$J$766),"")</f>
        <v/>
      </c>
      <c r="K97" s="9">
        <f>IFERROR(LOOKUP(2,1/('Weekly Tracker'!$E$2:$E$766=$A97)/('Weekly Tracker'!$N$2:$N$766&lt;&gt;""),'Weekly Tracker'!$N$2:$N$766),"")</f>
        <v/>
      </c>
      <c r="L97" s="9">
        <f>IFERROR(LOOKUP(2,1/('Weekly Tracker'!$E$2:$E$766=$A97)/('Weekly Tracker'!$O$2:$O$766&lt;&gt;""),'Weekly Tracker'!$O$2:$O$766),"")</f>
        <v/>
      </c>
    </row>
    <row r="98">
      <c r="A98" s="9" t="inlineStr">
        <is>
          <t>Varun Dharun Brother</t>
        </is>
      </c>
      <c r="B98" s="9" t="inlineStr">
        <is>
          <t>919080342228</t>
        </is>
      </c>
      <c r="C98" s="9" t="n"/>
      <c r="D98" s="9" t="n"/>
      <c r="E98" s="9" t="n"/>
      <c r="F98" s="9">
        <f>IFERROR(LOOKUP(2,1/('Weekly Tracker'!$E$2:$E$766=$A98)/('Weekly Tracker'!$F$2:$F$766&lt;&gt;""),'Weekly Tracker'!$F$2:$F$766),"")</f>
        <v/>
      </c>
      <c r="G98" s="16">
        <f>IF(F98&lt;&gt;"",LOOKUP(2,1/('Weekly Tracker'!$E$2:$E$766=$A98)/('Weekly Tracker'!$F$2:$F$766&lt;&gt;""),'Weekly Tracker'!$G$2:$G$766),"")</f>
        <v/>
      </c>
      <c r="H98" s="9">
        <f>IFERROR(LOOKUP(2,1/('Weekly Tracker'!$E$2:$E$766=$A98)/('Weekly Tracker'!$H$2:$H$766&lt;&gt;""),'Weekly Tracker'!$H$2:$H$766),"")</f>
        <v/>
      </c>
      <c r="I98" s="16">
        <f>IF(H98&lt;&gt;"",LOOKUP(2,1/('Weekly Tracker'!$E$2:$E$766=$A98)/('Weekly Tracker'!$H$2:$H$766&lt;&gt;""),'Weekly Tracker'!$I$2:$I$766),"")</f>
        <v/>
      </c>
      <c r="J98" s="9">
        <f>IFERROR(LOOKUP(2,1/('Weekly Tracker'!$E$2:$E$766=$A98)/('Weekly Tracker'!$J$2:$J$766&lt;&gt;""),'Weekly Tracker'!$J$2:$J$766),"")</f>
        <v/>
      </c>
      <c r="K98" s="9">
        <f>IFERROR(LOOKUP(2,1/('Weekly Tracker'!$E$2:$E$766=$A98)/('Weekly Tracker'!$N$2:$N$766&lt;&gt;""),'Weekly Tracker'!$N$2:$N$766),"")</f>
        <v/>
      </c>
      <c r="L98" s="9">
        <f>IFERROR(LOOKUP(2,1/('Weekly Tracker'!$E$2:$E$766=$A98)/('Weekly Tracker'!$O$2:$O$766&lt;&gt;""),'Weekly Tracker'!$O$2:$O$766),"")</f>
        <v/>
      </c>
    </row>
    <row r="99">
      <c r="A99" s="9" t="inlineStr">
        <is>
          <t>Arun_hp Qs</t>
        </is>
      </c>
      <c r="B99" s="9" t="inlineStr">
        <is>
          <t>+91 99622 71391, 919962271391, 919789921391</t>
        </is>
      </c>
      <c r="C99" s="9" t="n"/>
      <c r="D99" s="9" t="n"/>
      <c r="E99" s="9" t="n"/>
      <c r="F99" s="9">
        <f>IFERROR(LOOKUP(2,1/('Weekly Tracker'!$E$2:$E$766=$A99)/('Weekly Tracker'!$F$2:$F$766&lt;&gt;""),'Weekly Tracker'!$F$2:$F$766),"")</f>
        <v/>
      </c>
      <c r="G99" s="16">
        <f>IF(F99&lt;&gt;"",LOOKUP(2,1/('Weekly Tracker'!$E$2:$E$766=$A99)/('Weekly Tracker'!$F$2:$F$766&lt;&gt;""),'Weekly Tracker'!$G$2:$G$766),"")</f>
        <v/>
      </c>
      <c r="H99" s="9">
        <f>IFERROR(LOOKUP(2,1/('Weekly Tracker'!$E$2:$E$766=$A99)/('Weekly Tracker'!$H$2:$H$766&lt;&gt;""),'Weekly Tracker'!$H$2:$H$766),"")</f>
        <v/>
      </c>
      <c r="I99" s="16">
        <f>IF(H99&lt;&gt;"",LOOKUP(2,1/('Weekly Tracker'!$E$2:$E$766=$A99)/('Weekly Tracker'!$H$2:$H$766&lt;&gt;""),'Weekly Tracker'!$I$2:$I$766),"")</f>
        <v/>
      </c>
      <c r="J99" s="9">
        <f>IFERROR(LOOKUP(2,1/('Weekly Tracker'!$E$2:$E$766=$A99)/('Weekly Tracker'!$J$2:$J$766&lt;&gt;""),'Weekly Tracker'!$J$2:$J$766),"")</f>
        <v/>
      </c>
      <c r="K99" s="9">
        <f>IFERROR(LOOKUP(2,1/('Weekly Tracker'!$E$2:$E$766=$A99)/('Weekly Tracker'!$N$2:$N$766&lt;&gt;""),'Weekly Tracker'!$N$2:$N$766),"")</f>
        <v/>
      </c>
      <c r="L99" s="9">
        <f>IFERROR(LOOKUP(2,1/('Weekly Tracker'!$E$2:$E$766=$A99)/('Weekly Tracker'!$O$2:$O$766&lt;&gt;""),'Weekly Tracker'!$O$2:$O$766),"")</f>
        <v/>
      </c>
    </row>
    <row r="100">
      <c r="A100" s="9" t="inlineStr">
        <is>
          <t>Eric David Insta</t>
        </is>
      </c>
      <c r="B100" s="9" t="inlineStr">
        <is>
          <t>8807145766</t>
        </is>
      </c>
      <c r="C100" s="9" t="n"/>
      <c r="D100" s="9" t="n"/>
      <c r="E100" s="9" t="n"/>
      <c r="F100" s="9">
        <f>IFERROR(LOOKUP(2,1/('Weekly Tracker'!$E$2:$E$766=$A100)/('Weekly Tracker'!$F$2:$F$766&lt;&gt;""),'Weekly Tracker'!$F$2:$F$766),"")</f>
        <v/>
      </c>
      <c r="G100" s="16">
        <f>IF(F100&lt;&gt;"",LOOKUP(2,1/('Weekly Tracker'!$E$2:$E$766=$A100)/('Weekly Tracker'!$F$2:$F$766&lt;&gt;""),'Weekly Tracker'!$G$2:$G$766),"")</f>
        <v/>
      </c>
      <c r="H100" s="9">
        <f>IFERROR(LOOKUP(2,1/('Weekly Tracker'!$E$2:$E$766=$A100)/('Weekly Tracker'!$H$2:$H$766&lt;&gt;""),'Weekly Tracker'!$H$2:$H$766),"")</f>
        <v/>
      </c>
      <c r="I100" s="16">
        <f>IF(H100&lt;&gt;"",LOOKUP(2,1/('Weekly Tracker'!$E$2:$E$766=$A100)/('Weekly Tracker'!$H$2:$H$766&lt;&gt;""),'Weekly Tracker'!$I$2:$I$766),"")</f>
        <v/>
      </c>
      <c r="J100" s="9">
        <f>IFERROR(LOOKUP(2,1/('Weekly Tracker'!$E$2:$E$766=$A100)/('Weekly Tracker'!$J$2:$J$766&lt;&gt;""),'Weekly Tracker'!$J$2:$J$766),"")</f>
        <v/>
      </c>
      <c r="K100" s="9">
        <f>IFERROR(LOOKUP(2,1/('Weekly Tracker'!$E$2:$E$766=$A100)/('Weekly Tracker'!$N$2:$N$766&lt;&gt;""),'Weekly Tracker'!$N$2:$N$766),"")</f>
        <v/>
      </c>
      <c r="L100" s="9">
        <f>IFERROR(LOOKUP(2,1/('Weekly Tracker'!$E$2:$E$766=$A100)/('Weekly Tracker'!$O$2:$O$766&lt;&gt;""),'Weekly Tracker'!$O$2:$O$766),"")</f>
        <v/>
      </c>
    </row>
    <row r="101">
      <c r="A101" s="9" t="inlineStr">
        <is>
          <t>Masthan kdnl</t>
        </is>
      </c>
      <c r="B101" s="9" t="inlineStr">
        <is>
          <t>971527923363</t>
        </is>
      </c>
      <c r="C101" s="9" t="n"/>
      <c r="D101" s="9" t="n"/>
      <c r="E101" s="9" t="n"/>
      <c r="F101" s="9">
        <f>IFERROR(LOOKUP(2,1/('Weekly Tracker'!$E$2:$E$766=$A101)/('Weekly Tracker'!$F$2:$F$766&lt;&gt;""),'Weekly Tracker'!$F$2:$F$766),"")</f>
        <v/>
      </c>
      <c r="G101" s="16">
        <f>IF(F101&lt;&gt;"",LOOKUP(2,1/('Weekly Tracker'!$E$2:$E$766=$A101)/('Weekly Tracker'!$F$2:$F$766&lt;&gt;""),'Weekly Tracker'!$G$2:$G$766),"")</f>
        <v/>
      </c>
      <c r="H101" s="9">
        <f>IFERROR(LOOKUP(2,1/('Weekly Tracker'!$E$2:$E$766=$A101)/('Weekly Tracker'!$H$2:$H$766&lt;&gt;""),'Weekly Tracker'!$H$2:$H$766),"")</f>
        <v/>
      </c>
      <c r="I101" s="16">
        <f>IF(H101&lt;&gt;"",LOOKUP(2,1/('Weekly Tracker'!$E$2:$E$766=$A101)/('Weekly Tracker'!$H$2:$H$766&lt;&gt;""),'Weekly Tracker'!$I$2:$I$766),"")</f>
        <v/>
      </c>
      <c r="J101" s="9">
        <f>IFERROR(LOOKUP(2,1/('Weekly Tracker'!$E$2:$E$766=$A101)/('Weekly Tracker'!$J$2:$J$766&lt;&gt;""),'Weekly Tracker'!$J$2:$J$766),"")</f>
        <v/>
      </c>
      <c r="K101" s="9">
        <f>IFERROR(LOOKUP(2,1/('Weekly Tracker'!$E$2:$E$766=$A101)/('Weekly Tracker'!$N$2:$N$766&lt;&gt;""),'Weekly Tracker'!$N$2:$N$766),"")</f>
        <v/>
      </c>
      <c r="L101" s="9">
        <f>IFERROR(LOOKUP(2,1/('Weekly Tracker'!$E$2:$E$766=$A101)/('Weekly Tracker'!$O$2:$O$766&lt;&gt;""),'Weekly Tracker'!$O$2:$O$766),"")</f>
        <v/>
      </c>
    </row>
    <row r="102">
      <c r="A102" s="9" t="inlineStr">
        <is>
          <t>Nilesh Chakrawar Ford</t>
        </is>
      </c>
      <c r="B102" s="9" t="inlineStr">
        <is>
          <t>917358533503</t>
        </is>
      </c>
      <c r="C102" s="9" t="n"/>
      <c r="D102" s="9" t="n"/>
      <c r="E102" s="9" t="n"/>
      <c r="F102" s="9">
        <f>IFERROR(LOOKUP(2,1/('Weekly Tracker'!$E$2:$E$766=$A102)/('Weekly Tracker'!$F$2:$F$766&lt;&gt;""),'Weekly Tracker'!$F$2:$F$766),"")</f>
        <v/>
      </c>
      <c r="G102" s="16">
        <f>IF(F102&lt;&gt;"",LOOKUP(2,1/('Weekly Tracker'!$E$2:$E$766=$A102)/('Weekly Tracker'!$F$2:$F$766&lt;&gt;""),'Weekly Tracker'!$G$2:$G$766),"")</f>
        <v/>
      </c>
      <c r="H102" s="9">
        <f>IFERROR(LOOKUP(2,1/('Weekly Tracker'!$E$2:$E$766=$A102)/('Weekly Tracker'!$H$2:$H$766&lt;&gt;""),'Weekly Tracker'!$H$2:$H$766),"")</f>
        <v/>
      </c>
      <c r="I102" s="16">
        <f>IF(H102&lt;&gt;"",LOOKUP(2,1/('Weekly Tracker'!$E$2:$E$766=$A102)/('Weekly Tracker'!$H$2:$H$766&lt;&gt;""),'Weekly Tracker'!$I$2:$I$766),"")</f>
        <v/>
      </c>
      <c r="J102" s="9">
        <f>IFERROR(LOOKUP(2,1/('Weekly Tracker'!$E$2:$E$766=$A102)/('Weekly Tracker'!$J$2:$J$766&lt;&gt;""),'Weekly Tracker'!$J$2:$J$766),"")</f>
        <v/>
      </c>
      <c r="K102" s="9">
        <f>IFERROR(LOOKUP(2,1/('Weekly Tracker'!$E$2:$E$766=$A102)/('Weekly Tracker'!$N$2:$N$766&lt;&gt;""),'Weekly Tracker'!$N$2:$N$766),"")</f>
        <v/>
      </c>
      <c r="L102" s="9">
        <f>IFERROR(LOOKUP(2,1/('Weekly Tracker'!$E$2:$E$766=$A102)/('Weekly Tracker'!$O$2:$O$766&lt;&gt;""),'Weekly Tracker'!$O$2:$O$766),"")</f>
        <v/>
      </c>
    </row>
    <row r="103">
      <c r="A103" s="9" t="inlineStr">
        <is>
          <t>Sathish Kumar Scl</t>
        </is>
      </c>
      <c r="B103" s="9" t="inlineStr">
        <is>
          <t>916380437407, 917502456428</t>
        </is>
      </c>
      <c r="C103" s="9" t="n"/>
      <c r="D103" s="9" t="n"/>
      <c r="E103" s="9" t="n"/>
      <c r="F103" s="9">
        <f>IFERROR(LOOKUP(2,1/('Weekly Tracker'!$E$2:$E$766=$A103)/('Weekly Tracker'!$F$2:$F$766&lt;&gt;""),'Weekly Tracker'!$F$2:$F$766),"")</f>
        <v/>
      </c>
      <c r="G103" s="16">
        <f>IF(F103&lt;&gt;"",LOOKUP(2,1/('Weekly Tracker'!$E$2:$E$766=$A103)/('Weekly Tracker'!$F$2:$F$766&lt;&gt;""),'Weekly Tracker'!$G$2:$G$766),"")</f>
        <v/>
      </c>
      <c r="H103" s="9">
        <f>IFERROR(LOOKUP(2,1/('Weekly Tracker'!$E$2:$E$766=$A103)/('Weekly Tracker'!$H$2:$H$766&lt;&gt;""),'Weekly Tracker'!$H$2:$H$766),"")</f>
        <v/>
      </c>
      <c r="I103" s="16">
        <f>IF(H103&lt;&gt;"",LOOKUP(2,1/('Weekly Tracker'!$E$2:$E$766=$A103)/('Weekly Tracker'!$H$2:$H$766&lt;&gt;""),'Weekly Tracker'!$I$2:$I$766),"")</f>
        <v/>
      </c>
      <c r="J103" s="9">
        <f>IFERROR(LOOKUP(2,1/('Weekly Tracker'!$E$2:$E$766=$A103)/('Weekly Tracker'!$J$2:$J$766&lt;&gt;""),'Weekly Tracker'!$J$2:$J$766),"")</f>
        <v/>
      </c>
      <c r="K103" s="9">
        <f>IFERROR(LOOKUP(2,1/('Weekly Tracker'!$E$2:$E$766=$A103)/('Weekly Tracker'!$N$2:$N$766&lt;&gt;""),'Weekly Tracker'!$N$2:$N$766),"")</f>
        <v/>
      </c>
      <c r="L103" s="9">
        <f>IFERROR(LOOKUP(2,1/('Weekly Tracker'!$E$2:$E$766=$A103)/('Weekly Tracker'!$O$2:$O$766&lt;&gt;""),'Weekly Tracker'!$O$2:$O$766),"")</f>
        <v/>
      </c>
    </row>
    <row r="104">
      <c r="A104" s="9" t="inlineStr">
        <is>
          <t>Siva Sn FB</t>
        </is>
      </c>
      <c r="B104" s="9" t="inlineStr">
        <is>
          <t>918056837843</t>
        </is>
      </c>
      <c r="C104" s="9" t="n"/>
      <c r="D104" s="9" t="n"/>
      <c r="E104" s="9" t="n"/>
      <c r="F104" s="9">
        <f>IFERROR(LOOKUP(2,1/('Weekly Tracker'!$E$2:$E$766=$A104)/('Weekly Tracker'!$F$2:$F$766&lt;&gt;""),'Weekly Tracker'!$F$2:$F$766),"")</f>
        <v/>
      </c>
      <c r="G104" s="16">
        <f>IF(F104&lt;&gt;"",LOOKUP(2,1/('Weekly Tracker'!$E$2:$E$766=$A104)/('Weekly Tracker'!$F$2:$F$766&lt;&gt;""),'Weekly Tracker'!$G$2:$G$766),"")</f>
        <v/>
      </c>
      <c r="H104" s="9">
        <f>IFERROR(LOOKUP(2,1/('Weekly Tracker'!$E$2:$E$766=$A104)/('Weekly Tracker'!$H$2:$H$766&lt;&gt;""),'Weekly Tracker'!$H$2:$H$766),"")</f>
        <v/>
      </c>
      <c r="I104" s="16">
        <f>IF(H104&lt;&gt;"",LOOKUP(2,1/('Weekly Tracker'!$E$2:$E$766=$A104)/('Weekly Tracker'!$H$2:$H$766&lt;&gt;""),'Weekly Tracker'!$I$2:$I$766),"")</f>
        <v/>
      </c>
      <c r="J104" s="9">
        <f>IFERROR(LOOKUP(2,1/('Weekly Tracker'!$E$2:$E$766=$A104)/('Weekly Tracker'!$J$2:$J$766&lt;&gt;""),'Weekly Tracker'!$J$2:$J$766),"")</f>
        <v/>
      </c>
      <c r="K104" s="9">
        <f>IFERROR(LOOKUP(2,1/('Weekly Tracker'!$E$2:$E$766=$A104)/('Weekly Tracker'!$N$2:$N$766&lt;&gt;""),'Weekly Tracker'!$N$2:$N$766),"")</f>
        <v/>
      </c>
      <c r="L104" s="9">
        <f>IFERROR(LOOKUP(2,1/('Weekly Tracker'!$E$2:$E$766=$A104)/('Weekly Tracker'!$O$2:$O$766&lt;&gt;""),'Weekly Tracker'!$O$2:$O$766),"")</f>
        <v/>
      </c>
    </row>
    <row r="105">
      <c r="A105" s="9" t="inlineStr">
        <is>
          <t>Naveen Knsu FB</t>
        </is>
      </c>
      <c r="B105" s="9" t="inlineStr">
        <is>
          <t>917676964651, 918300157666</t>
        </is>
      </c>
      <c r="C105" s="9" t="n"/>
      <c r="D105" s="9" t="n"/>
      <c r="E105" s="9" t="n"/>
      <c r="F105" s="9">
        <f>IFERROR(LOOKUP(2,1/('Weekly Tracker'!$E$2:$E$766=$A105)/('Weekly Tracker'!$F$2:$F$766&lt;&gt;""),'Weekly Tracker'!$F$2:$F$766),"")</f>
        <v/>
      </c>
      <c r="G105" s="16">
        <f>IF(F105&lt;&gt;"",LOOKUP(2,1/('Weekly Tracker'!$E$2:$E$766=$A105)/('Weekly Tracker'!$F$2:$F$766&lt;&gt;""),'Weekly Tracker'!$G$2:$G$766),"")</f>
        <v/>
      </c>
      <c r="H105" s="9">
        <f>IFERROR(LOOKUP(2,1/('Weekly Tracker'!$E$2:$E$766=$A105)/('Weekly Tracker'!$H$2:$H$766&lt;&gt;""),'Weekly Tracker'!$H$2:$H$766),"")</f>
        <v/>
      </c>
      <c r="I105" s="16">
        <f>IF(H105&lt;&gt;"",LOOKUP(2,1/('Weekly Tracker'!$E$2:$E$766=$A105)/('Weekly Tracker'!$H$2:$H$766&lt;&gt;""),'Weekly Tracker'!$I$2:$I$766),"")</f>
        <v/>
      </c>
      <c r="J105" s="9">
        <f>IFERROR(LOOKUP(2,1/('Weekly Tracker'!$E$2:$E$766=$A105)/('Weekly Tracker'!$J$2:$J$766&lt;&gt;""),'Weekly Tracker'!$J$2:$J$766),"")</f>
        <v/>
      </c>
      <c r="K105" s="9">
        <f>IFERROR(LOOKUP(2,1/('Weekly Tracker'!$E$2:$E$766=$A105)/('Weekly Tracker'!$N$2:$N$766&lt;&gt;""),'Weekly Tracker'!$N$2:$N$766),"")</f>
        <v/>
      </c>
      <c r="L105" s="9">
        <f>IFERROR(LOOKUP(2,1/('Weekly Tracker'!$E$2:$E$766=$A105)/('Weekly Tracker'!$O$2:$O$766&lt;&gt;""),'Weekly Tracker'!$O$2:$O$766),"")</f>
        <v/>
      </c>
    </row>
    <row r="106">
      <c r="A106" s="9" t="inlineStr">
        <is>
          <t>Ponmurugan Anandakumar Infy</t>
        </is>
      </c>
      <c r="B106" s="9" t="inlineStr">
        <is>
          <t>919840983041</t>
        </is>
      </c>
      <c r="C106" s="9" t="n"/>
      <c r="D106" s="9" t="n"/>
      <c r="E106" s="9" t="n"/>
      <c r="F106" s="9">
        <f>IFERROR(LOOKUP(2,1/('Weekly Tracker'!$E$2:$E$766=$A106)/('Weekly Tracker'!$F$2:$F$766&lt;&gt;""),'Weekly Tracker'!$F$2:$F$766),"")</f>
        <v/>
      </c>
      <c r="G106" s="16">
        <f>IF(F106&lt;&gt;"",LOOKUP(2,1/('Weekly Tracker'!$E$2:$E$766=$A106)/('Weekly Tracker'!$F$2:$F$766&lt;&gt;""),'Weekly Tracker'!$G$2:$G$766),"")</f>
        <v/>
      </c>
      <c r="H106" s="9">
        <f>IFERROR(LOOKUP(2,1/('Weekly Tracker'!$E$2:$E$766=$A106)/('Weekly Tracker'!$H$2:$H$766&lt;&gt;""),'Weekly Tracker'!$H$2:$H$766),"")</f>
        <v/>
      </c>
      <c r="I106" s="16">
        <f>IF(H106&lt;&gt;"",LOOKUP(2,1/('Weekly Tracker'!$E$2:$E$766=$A106)/('Weekly Tracker'!$H$2:$H$766&lt;&gt;""),'Weekly Tracker'!$I$2:$I$766),"")</f>
        <v/>
      </c>
      <c r="J106" s="9">
        <f>IFERROR(LOOKUP(2,1/('Weekly Tracker'!$E$2:$E$766=$A106)/('Weekly Tracker'!$J$2:$J$766&lt;&gt;""),'Weekly Tracker'!$J$2:$J$766),"")</f>
        <v/>
      </c>
      <c r="K106" s="9">
        <f>IFERROR(LOOKUP(2,1/('Weekly Tracker'!$E$2:$E$766=$A106)/('Weekly Tracker'!$N$2:$N$766&lt;&gt;""),'Weekly Tracker'!$N$2:$N$766),"")</f>
        <v/>
      </c>
      <c r="L106" s="9">
        <f>IFERROR(LOOKUP(2,1/('Weekly Tracker'!$E$2:$E$766=$A106)/('Weekly Tracker'!$O$2:$O$766&lt;&gt;""),'Weekly Tracker'!$O$2:$O$766),"")</f>
        <v/>
      </c>
    </row>
    <row r="107">
      <c r="A107" s="9" t="inlineStr">
        <is>
          <t>Arun Mozhi Scl</t>
        </is>
      </c>
      <c r="B107" s="9" t="inlineStr">
        <is>
          <t>917373969530</t>
        </is>
      </c>
      <c r="C107" s="9" t="n"/>
      <c r="D107" s="9" t="n"/>
      <c r="E107" s="9" t="n"/>
      <c r="F107" s="9">
        <f>IFERROR(LOOKUP(2,1/('Weekly Tracker'!$E$2:$E$766=$A107)/('Weekly Tracker'!$F$2:$F$766&lt;&gt;""),'Weekly Tracker'!$F$2:$F$766),"")</f>
        <v/>
      </c>
      <c r="G107" s="16">
        <f>IF(F107&lt;&gt;"",LOOKUP(2,1/('Weekly Tracker'!$E$2:$E$766=$A107)/('Weekly Tracker'!$F$2:$F$766&lt;&gt;""),'Weekly Tracker'!$G$2:$G$766),"")</f>
        <v/>
      </c>
      <c r="H107" s="9">
        <f>IFERROR(LOOKUP(2,1/('Weekly Tracker'!$E$2:$E$766=$A107)/('Weekly Tracker'!$H$2:$H$766&lt;&gt;""),'Weekly Tracker'!$H$2:$H$766),"")</f>
        <v/>
      </c>
      <c r="I107" s="16">
        <f>IF(H107&lt;&gt;"",LOOKUP(2,1/('Weekly Tracker'!$E$2:$E$766=$A107)/('Weekly Tracker'!$H$2:$H$766&lt;&gt;""),'Weekly Tracker'!$I$2:$I$766),"")</f>
        <v/>
      </c>
      <c r="J107" s="9">
        <f>IFERROR(LOOKUP(2,1/('Weekly Tracker'!$E$2:$E$766=$A107)/('Weekly Tracker'!$J$2:$J$766&lt;&gt;""),'Weekly Tracker'!$J$2:$J$766),"")</f>
        <v/>
      </c>
      <c r="K107" s="9">
        <f>IFERROR(LOOKUP(2,1/('Weekly Tracker'!$E$2:$E$766=$A107)/('Weekly Tracker'!$N$2:$N$766&lt;&gt;""),'Weekly Tracker'!$N$2:$N$766),"")</f>
        <v/>
      </c>
      <c r="L107" s="9">
        <f>IFERROR(LOOKUP(2,1/('Weekly Tracker'!$E$2:$E$766=$A107)/('Weekly Tracker'!$O$2:$O$766&lt;&gt;""),'Weekly Tracker'!$O$2:$O$766),"")</f>
        <v/>
      </c>
    </row>
    <row r="108">
      <c r="A108" s="9" t="inlineStr">
        <is>
          <t>Dhinesh Palanisamy FB</t>
        </is>
      </c>
      <c r="B108" s="9" t="inlineStr">
        <is>
          <t>9629802255</t>
        </is>
      </c>
      <c r="C108" s="9" t="n"/>
      <c r="D108" s="9" t="n"/>
      <c r="E108" s="9" t="n"/>
      <c r="F108" s="9">
        <f>IFERROR(LOOKUP(2,1/('Weekly Tracker'!$E$2:$E$766=$A108)/('Weekly Tracker'!$F$2:$F$766&lt;&gt;""),'Weekly Tracker'!$F$2:$F$766),"")</f>
        <v/>
      </c>
      <c r="G108" s="16">
        <f>IF(F108&lt;&gt;"",LOOKUP(2,1/('Weekly Tracker'!$E$2:$E$766=$A108)/('Weekly Tracker'!$F$2:$F$766&lt;&gt;""),'Weekly Tracker'!$G$2:$G$766),"")</f>
        <v/>
      </c>
      <c r="H108" s="9">
        <f>IFERROR(LOOKUP(2,1/('Weekly Tracker'!$E$2:$E$766=$A108)/('Weekly Tracker'!$H$2:$H$766&lt;&gt;""),'Weekly Tracker'!$H$2:$H$766),"")</f>
        <v/>
      </c>
      <c r="I108" s="16">
        <f>IF(H108&lt;&gt;"",LOOKUP(2,1/('Weekly Tracker'!$E$2:$E$766=$A108)/('Weekly Tracker'!$H$2:$H$766&lt;&gt;""),'Weekly Tracker'!$I$2:$I$766),"")</f>
        <v/>
      </c>
      <c r="J108" s="9">
        <f>IFERROR(LOOKUP(2,1/('Weekly Tracker'!$E$2:$E$766=$A108)/('Weekly Tracker'!$J$2:$J$766&lt;&gt;""),'Weekly Tracker'!$J$2:$J$766),"")</f>
        <v/>
      </c>
      <c r="K108" s="9">
        <f>IFERROR(LOOKUP(2,1/('Weekly Tracker'!$E$2:$E$766=$A108)/('Weekly Tracker'!$N$2:$N$766&lt;&gt;""),'Weekly Tracker'!$N$2:$N$766),"")</f>
        <v/>
      </c>
      <c r="L108" s="9">
        <f>IFERROR(LOOKUP(2,1/('Weekly Tracker'!$E$2:$E$766=$A108)/('Weekly Tracker'!$O$2:$O$766&lt;&gt;""),'Weekly Tracker'!$O$2:$O$766),"")</f>
        <v/>
      </c>
    </row>
    <row r="109">
      <c r="A109" s="9" t="inlineStr">
        <is>
          <t>Kishore M</t>
        </is>
      </c>
      <c r="B109" s="9" t="inlineStr">
        <is>
          <t>010 713 5641, 919962697437</t>
        </is>
      </c>
      <c r="C109" s="9" t="n"/>
      <c r="D109" s="9" t="n"/>
      <c r="E109" s="9" t="n"/>
      <c r="F109" s="9">
        <f>IFERROR(LOOKUP(2,1/('Weekly Tracker'!$E$2:$E$766=$A109)/('Weekly Tracker'!$F$2:$F$766&lt;&gt;""),'Weekly Tracker'!$F$2:$F$766),"")</f>
        <v/>
      </c>
      <c r="G109" s="16">
        <f>IF(F109&lt;&gt;"",LOOKUP(2,1/('Weekly Tracker'!$E$2:$E$766=$A109)/('Weekly Tracker'!$F$2:$F$766&lt;&gt;""),'Weekly Tracker'!$G$2:$G$766),"")</f>
        <v/>
      </c>
      <c r="H109" s="9">
        <f>IFERROR(LOOKUP(2,1/('Weekly Tracker'!$E$2:$E$766=$A109)/('Weekly Tracker'!$H$2:$H$766&lt;&gt;""),'Weekly Tracker'!$H$2:$H$766),"")</f>
        <v/>
      </c>
      <c r="I109" s="16">
        <f>IF(H109&lt;&gt;"",LOOKUP(2,1/('Weekly Tracker'!$E$2:$E$766=$A109)/('Weekly Tracker'!$H$2:$H$766&lt;&gt;""),'Weekly Tracker'!$I$2:$I$766),"")</f>
        <v/>
      </c>
      <c r="J109" s="9">
        <f>IFERROR(LOOKUP(2,1/('Weekly Tracker'!$E$2:$E$766=$A109)/('Weekly Tracker'!$J$2:$J$766&lt;&gt;""),'Weekly Tracker'!$J$2:$J$766),"")</f>
        <v/>
      </c>
      <c r="K109" s="9">
        <f>IFERROR(LOOKUP(2,1/('Weekly Tracker'!$E$2:$E$766=$A109)/('Weekly Tracker'!$N$2:$N$766&lt;&gt;""),'Weekly Tracker'!$N$2:$N$766),"")</f>
        <v/>
      </c>
      <c r="L109" s="9">
        <f>IFERROR(LOOKUP(2,1/('Weekly Tracker'!$E$2:$E$766=$A109)/('Weekly Tracker'!$O$2:$O$766&lt;&gt;""),'Weekly Tracker'!$O$2:$O$766),"")</f>
        <v/>
      </c>
    </row>
    <row r="110">
      <c r="A110" s="9" t="inlineStr">
        <is>
          <t>Siva Krish Grp Ucen</t>
        </is>
      </c>
      <c r="B110" s="9" t="inlineStr">
        <is>
          <t>919500930064</t>
        </is>
      </c>
      <c r="C110" s="9" t="n"/>
      <c r="D110" s="9" t="n"/>
      <c r="E110" s="9" t="n"/>
      <c r="F110" s="9">
        <f>IFERROR(LOOKUP(2,1/('Weekly Tracker'!$E$2:$E$766=$A110)/('Weekly Tracker'!$F$2:$F$766&lt;&gt;""),'Weekly Tracker'!$F$2:$F$766),"")</f>
        <v/>
      </c>
      <c r="G110" s="16">
        <f>IF(F110&lt;&gt;"",LOOKUP(2,1/('Weekly Tracker'!$E$2:$E$766=$A110)/('Weekly Tracker'!$F$2:$F$766&lt;&gt;""),'Weekly Tracker'!$G$2:$G$766),"")</f>
        <v/>
      </c>
      <c r="H110" s="9">
        <f>IFERROR(LOOKUP(2,1/('Weekly Tracker'!$E$2:$E$766=$A110)/('Weekly Tracker'!$H$2:$H$766&lt;&gt;""),'Weekly Tracker'!$H$2:$H$766),"")</f>
        <v/>
      </c>
      <c r="I110" s="16">
        <f>IF(H110&lt;&gt;"",LOOKUP(2,1/('Weekly Tracker'!$E$2:$E$766=$A110)/('Weekly Tracker'!$H$2:$H$766&lt;&gt;""),'Weekly Tracker'!$I$2:$I$766),"")</f>
        <v/>
      </c>
      <c r="J110" s="9">
        <f>IFERROR(LOOKUP(2,1/('Weekly Tracker'!$E$2:$E$766=$A110)/('Weekly Tracker'!$J$2:$J$766&lt;&gt;""),'Weekly Tracker'!$J$2:$J$766),"")</f>
        <v/>
      </c>
      <c r="K110" s="9">
        <f>IFERROR(LOOKUP(2,1/('Weekly Tracker'!$E$2:$E$766=$A110)/('Weekly Tracker'!$N$2:$N$766&lt;&gt;""),'Weekly Tracker'!$N$2:$N$766),"")</f>
        <v/>
      </c>
      <c r="L110" s="9">
        <f>IFERROR(LOOKUP(2,1/('Weekly Tracker'!$E$2:$E$766=$A110)/('Weekly Tracker'!$O$2:$O$766&lt;&gt;""),'Weekly Tracker'!$O$2:$O$766),"")</f>
        <v/>
      </c>
    </row>
    <row r="111">
      <c r="A111" s="9" t="inlineStr">
        <is>
          <t>Murali Mon Insta</t>
        </is>
      </c>
      <c r="B111" s="9" t="inlineStr">
        <is>
          <t>9003817595</t>
        </is>
      </c>
      <c r="C111" s="9" t="n"/>
      <c r="D111" s="9" t="n"/>
      <c r="E111" s="9" t="n"/>
      <c r="F111" s="9">
        <f>IFERROR(LOOKUP(2,1/('Weekly Tracker'!$E$2:$E$766=$A111)/('Weekly Tracker'!$F$2:$F$766&lt;&gt;""),'Weekly Tracker'!$F$2:$F$766),"")</f>
        <v/>
      </c>
      <c r="G111" s="16">
        <f>IF(F111&lt;&gt;"",LOOKUP(2,1/('Weekly Tracker'!$E$2:$E$766=$A111)/('Weekly Tracker'!$F$2:$F$766&lt;&gt;""),'Weekly Tracker'!$G$2:$G$766),"")</f>
        <v/>
      </c>
      <c r="H111" s="9">
        <f>IFERROR(LOOKUP(2,1/('Weekly Tracker'!$E$2:$E$766=$A111)/('Weekly Tracker'!$H$2:$H$766&lt;&gt;""),'Weekly Tracker'!$H$2:$H$766),"")</f>
        <v/>
      </c>
      <c r="I111" s="16">
        <f>IF(H111&lt;&gt;"",LOOKUP(2,1/('Weekly Tracker'!$E$2:$E$766=$A111)/('Weekly Tracker'!$H$2:$H$766&lt;&gt;""),'Weekly Tracker'!$I$2:$I$766),"")</f>
        <v/>
      </c>
      <c r="J111" s="9">
        <f>IFERROR(LOOKUP(2,1/('Weekly Tracker'!$E$2:$E$766=$A111)/('Weekly Tracker'!$J$2:$J$766&lt;&gt;""),'Weekly Tracker'!$J$2:$J$766),"")</f>
        <v/>
      </c>
      <c r="K111" s="9">
        <f>IFERROR(LOOKUP(2,1/('Weekly Tracker'!$E$2:$E$766=$A111)/('Weekly Tracker'!$N$2:$N$766&lt;&gt;""),'Weekly Tracker'!$N$2:$N$766),"")</f>
        <v/>
      </c>
      <c r="L111" s="9">
        <f>IFERROR(LOOKUP(2,1/('Weekly Tracker'!$E$2:$E$766=$A111)/('Weekly Tracker'!$O$2:$O$766&lt;&gt;""),'Weekly Tracker'!$O$2:$O$766),"")</f>
        <v/>
      </c>
    </row>
    <row r="112">
      <c r="A112" s="9" t="inlineStr">
        <is>
          <t>Logashankar Tele</t>
        </is>
      </c>
      <c r="B112" s="9" t="inlineStr">
        <is>
          <t>919597134655</t>
        </is>
      </c>
      <c r="C112" s="9" t="n"/>
      <c r="D112" s="9" t="n"/>
      <c r="E112" s="9" t="n"/>
      <c r="F112" s="9">
        <f>IFERROR(LOOKUP(2,1/('Weekly Tracker'!$E$2:$E$766=$A112)/('Weekly Tracker'!$F$2:$F$766&lt;&gt;""),'Weekly Tracker'!$F$2:$F$766),"")</f>
        <v/>
      </c>
      <c r="G112" s="16">
        <f>IF(F112&lt;&gt;"",LOOKUP(2,1/('Weekly Tracker'!$E$2:$E$766=$A112)/('Weekly Tracker'!$F$2:$F$766&lt;&gt;""),'Weekly Tracker'!$G$2:$G$766),"")</f>
        <v/>
      </c>
      <c r="H112" s="9">
        <f>IFERROR(LOOKUP(2,1/('Weekly Tracker'!$E$2:$E$766=$A112)/('Weekly Tracker'!$H$2:$H$766&lt;&gt;""),'Weekly Tracker'!$H$2:$H$766),"")</f>
        <v/>
      </c>
      <c r="I112" s="16">
        <f>IF(H112&lt;&gt;"",LOOKUP(2,1/('Weekly Tracker'!$E$2:$E$766=$A112)/('Weekly Tracker'!$H$2:$H$766&lt;&gt;""),'Weekly Tracker'!$I$2:$I$766),"")</f>
        <v/>
      </c>
      <c r="J112" s="9">
        <f>IFERROR(LOOKUP(2,1/('Weekly Tracker'!$E$2:$E$766=$A112)/('Weekly Tracker'!$J$2:$J$766&lt;&gt;""),'Weekly Tracker'!$J$2:$J$766),"")</f>
        <v/>
      </c>
      <c r="K112" s="9">
        <f>IFERROR(LOOKUP(2,1/('Weekly Tracker'!$E$2:$E$766=$A112)/('Weekly Tracker'!$N$2:$N$766&lt;&gt;""),'Weekly Tracker'!$N$2:$N$766),"")</f>
        <v/>
      </c>
      <c r="L112" s="9">
        <f>IFERROR(LOOKUP(2,1/('Weekly Tracker'!$E$2:$E$766=$A112)/('Weekly Tracker'!$O$2:$O$766&lt;&gt;""),'Weekly Tracker'!$O$2:$O$766),"")</f>
        <v/>
      </c>
    </row>
    <row r="113">
      <c r="A113" s="9" t="inlineStr">
        <is>
          <t>Sabari Urja</t>
        </is>
      </c>
      <c r="B113" s="9" t="inlineStr">
        <is>
          <t>919994777081</t>
        </is>
      </c>
      <c r="C113" s="9" t="n"/>
      <c r="D113" s="9" t="n"/>
      <c r="E113" s="9" t="n"/>
      <c r="F113" s="9">
        <f>IFERROR(LOOKUP(2,1/('Weekly Tracker'!$E$2:$E$766=$A113)/('Weekly Tracker'!$F$2:$F$766&lt;&gt;""),'Weekly Tracker'!$F$2:$F$766),"")</f>
        <v/>
      </c>
      <c r="G113" s="16">
        <f>IF(F113&lt;&gt;"",LOOKUP(2,1/('Weekly Tracker'!$E$2:$E$766=$A113)/('Weekly Tracker'!$F$2:$F$766&lt;&gt;""),'Weekly Tracker'!$G$2:$G$766),"")</f>
        <v/>
      </c>
      <c r="H113" s="9">
        <f>IFERROR(LOOKUP(2,1/('Weekly Tracker'!$E$2:$E$766=$A113)/('Weekly Tracker'!$H$2:$H$766&lt;&gt;""),'Weekly Tracker'!$H$2:$H$766),"")</f>
        <v/>
      </c>
      <c r="I113" s="16">
        <f>IF(H113&lt;&gt;"",LOOKUP(2,1/('Weekly Tracker'!$E$2:$E$766=$A113)/('Weekly Tracker'!$H$2:$H$766&lt;&gt;""),'Weekly Tracker'!$I$2:$I$766),"")</f>
        <v/>
      </c>
      <c r="J113" s="9">
        <f>IFERROR(LOOKUP(2,1/('Weekly Tracker'!$E$2:$E$766=$A113)/('Weekly Tracker'!$J$2:$J$766&lt;&gt;""),'Weekly Tracker'!$J$2:$J$766),"")</f>
        <v/>
      </c>
      <c r="K113" s="9">
        <f>IFERROR(LOOKUP(2,1/('Weekly Tracker'!$E$2:$E$766=$A113)/('Weekly Tracker'!$N$2:$N$766&lt;&gt;""),'Weekly Tracker'!$N$2:$N$766),"")</f>
        <v/>
      </c>
      <c r="L113" s="9">
        <f>IFERROR(LOOKUP(2,1/('Weekly Tracker'!$E$2:$E$766=$A113)/('Weekly Tracker'!$O$2:$O$766&lt;&gt;""),'Weekly Tracker'!$O$2:$O$766),"")</f>
        <v/>
      </c>
    </row>
    <row r="114">
      <c r="A114" s="9" t="inlineStr">
        <is>
          <t>Sankar - Vardhani Meeting Hall Tnagar</t>
        </is>
      </c>
      <c r="B114" s="9" t="inlineStr">
        <is>
          <t>9840165682</t>
        </is>
      </c>
      <c r="C114" s="9" t="n"/>
      <c r="D114" s="9" t="n"/>
      <c r="E114" s="9" t="n"/>
      <c r="F114" s="9">
        <f>IFERROR(LOOKUP(2,1/('Weekly Tracker'!$E$2:$E$766=$A114)/('Weekly Tracker'!$F$2:$F$766&lt;&gt;""),'Weekly Tracker'!$F$2:$F$766),"")</f>
        <v/>
      </c>
      <c r="G114" s="16">
        <f>IF(F114&lt;&gt;"",LOOKUP(2,1/('Weekly Tracker'!$E$2:$E$766=$A114)/('Weekly Tracker'!$F$2:$F$766&lt;&gt;""),'Weekly Tracker'!$G$2:$G$766),"")</f>
        <v/>
      </c>
      <c r="H114" s="9">
        <f>IFERROR(LOOKUP(2,1/('Weekly Tracker'!$E$2:$E$766=$A114)/('Weekly Tracker'!$H$2:$H$766&lt;&gt;""),'Weekly Tracker'!$H$2:$H$766),"")</f>
        <v/>
      </c>
      <c r="I114" s="16">
        <f>IF(H114&lt;&gt;"",LOOKUP(2,1/('Weekly Tracker'!$E$2:$E$766=$A114)/('Weekly Tracker'!$H$2:$H$766&lt;&gt;""),'Weekly Tracker'!$I$2:$I$766),"")</f>
        <v/>
      </c>
      <c r="J114" s="9">
        <f>IFERROR(LOOKUP(2,1/('Weekly Tracker'!$E$2:$E$766=$A114)/('Weekly Tracker'!$J$2:$J$766&lt;&gt;""),'Weekly Tracker'!$J$2:$J$766),"")</f>
        <v/>
      </c>
      <c r="K114" s="9">
        <f>IFERROR(LOOKUP(2,1/('Weekly Tracker'!$E$2:$E$766=$A114)/('Weekly Tracker'!$N$2:$N$766&lt;&gt;""),'Weekly Tracker'!$N$2:$N$766),"")</f>
        <v/>
      </c>
      <c r="L114" s="9">
        <f>IFERROR(LOOKUP(2,1/('Weekly Tracker'!$E$2:$E$766=$A114)/('Weekly Tracker'!$O$2:$O$766&lt;&gt;""),'Weekly Tracker'!$O$2:$O$766),"")</f>
        <v/>
      </c>
    </row>
    <row r="115">
      <c r="A115" s="9" t="inlineStr">
        <is>
          <t>Bhuvi HR Urja</t>
        </is>
      </c>
      <c r="B115" s="9" t="inlineStr">
        <is>
          <t>918939949191</t>
        </is>
      </c>
      <c r="C115" s="9" t="n"/>
      <c r="D115" s="9" t="n"/>
      <c r="E115" s="9" t="n"/>
      <c r="F115" s="9">
        <f>IFERROR(LOOKUP(2,1/('Weekly Tracker'!$E$2:$E$766=$A115)/('Weekly Tracker'!$F$2:$F$766&lt;&gt;""),'Weekly Tracker'!$F$2:$F$766),"")</f>
        <v/>
      </c>
      <c r="G115" s="16">
        <f>IF(F115&lt;&gt;"",LOOKUP(2,1/('Weekly Tracker'!$E$2:$E$766=$A115)/('Weekly Tracker'!$F$2:$F$766&lt;&gt;""),'Weekly Tracker'!$G$2:$G$766),"")</f>
        <v/>
      </c>
      <c r="H115" s="9">
        <f>IFERROR(LOOKUP(2,1/('Weekly Tracker'!$E$2:$E$766=$A115)/('Weekly Tracker'!$H$2:$H$766&lt;&gt;""),'Weekly Tracker'!$H$2:$H$766),"")</f>
        <v/>
      </c>
      <c r="I115" s="16">
        <f>IF(H115&lt;&gt;"",LOOKUP(2,1/('Weekly Tracker'!$E$2:$E$766=$A115)/('Weekly Tracker'!$H$2:$H$766&lt;&gt;""),'Weekly Tracker'!$I$2:$I$766),"")</f>
        <v/>
      </c>
      <c r="J115" s="9">
        <f>IFERROR(LOOKUP(2,1/('Weekly Tracker'!$E$2:$E$766=$A115)/('Weekly Tracker'!$J$2:$J$766&lt;&gt;""),'Weekly Tracker'!$J$2:$J$766),"")</f>
        <v/>
      </c>
      <c r="K115" s="9">
        <f>IFERROR(LOOKUP(2,1/('Weekly Tracker'!$E$2:$E$766=$A115)/('Weekly Tracker'!$N$2:$N$766&lt;&gt;""),'Weekly Tracker'!$N$2:$N$766),"")</f>
        <v/>
      </c>
      <c r="L115" s="9">
        <f>IFERROR(LOOKUP(2,1/('Weekly Tracker'!$E$2:$E$766=$A115)/('Weekly Tracker'!$O$2:$O$766&lt;&gt;""),'Weekly Tracker'!$O$2:$O$766),"")</f>
        <v/>
      </c>
    </row>
    <row r="116">
      <c r="A116" s="9" t="inlineStr">
        <is>
          <t>Muthu Prakash Scl</t>
        </is>
      </c>
      <c r="B116" s="9" t="inlineStr">
        <is>
          <t>919500273486</t>
        </is>
      </c>
      <c r="C116" s="9" t="n"/>
      <c r="D116" s="9" t="n"/>
      <c r="E116" s="9" t="n"/>
      <c r="F116" s="9">
        <f>IFERROR(LOOKUP(2,1/('Weekly Tracker'!$E$2:$E$766=$A116)/('Weekly Tracker'!$F$2:$F$766&lt;&gt;""),'Weekly Tracker'!$F$2:$F$766),"")</f>
        <v/>
      </c>
      <c r="G116" s="16">
        <f>IF(F116&lt;&gt;"",LOOKUP(2,1/('Weekly Tracker'!$E$2:$E$766=$A116)/('Weekly Tracker'!$F$2:$F$766&lt;&gt;""),'Weekly Tracker'!$G$2:$G$766),"")</f>
        <v/>
      </c>
      <c r="H116" s="9">
        <f>IFERROR(LOOKUP(2,1/('Weekly Tracker'!$E$2:$E$766=$A116)/('Weekly Tracker'!$H$2:$H$766&lt;&gt;""),'Weekly Tracker'!$H$2:$H$766),"")</f>
        <v/>
      </c>
      <c r="I116" s="16">
        <f>IF(H116&lt;&gt;"",LOOKUP(2,1/('Weekly Tracker'!$E$2:$E$766=$A116)/('Weekly Tracker'!$H$2:$H$766&lt;&gt;""),'Weekly Tracker'!$I$2:$I$766),"")</f>
        <v/>
      </c>
      <c r="J116" s="9">
        <f>IFERROR(LOOKUP(2,1/('Weekly Tracker'!$E$2:$E$766=$A116)/('Weekly Tracker'!$J$2:$J$766&lt;&gt;""),'Weekly Tracker'!$J$2:$J$766),"")</f>
        <v/>
      </c>
      <c r="K116" s="9">
        <f>IFERROR(LOOKUP(2,1/('Weekly Tracker'!$E$2:$E$766=$A116)/('Weekly Tracker'!$N$2:$N$766&lt;&gt;""),'Weekly Tracker'!$N$2:$N$766),"")</f>
        <v/>
      </c>
      <c r="L116" s="9">
        <f>IFERROR(LOOKUP(2,1/('Weekly Tracker'!$E$2:$E$766=$A116)/('Weekly Tracker'!$O$2:$O$766&lt;&gt;""),'Weekly Tracker'!$O$2:$O$766),"")</f>
        <v/>
      </c>
    </row>
    <row r="117">
      <c r="A117" s="9" t="inlineStr">
        <is>
          <t>Vivek Scl</t>
        </is>
      </c>
      <c r="B117" s="9" t="inlineStr">
        <is>
          <t>+91 95241 76981</t>
        </is>
      </c>
      <c r="C117" s="9" t="n"/>
      <c r="D117" s="9" t="n"/>
      <c r="E117" s="9" t="n"/>
      <c r="F117" s="9">
        <f>IFERROR(LOOKUP(2,1/('Weekly Tracker'!$E$2:$E$766=$A117)/('Weekly Tracker'!$F$2:$F$766&lt;&gt;""),'Weekly Tracker'!$F$2:$F$766),"")</f>
        <v/>
      </c>
      <c r="G117" s="16">
        <f>IF(F117&lt;&gt;"",LOOKUP(2,1/('Weekly Tracker'!$E$2:$E$766=$A117)/('Weekly Tracker'!$F$2:$F$766&lt;&gt;""),'Weekly Tracker'!$G$2:$G$766),"")</f>
        <v/>
      </c>
      <c r="H117" s="9">
        <f>IFERROR(LOOKUP(2,1/('Weekly Tracker'!$E$2:$E$766=$A117)/('Weekly Tracker'!$H$2:$H$766&lt;&gt;""),'Weekly Tracker'!$H$2:$H$766),"")</f>
        <v/>
      </c>
      <c r="I117" s="16">
        <f>IF(H117&lt;&gt;"",LOOKUP(2,1/('Weekly Tracker'!$E$2:$E$766=$A117)/('Weekly Tracker'!$H$2:$H$766&lt;&gt;""),'Weekly Tracker'!$I$2:$I$766),"")</f>
        <v/>
      </c>
      <c r="J117" s="9">
        <f>IFERROR(LOOKUP(2,1/('Weekly Tracker'!$E$2:$E$766=$A117)/('Weekly Tracker'!$J$2:$J$766&lt;&gt;""),'Weekly Tracker'!$J$2:$J$766),"")</f>
        <v/>
      </c>
      <c r="K117" s="9">
        <f>IFERROR(LOOKUP(2,1/('Weekly Tracker'!$E$2:$E$766=$A117)/('Weekly Tracker'!$N$2:$N$766&lt;&gt;""),'Weekly Tracker'!$N$2:$N$766),"")</f>
        <v/>
      </c>
      <c r="L117" s="9">
        <f>IFERROR(LOOKUP(2,1/('Weekly Tracker'!$E$2:$E$766=$A117)/('Weekly Tracker'!$O$2:$O$766&lt;&gt;""),'Weekly Tracker'!$O$2:$O$766),"")</f>
        <v/>
      </c>
    </row>
    <row r="118">
      <c r="A118" s="9" t="inlineStr">
        <is>
          <t>Praveena Urja</t>
        </is>
      </c>
      <c r="B118" s="9" t="inlineStr">
        <is>
          <t>919094876742</t>
        </is>
      </c>
      <c r="C118" s="9" t="n"/>
      <c r="D118" s="9" t="n"/>
      <c r="E118" s="9" t="n"/>
      <c r="F118" s="9">
        <f>IFERROR(LOOKUP(2,1/('Weekly Tracker'!$E$2:$E$766=$A118)/('Weekly Tracker'!$F$2:$F$766&lt;&gt;""),'Weekly Tracker'!$F$2:$F$766),"")</f>
        <v/>
      </c>
      <c r="G118" s="16">
        <f>IF(F118&lt;&gt;"",LOOKUP(2,1/('Weekly Tracker'!$E$2:$E$766=$A118)/('Weekly Tracker'!$F$2:$F$766&lt;&gt;""),'Weekly Tracker'!$G$2:$G$766),"")</f>
        <v/>
      </c>
      <c r="H118" s="9">
        <f>IFERROR(LOOKUP(2,1/('Weekly Tracker'!$E$2:$E$766=$A118)/('Weekly Tracker'!$H$2:$H$766&lt;&gt;""),'Weekly Tracker'!$H$2:$H$766),"")</f>
        <v/>
      </c>
      <c r="I118" s="16">
        <f>IF(H118&lt;&gt;"",LOOKUP(2,1/('Weekly Tracker'!$E$2:$E$766=$A118)/('Weekly Tracker'!$H$2:$H$766&lt;&gt;""),'Weekly Tracker'!$I$2:$I$766),"")</f>
        <v/>
      </c>
      <c r="J118" s="9">
        <f>IFERROR(LOOKUP(2,1/('Weekly Tracker'!$E$2:$E$766=$A118)/('Weekly Tracker'!$J$2:$J$766&lt;&gt;""),'Weekly Tracker'!$J$2:$J$766),"")</f>
        <v/>
      </c>
      <c r="K118" s="9">
        <f>IFERROR(LOOKUP(2,1/('Weekly Tracker'!$E$2:$E$766=$A118)/('Weekly Tracker'!$N$2:$N$766&lt;&gt;""),'Weekly Tracker'!$N$2:$N$766),"")</f>
        <v/>
      </c>
      <c r="L118" s="9">
        <f>IFERROR(LOOKUP(2,1/('Weekly Tracker'!$E$2:$E$766=$A118)/('Weekly Tracker'!$O$2:$O$766&lt;&gt;""),'Weekly Tracker'!$O$2:$O$766),"")</f>
        <v/>
      </c>
    </row>
    <row r="119">
      <c r="A119" s="9" t="inlineStr">
        <is>
          <t>Pandiya Insta</t>
        </is>
      </c>
      <c r="B119" s="9" t="inlineStr">
        <is>
          <t>7094757603</t>
        </is>
      </c>
      <c r="C119" s="9" t="n"/>
      <c r="D119" s="9" t="n"/>
      <c r="E119" s="9" t="n"/>
      <c r="F119" s="9">
        <f>IFERROR(LOOKUP(2,1/('Weekly Tracker'!$E$2:$E$766=$A119)/('Weekly Tracker'!$F$2:$F$766&lt;&gt;""),'Weekly Tracker'!$F$2:$F$766),"")</f>
        <v/>
      </c>
      <c r="G119" s="16">
        <f>IF(F119&lt;&gt;"",LOOKUP(2,1/('Weekly Tracker'!$E$2:$E$766=$A119)/('Weekly Tracker'!$F$2:$F$766&lt;&gt;""),'Weekly Tracker'!$G$2:$G$766),"")</f>
        <v/>
      </c>
      <c r="H119" s="9">
        <f>IFERROR(LOOKUP(2,1/('Weekly Tracker'!$E$2:$E$766=$A119)/('Weekly Tracker'!$H$2:$H$766&lt;&gt;""),'Weekly Tracker'!$H$2:$H$766),"")</f>
        <v/>
      </c>
      <c r="I119" s="16">
        <f>IF(H119&lt;&gt;"",LOOKUP(2,1/('Weekly Tracker'!$E$2:$E$766=$A119)/('Weekly Tracker'!$H$2:$H$766&lt;&gt;""),'Weekly Tracker'!$I$2:$I$766),"")</f>
        <v/>
      </c>
      <c r="J119" s="9">
        <f>IFERROR(LOOKUP(2,1/('Weekly Tracker'!$E$2:$E$766=$A119)/('Weekly Tracker'!$J$2:$J$766&lt;&gt;""),'Weekly Tracker'!$J$2:$J$766),"")</f>
        <v/>
      </c>
      <c r="K119" s="9">
        <f>IFERROR(LOOKUP(2,1/('Weekly Tracker'!$E$2:$E$766=$A119)/('Weekly Tracker'!$N$2:$N$766&lt;&gt;""),'Weekly Tracker'!$N$2:$N$766),"")</f>
        <v/>
      </c>
      <c r="L119" s="9">
        <f>IFERROR(LOOKUP(2,1/('Weekly Tracker'!$E$2:$E$766=$A119)/('Weekly Tracker'!$O$2:$O$766&lt;&gt;""),'Weekly Tracker'!$O$2:$O$766),"")</f>
        <v/>
      </c>
    </row>
    <row r="120">
      <c r="A120" s="9" t="inlineStr">
        <is>
          <t>Ramanujam Ram FB</t>
        </is>
      </c>
      <c r="B120" s="9" t="inlineStr">
        <is>
          <t>916382510673, 7639409055</t>
        </is>
      </c>
      <c r="C120" s="9" t="n"/>
      <c r="D120" s="9" t="n"/>
      <c r="E120" s="9" t="n"/>
      <c r="F120" s="9">
        <f>IFERROR(LOOKUP(2,1/('Weekly Tracker'!$E$2:$E$766=$A120)/('Weekly Tracker'!$F$2:$F$766&lt;&gt;""),'Weekly Tracker'!$F$2:$F$766),"")</f>
        <v/>
      </c>
      <c r="G120" s="16">
        <f>IF(F120&lt;&gt;"",LOOKUP(2,1/('Weekly Tracker'!$E$2:$E$766=$A120)/('Weekly Tracker'!$F$2:$F$766&lt;&gt;""),'Weekly Tracker'!$G$2:$G$766),"")</f>
        <v/>
      </c>
      <c r="H120" s="9">
        <f>IFERROR(LOOKUP(2,1/('Weekly Tracker'!$E$2:$E$766=$A120)/('Weekly Tracker'!$H$2:$H$766&lt;&gt;""),'Weekly Tracker'!$H$2:$H$766),"")</f>
        <v/>
      </c>
      <c r="I120" s="16">
        <f>IF(H120&lt;&gt;"",LOOKUP(2,1/('Weekly Tracker'!$E$2:$E$766=$A120)/('Weekly Tracker'!$H$2:$H$766&lt;&gt;""),'Weekly Tracker'!$I$2:$I$766),"")</f>
        <v/>
      </c>
      <c r="J120" s="9">
        <f>IFERROR(LOOKUP(2,1/('Weekly Tracker'!$E$2:$E$766=$A120)/('Weekly Tracker'!$J$2:$J$766&lt;&gt;""),'Weekly Tracker'!$J$2:$J$766),"")</f>
        <v/>
      </c>
      <c r="K120" s="9">
        <f>IFERROR(LOOKUP(2,1/('Weekly Tracker'!$E$2:$E$766=$A120)/('Weekly Tracker'!$N$2:$N$766&lt;&gt;""),'Weekly Tracker'!$N$2:$N$766),"")</f>
        <v/>
      </c>
      <c r="L120" s="9">
        <f>IFERROR(LOOKUP(2,1/('Weekly Tracker'!$E$2:$E$766=$A120)/('Weekly Tracker'!$O$2:$O$766&lt;&gt;""),'Weekly Tracker'!$O$2:$O$766),"")</f>
        <v/>
      </c>
    </row>
    <row r="121">
      <c r="A121" s="9" t="inlineStr">
        <is>
          <t>Er.N.Babu Grp Ucen</t>
        </is>
      </c>
      <c r="B121" s="9" t="inlineStr">
        <is>
          <t>919787651650</t>
        </is>
      </c>
      <c r="C121" s="9" t="n"/>
      <c r="D121" s="9" t="n"/>
      <c r="E121" s="9" t="n"/>
      <c r="F121" s="9">
        <f>IFERROR(LOOKUP(2,1/('Weekly Tracker'!$E$2:$E$766=$A121)/('Weekly Tracker'!$F$2:$F$766&lt;&gt;""),'Weekly Tracker'!$F$2:$F$766),"")</f>
        <v/>
      </c>
      <c r="G121" s="16">
        <f>IF(F121&lt;&gt;"",LOOKUP(2,1/('Weekly Tracker'!$E$2:$E$766=$A121)/('Weekly Tracker'!$F$2:$F$766&lt;&gt;""),'Weekly Tracker'!$G$2:$G$766),"")</f>
        <v/>
      </c>
      <c r="H121" s="9">
        <f>IFERROR(LOOKUP(2,1/('Weekly Tracker'!$E$2:$E$766=$A121)/('Weekly Tracker'!$H$2:$H$766&lt;&gt;""),'Weekly Tracker'!$H$2:$H$766),"")</f>
        <v/>
      </c>
      <c r="I121" s="16">
        <f>IF(H121&lt;&gt;"",LOOKUP(2,1/('Weekly Tracker'!$E$2:$E$766=$A121)/('Weekly Tracker'!$H$2:$H$766&lt;&gt;""),'Weekly Tracker'!$I$2:$I$766),"")</f>
        <v/>
      </c>
      <c r="J121" s="9">
        <f>IFERROR(LOOKUP(2,1/('Weekly Tracker'!$E$2:$E$766=$A121)/('Weekly Tracker'!$J$2:$J$766&lt;&gt;""),'Weekly Tracker'!$J$2:$J$766),"")</f>
        <v/>
      </c>
      <c r="K121" s="9">
        <f>IFERROR(LOOKUP(2,1/('Weekly Tracker'!$E$2:$E$766=$A121)/('Weekly Tracker'!$N$2:$N$766&lt;&gt;""),'Weekly Tracker'!$N$2:$N$766),"")</f>
        <v/>
      </c>
      <c r="L121" s="9">
        <f>IFERROR(LOOKUP(2,1/('Weekly Tracker'!$E$2:$E$766=$A121)/('Weekly Tracker'!$O$2:$O$766&lt;&gt;""),'Weekly Tracker'!$O$2:$O$766),"")</f>
        <v/>
      </c>
    </row>
    <row r="122">
      <c r="A122" s="9" t="inlineStr">
        <is>
          <t>Beniel Infy</t>
        </is>
      </c>
      <c r="B122" s="9" t="inlineStr">
        <is>
          <t>919552238105</t>
        </is>
      </c>
      <c r="C122" s="9" t="n"/>
      <c r="D122" s="9" t="n"/>
      <c r="E122" s="9" t="n"/>
      <c r="F122" s="9">
        <f>IFERROR(LOOKUP(2,1/('Weekly Tracker'!$E$2:$E$766=$A122)/('Weekly Tracker'!$F$2:$F$766&lt;&gt;""),'Weekly Tracker'!$F$2:$F$766),"")</f>
        <v/>
      </c>
      <c r="G122" s="16">
        <f>IF(F122&lt;&gt;"",LOOKUP(2,1/('Weekly Tracker'!$E$2:$E$766=$A122)/('Weekly Tracker'!$F$2:$F$766&lt;&gt;""),'Weekly Tracker'!$G$2:$G$766),"")</f>
        <v/>
      </c>
      <c r="H122" s="9">
        <f>IFERROR(LOOKUP(2,1/('Weekly Tracker'!$E$2:$E$766=$A122)/('Weekly Tracker'!$H$2:$H$766&lt;&gt;""),'Weekly Tracker'!$H$2:$H$766),"")</f>
        <v/>
      </c>
      <c r="I122" s="16">
        <f>IF(H122&lt;&gt;"",LOOKUP(2,1/('Weekly Tracker'!$E$2:$E$766=$A122)/('Weekly Tracker'!$H$2:$H$766&lt;&gt;""),'Weekly Tracker'!$I$2:$I$766),"")</f>
        <v/>
      </c>
      <c r="J122" s="9">
        <f>IFERROR(LOOKUP(2,1/('Weekly Tracker'!$E$2:$E$766=$A122)/('Weekly Tracker'!$J$2:$J$766&lt;&gt;""),'Weekly Tracker'!$J$2:$J$766),"")</f>
        <v/>
      </c>
      <c r="K122" s="9">
        <f>IFERROR(LOOKUP(2,1/('Weekly Tracker'!$E$2:$E$766=$A122)/('Weekly Tracker'!$N$2:$N$766&lt;&gt;""),'Weekly Tracker'!$N$2:$N$766),"")</f>
        <v/>
      </c>
      <c r="L122" s="9">
        <f>IFERROR(LOOKUP(2,1/('Weekly Tracker'!$E$2:$E$766=$A122)/('Weekly Tracker'!$O$2:$O$766&lt;&gt;""),'Weekly Tracker'!$O$2:$O$766),"")</f>
        <v/>
      </c>
    </row>
    <row r="123">
      <c r="A123" s="9" t="inlineStr">
        <is>
          <t>Shaji S Roman FB</t>
        </is>
      </c>
      <c r="B123" s="9" t="inlineStr">
        <is>
          <t>919786163695</t>
        </is>
      </c>
      <c r="C123" s="9" t="n"/>
      <c r="D123" s="9" t="n"/>
      <c r="E123" s="9" t="n"/>
      <c r="F123" s="9">
        <f>IFERROR(LOOKUP(2,1/('Weekly Tracker'!$E$2:$E$766=$A123)/('Weekly Tracker'!$F$2:$F$766&lt;&gt;""),'Weekly Tracker'!$F$2:$F$766),"")</f>
        <v/>
      </c>
      <c r="G123" s="16">
        <f>IF(F123&lt;&gt;"",LOOKUP(2,1/('Weekly Tracker'!$E$2:$E$766=$A123)/('Weekly Tracker'!$F$2:$F$766&lt;&gt;""),'Weekly Tracker'!$G$2:$G$766),"")</f>
        <v/>
      </c>
      <c r="H123" s="9">
        <f>IFERROR(LOOKUP(2,1/('Weekly Tracker'!$E$2:$E$766=$A123)/('Weekly Tracker'!$H$2:$H$766&lt;&gt;""),'Weekly Tracker'!$H$2:$H$766),"")</f>
        <v/>
      </c>
      <c r="I123" s="16">
        <f>IF(H123&lt;&gt;"",LOOKUP(2,1/('Weekly Tracker'!$E$2:$E$766=$A123)/('Weekly Tracker'!$H$2:$H$766&lt;&gt;""),'Weekly Tracker'!$I$2:$I$766),"")</f>
        <v/>
      </c>
      <c r="J123" s="9">
        <f>IFERROR(LOOKUP(2,1/('Weekly Tracker'!$E$2:$E$766=$A123)/('Weekly Tracker'!$J$2:$J$766&lt;&gt;""),'Weekly Tracker'!$J$2:$J$766),"")</f>
        <v/>
      </c>
      <c r="K123" s="9">
        <f>IFERROR(LOOKUP(2,1/('Weekly Tracker'!$E$2:$E$766=$A123)/('Weekly Tracker'!$N$2:$N$766&lt;&gt;""),'Weekly Tracker'!$N$2:$N$766),"")</f>
        <v/>
      </c>
      <c r="L123" s="9">
        <f>IFERROR(LOOKUP(2,1/('Weekly Tracker'!$E$2:$E$766=$A123)/('Weekly Tracker'!$O$2:$O$766&lt;&gt;""),'Weekly Tracker'!$O$2:$O$766),"")</f>
        <v/>
      </c>
    </row>
    <row r="124">
      <c r="A124" s="9" t="inlineStr">
        <is>
          <t>Sunil Dhull Infy</t>
        </is>
      </c>
      <c r="B124" s="9" t="inlineStr">
        <is>
          <t>919467703008</t>
        </is>
      </c>
      <c r="C124" s="9" t="n"/>
      <c r="D124" s="9" t="n"/>
      <c r="E124" s="9" t="n"/>
      <c r="F124" s="9">
        <f>IFERROR(LOOKUP(2,1/('Weekly Tracker'!$E$2:$E$766=$A124)/('Weekly Tracker'!$F$2:$F$766&lt;&gt;""),'Weekly Tracker'!$F$2:$F$766),"")</f>
        <v/>
      </c>
      <c r="G124" s="16">
        <f>IF(F124&lt;&gt;"",LOOKUP(2,1/('Weekly Tracker'!$E$2:$E$766=$A124)/('Weekly Tracker'!$F$2:$F$766&lt;&gt;""),'Weekly Tracker'!$G$2:$G$766),"")</f>
        <v/>
      </c>
      <c r="H124" s="9">
        <f>IFERROR(LOOKUP(2,1/('Weekly Tracker'!$E$2:$E$766=$A124)/('Weekly Tracker'!$H$2:$H$766&lt;&gt;""),'Weekly Tracker'!$H$2:$H$766),"")</f>
        <v/>
      </c>
      <c r="I124" s="16">
        <f>IF(H124&lt;&gt;"",LOOKUP(2,1/('Weekly Tracker'!$E$2:$E$766=$A124)/('Weekly Tracker'!$H$2:$H$766&lt;&gt;""),'Weekly Tracker'!$I$2:$I$766),"")</f>
        <v/>
      </c>
      <c r="J124" s="9">
        <f>IFERROR(LOOKUP(2,1/('Weekly Tracker'!$E$2:$E$766=$A124)/('Weekly Tracker'!$J$2:$J$766&lt;&gt;""),'Weekly Tracker'!$J$2:$J$766),"")</f>
        <v/>
      </c>
      <c r="K124" s="9">
        <f>IFERROR(LOOKUP(2,1/('Weekly Tracker'!$E$2:$E$766=$A124)/('Weekly Tracker'!$N$2:$N$766&lt;&gt;""),'Weekly Tracker'!$N$2:$N$766),"")</f>
        <v/>
      </c>
      <c r="L124" s="9">
        <f>IFERROR(LOOKUP(2,1/('Weekly Tracker'!$E$2:$E$766=$A124)/('Weekly Tracker'!$O$2:$O$766&lt;&gt;""),'Weekly Tracker'!$O$2:$O$766),"")</f>
        <v/>
      </c>
    </row>
    <row r="125">
      <c r="A125" s="9" t="inlineStr">
        <is>
          <t>Bala Kumar Grp Junior</t>
        </is>
      </c>
      <c r="B125" s="9" t="inlineStr">
        <is>
          <t>918903270945</t>
        </is>
      </c>
      <c r="C125" s="9" t="n"/>
      <c r="D125" s="9" t="n"/>
      <c r="E125" s="9" t="n"/>
      <c r="F125" s="9">
        <f>IFERROR(LOOKUP(2,1/('Weekly Tracker'!$E$2:$E$766=$A125)/('Weekly Tracker'!$F$2:$F$766&lt;&gt;""),'Weekly Tracker'!$F$2:$F$766),"")</f>
        <v/>
      </c>
      <c r="G125" s="16">
        <f>IF(F125&lt;&gt;"",LOOKUP(2,1/('Weekly Tracker'!$E$2:$E$766=$A125)/('Weekly Tracker'!$F$2:$F$766&lt;&gt;""),'Weekly Tracker'!$G$2:$G$766),"")</f>
        <v/>
      </c>
      <c r="H125" s="9">
        <f>IFERROR(LOOKUP(2,1/('Weekly Tracker'!$E$2:$E$766=$A125)/('Weekly Tracker'!$H$2:$H$766&lt;&gt;""),'Weekly Tracker'!$H$2:$H$766),"")</f>
        <v/>
      </c>
      <c r="I125" s="16">
        <f>IF(H125&lt;&gt;"",LOOKUP(2,1/('Weekly Tracker'!$E$2:$E$766=$A125)/('Weekly Tracker'!$H$2:$H$766&lt;&gt;""),'Weekly Tracker'!$I$2:$I$766),"")</f>
        <v/>
      </c>
      <c r="J125" s="9">
        <f>IFERROR(LOOKUP(2,1/('Weekly Tracker'!$E$2:$E$766=$A125)/('Weekly Tracker'!$J$2:$J$766&lt;&gt;""),'Weekly Tracker'!$J$2:$J$766),"")</f>
        <v/>
      </c>
      <c r="K125" s="9">
        <f>IFERROR(LOOKUP(2,1/('Weekly Tracker'!$E$2:$E$766=$A125)/('Weekly Tracker'!$N$2:$N$766&lt;&gt;""),'Weekly Tracker'!$N$2:$N$766),"")</f>
        <v/>
      </c>
      <c r="L125" s="9">
        <f>IFERROR(LOOKUP(2,1/('Weekly Tracker'!$E$2:$E$766=$A125)/('Weekly Tracker'!$O$2:$O$766&lt;&gt;""),'Weekly Tracker'!$O$2:$O$766),"")</f>
        <v/>
      </c>
    </row>
    <row r="126">
      <c r="A126" s="9" t="inlineStr">
        <is>
          <t>Vimal Urja</t>
        </is>
      </c>
      <c r="B126" s="9" t="inlineStr">
        <is>
          <t>919942677300</t>
        </is>
      </c>
      <c r="C126" s="9" t="n"/>
      <c r="D126" s="9" t="n"/>
      <c r="E126" s="9" t="n"/>
      <c r="F126" s="9">
        <f>IFERROR(LOOKUP(2,1/('Weekly Tracker'!$E$2:$E$766=$A126)/('Weekly Tracker'!$F$2:$F$766&lt;&gt;""),'Weekly Tracker'!$F$2:$F$766),"")</f>
        <v/>
      </c>
      <c r="G126" s="16">
        <f>IF(F126&lt;&gt;"",LOOKUP(2,1/('Weekly Tracker'!$E$2:$E$766=$A126)/('Weekly Tracker'!$F$2:$F$766&lt;&gt;""),'Weekly Tracker'!$G$2:$G$766),"")</f>
        <v/>
      </c>
      <c r="H126" s="9">
        <f>IFERROR(LOOKUP(2,1/('Weekly Tracker'!$E$2:$E$766=$A126)/('Weekly Tracker'!$H$2:$H$766&lt;&gt;""),'Weekly Tracker'!$H$2:$H$766),"")</f>
        <v/>
      </c>
      <c r="I126" s="16">
        <f>IF(H126&lt;&gt;"",LOOKUP(2,1/('Weekly Tracker'!$E$2:$E$766=$A126)/('Weekly Tracker'!$H$2:$H$766&lt;&gt;""),'Weekly Tracker'!$I$2:$I$766),"")</f>
        <v/>
      </c>
      <c r="J126" s="9">
        <f>IFERROR(LOOKUP(2,1/('Weekly Tracker'!$E$2:$E$766=$A126)/('Weekly Tracker'!$J$2:$J$766&lt;&gt;""),'Weekly Tracker'!$J$2:$J$766),"")</f>
        <v/>
      </c>
      <c r="K126" s="9">
        <f>IFERROR(LOOKUP(2,1/('Weekly Tracker'!$E$2:$E$766=$A126)/('Weekly Tracker'!$N$2:$N$766&lt;&gt;""),'Weekly Tracker'!$N$2:$N$766),"")</f>
        <v/>
      </c>
      <c r="L126" s="9">
        <f>IFERROR(LOOKUP(2,1/('Weekly Tracker'!$E$2:$E$766=$A126)/('Weekly Tracker'!$O$2:$O$766&lt;&gt;""),'Weekly Tracker'!$O$2:$O$766),"")</f>
        <v/>
      </c>
    </row>
    <row r="127">
      <c r="A127" s="9" t="inlineStr">
        <is>
          <t>Balaji R NDLF</t>
        </is>
      </c>
      <c r="B127" s="9" t="inlineStr">
        <is>
          <t>917397447608</t>
        </is>
      </c>
      <c r="C127" s="9" t="n"/>
      <c r="D127" s="9" t="n"/>
      <c r="E127" s="9" t="n"/>
      <c r="F127" s="9">
        <f>IFERROR(LOOKUP(2,1/('Weekly Tracker'!$E$2:$E$766=$A127)/('Weekly Tracker'!$F$2:$F$766&lt;&gt;""),'Weekly Tracker'!$F$2:$F$766),"")</f>
        <v/>
      </c>
      <c r="G127" s="16">
        <f>IF(F127&lt;&gt;"",LOOKUP(2,1/('Weekly Tracker'!$E$2:$E$766=$A127)/('Weekly Tracker'!$F$2:$F$766&lt;&gt;""),'Weekly Tracker'!$G$2:$G$766),"")</f>
        <v/>
      </c>
      <c r="H127" s="9">
        <f>IFERROR(LOOKUP(2,1/('Weekly Tracker'!$E$2:$E$766=$A127)/('Weekly Tracker'!$H$2:$H$766&lt;&gt;""),'Weekly Tracker'!$H$2:$H$766),"")</f>
        <v/>
      </c>
      <c r="I127" s="16">
        <f>IF(H127&lt;&gt;"",LOOKUP(2,1/('Weekly Tracker'!$E$2:$E$766=$A127)/('Weekly Tracker'!$H$2:$H$766&lt;&gt;""),'Weekly Tracker'!$I$2:$I$766),"")</f>
        <v/>
      </c>
      <c r="J127" s="9">
        <f>IFERROR(LOOKUP(2,1/('Weekly Tracker'!$E$2:$E$766=$A127)/('Weekly Tracker'!$J$2:$J$766&lt;&gt;""),'Weekly Tracker'!$J$2:$J$766),"")</f>
        <v/>
      </c>
      <c r="K127" s="9">
        <f>IFERROR(LOOKUP(2,1/('Weekly Tracker'!$E$2:$E$766=$A127)/('Weekly Tracker'!$N$2:$N$766&lt;&gt;""),'Weekly Tracker'!$N$2:$N$766),"")</f>
        <v/>
      </c>
      <c r="L127" s="9">
        <f>IFERROR(LOOKUP(2,1/('Weekly Tracker'!$E$2:$E$766=$A127)/('Weekly Tracker'!$O$2:$O$766&lt;&gt;""),'Weekly Tracker'!$O$2:$O$766),"")</f>
        <v/>
      </c>
    </row>
    <row r="128">
      <c r="A128" s="9" t="inlineStr">
        <is>
          <t>Rajesh kanna FB</t>
        </is>
      </c>
      <c r="B128" s="9" t="inlineStr">
        <is>
          <t>9629738558</t>
        </is>
      </c>
      <c r="C128" s="9" t="n"/>
      <c r="D128" s="9" t="n"/>
      <c r="E128" s="9" t="n"/>
      <c r="F128" s="9">
        <f>IFERROR(LOOKUP(2,1/('Weekly Tracker'!$E$2:$E$766=$A128)/('Weekly Tracker'!$F$2:$F$766&lt;&gt;""),'Weekly Tracker'!$F$2:$F$766),"")</f>
        <v/>
      </c>
      <c r="G128" s="16">
        <f>IF(F128&lt;&gt;"",LOOKUP(2,1/('Weekly Tracker'!$E$2:$E$766=$A128)/('Weekly Tracker'!$F$2:$F$766&lt;&gt;""),'Weekly Tracker'!$G$2:$G$766),"")</f>
        <v/>
      </c>
      <c r="H128" s="9">
        <f>IFERROR(LOOKUP(2,1/('Weekly Tracker'!$E$2:$E$766=$A128)/('Weekly Tracker'!$H$2:$H$766&lt;&gt;""),'Weekly Tracker'!$H$2:$H$766),"")</f>
        <v/>
      </c>
      <c r="I128" s="16">
        <f>IF(H128&lt;&gt;"",LOOKUP(2,1/('Weekly Tracker'!$E$2:$E$766=$A128)/('Weekly Tracker'!$H$2:$H$766&lt;&gt;""),'Weekly Tracker'!$I$2:$I$766),"")</f>
        <v/>
      </c>
      <c r="J128" s="9">
        <f>IFERROR(LOOKUP(2,1/('Weekly Tracker'!$E$2:$E$766=$A128)/('Weekly Tracker'!$J$2:$J$766&lt;&gt;""),'Weekly Tracker'!$J$2:$J$766),"")</f>
        <v/>
      </c>
      <c r="K128" s="9">
        <f>IFERROR(LOOKUP(2,1/('Weekly Tracker'!$E$2:$E$766=$A128)/('Weekly Tracker'!$N$2:$N$766&lt;&gt;""),'Weekly Tracker'!$N$2:$N$766),"")</f>
        <v/>
      </c>
      <c r="L128" s="9">
        <f>IFERROR(LOOKUP(2,1/('Weekly Tracker'!$E$2:$E$766=$A128)/('Weekly Tracker'!$O$2:$O$766&lt;&gt;""),'Weekly Tracker'!$O$2:$O$766),"")</f>
        <v/>
      </c>
    </row>
    <row r="129">
      <c r="A129" s="9" t="inlineStr">
        <is>
          <t>Clinton Cric FB</t>
        </is>
      </c>
      <c r="B129" s="9" t="inlineStr">
        <is>
          <t>9962728399</t>
        </is>
      </c>
      <c r="C129" s="9" t="n"/>
      <c r="D129" s="9" t="n"/>
      <c r="E129" s="9" t="n"/>
      <c r="F129" s="9">
        <f>IFERROR(LOOKUP(2,1/('Weekly Tracker'!$E$2:$E$766=$A129)/('Weekly Tracker'!$F$2:$F$766&lt;&gt;""),'Weekly Tracker'!$F$2:$F$766),"")</f>
        <v/>
      </c>
      <c r="G129" s="16">
        <f>IF(F129&lt;&gt;"",LOOKUP(2,1/('Weekly Tracker'!$E$2:$E$766=$A129)/('Weekly Tracker'!$F$2:$F$766&lt;&gt;""),'Weekly Tracker'!$G$2:$G$766),"")</f>
        <v/>
      </c>
      <c r="H129" s="9">
        <f>IFERROR(LOOKUP(2,1/('Weekly Tracker'!$E$2:$E$766=$A129)/('Weekly Tracker'!$H$2:$H$766&lt;&gt;""),'Weekly Tracker'!$H$2:$H$766),"")</f>
        <v/>
      </c>
      <c r="I129" s="16">
        <f>IF(H129&lt;&gt;"",LOOKUP(2,1/('Weekly Tracker'!$E$2:$E$766=$A129)/('Weekly Tracker'!$H$2:$H$766&lt;&gt;""),'Weekly Tracker'!$I$2:$I$766),"")</f>
        <v/>
      </c>
      <c r="J129" s="9">
        <f>IFERROR(LOOKUP(2,1/('Weekly Tracker'!$E$2:$E$766=$A129)/('Weekly Tracker'!$J$2:$J$766&lt;&gt;""),'Weekly Tracker'!$J$2:$J$766),"")</f>
        <v/>
      </c>
      <c r="K129" s="9">
        <f>IFERROR(LOOKUP(2,1/('Weekly Tracker'!$E$2:$E$766=$A129)/('Weekly Tracker'!$N$2:$N$766&lt;&gt;""),'Weekly Tracker'!$N$2:$N$766),"")</f>
        <v/>
      </c>
      <c r="L129" s="9">
        <f>IFERROR(LOOKUP(2,1/('Weekly Tracker'!$E$2:$E$766=$A129)/('Weekly Tracker'!$O$2:$O$766&lt;&gt;""),'Weekly Tracker'!$O$2:$O$766),"")</f>
        <v/>
      </c>
    </row>
    <row r="130">
      <c r="A130" s="9" t="inlineStr">
        <is>
          <t>Perinba Arun Changed</t>
        </is>
      </c>
      <c r="B130" s="9" t="inlineStr">
        <is>
          <t>918220166549</t>
        </is>
      </c>
      <c r="C130" s="9" t="n"/>
      <c r="D130" s="9" t="n"/>
      <c r="E130" s="9" t="n"/>
      <c r="F130" s="9">
        <f>IFERROR(LOOKUP(2,1/('Weekly Tracker'!$E$2:$E$766=$A130)/('Weekly Tracker'!$F$2:$F$766&lt;&gt;""),'Weekly Tracker'!$F$2:$F$766),"")</f>
        <v/>
      </c>
      <c r="G130" s="16">
        <f>IF(F130&lt;&gt;"",LOOKUP(2,1/('Weekly Tracker'!$E$2:$E$766=$A130)/('Weekly Tracker'!$F$2:$F$766&lt;&gt;""),'Weekly Tracker'!$G$2:$G$766),"")</f>
        <v/>
      </c>
      <c r="H130" s="9">
        <f>IFERROR(LOOKUP(2,1/('Weekly Tracker'!$E$2:$E$766=$A130)/('Weekly Tracker'!$H$2:$H$766&lt;&gt;""),'Weekly Tracker'!$H$2:$H$766),"")</f>
        <v/>
      </c>
      <c r="I130" s="16">
        <f>IF(H130&lt;&gt;"",LOOKUP(2,1/('Weekly Tracker'!$E$2:$E$766=$A130)/('Weekly Tracker'!$H$2:$H$766&lt;&gt;""),'Weekly Tracker'!$I$2:$I$766),"")</f>
        <v/>
      </c>
      <c r="J130" s="9">
        <f>IFERROR(LOOKUP(2,1/('Weekly Tracker'!$E$2:$E$766=$A130)/('Weekly Tracker'!$J$2:$J$766&lt;&gt;""),'Weekly Tracker'!$J$2:$J$766),"")</f>
        <v/>
      </c>
      <c r="K130" s="9">
        <f>IFERROR(LOOKUP(2,1/('Weekly Tracker'!$E$2:$E$766=$A130)/('Weekly Tracker'!$N$2:$N$766&lt;&gt;""),'Weekly Tracker'!$N$2:$N$766),"")</f>
        <v/>
      </c>
      <c r="L130" s="9">
        <f>IFERROR(LOOKUP(2,1/('Weekly Tracker'!$E$2:$E$766=$A130)/('Weekly Tracker'!$O$2:$O$766&lt;&gt;""),'Weekly Tracker'!$O$2:$O$766),"")</f>
        <v/>
      </c>
    </row>
    <row r="131">
      <c r="A131" s="9" t="inlineStr">
        <is>
          <t>Thiyagarajan FB</t>
        </is>
      </c>
      <c r="B131" s="9" t="inlineStr">
        <is>
          <t>917402132990</t>
        </is>
      </c>
      <c r="C131" s="9" t="n"/>
      <c r="D131" s="9" t="n"/>
      <c r="E131" s="9" t="n"/>
      <c r="F131" s="9">
        <f>IFERROR(LOOKUP(2,1/('Weekly Tracker'!$E$2:$E$766=$A131)/('Weekly Tracker'!$F$2:$F$766&lt;&gt;""),'Weekly Tracker'!$F$2:$F$766),"")</f>
        <v/>
      </c>
      <c r="G131" s="16">
        <f>IF(F131&lt;&gt;"",LOOKUP(2,1/('Weekly Tracker'!$E$2:$E$766=$A131)/('Weekly Tracker'!$F$2:$F$766&lt;&gt;""),'Weekly Tracker'!$G$2:$G$766),"")</f>
        <v/>
      </c>
      <c r="H131" s="9">
        <f>IFERROR(LOOKUP(2,1/('Weekly Tracker'!$E$2:$E$766=$A131)/('Weekly Tracker'!$H$2:$H$766&lt;&gt;""),'Weekly Tracker'!$H$2:$H$766),"")</f>
        <v/>
      </c>
      <c r="I131" s="16">
        <f>IF(H131&lt;&gt;"",LOOKUP(2,1/('Weekly Tracker'!$E$2:$E$766=$A131)/('Weekly Tracker'!$H$2:$H$766&lt;&gt;""),'Weekly Tracker'!$I$2:$I$766),"")</f>
        <v/>
      </c>
      <c r="J131" s="9">
        <f>IFERROR(LOOKUP(2,1/('Weekly Tracker'!$E$2:$E$766=$A131)/('Weekly Tracker'!$J$2:$J$766&lt;&gt;""),'Weekly Tracker'!$J$2:$J$766),"")</f>
        <v/>
      </c>
      <c r="K131" s="9">
        <f>IFERROR(LOOKUP(2,1/('Weekly Tracker'!$E$2:$E$766=$A131)/('Weekly Tracker'!$N$2:$N$766&lt;&gt;""),'Weekly Tracker'!$N$2:$N$766),"")</f>
        <v/>
      </c>
      <c r="L131" s="9">
        <f>IFERROR(LOOKUP(2,1/('Weekly Tracker'!$E$2:$E$766=$A131)/('Weekly Tracker'!$O$2:$O$766&lt;&gt;""),'Weekly Tracker'!$O$2:$O$766),"")</f>
        <v/>
      </c>
    </row>
    <row r="132">
      <c r="A132" s="9" t="inlineStr">
        <is>
          <t>Vinay Infosys</t>
        </is>
      </c>
      <c r="B132" s="9" t="inlineStr">
        <is>
          <t>919677139372</t>
        </is>
      </c>
      <c r="C132" s="9" t="n"/>
      <c r="D132" s="9" t="n"/>
      <c r="E132" s="9" t="n"/>
      <c r="F132" s="9">
        <f>IFERROR(LOOKUP(2,1/('Weekly Tracker'!$E$2:$E$766=$A132)/('Weekly Tracker'!$F$2:$F$766&lt;&gt;""),'Weekly Tracker'!$F$2:$F$766),"")</f>
        <v/>
      </c>
      <c r="G132" s="16">
        <f>IF(F132&lt;&gt;"",LOOKUP(2,1/('Weekly Tracker'!$E$2:$E$766=$A132)/('Weekly Tracker'!$F$2:$F$766&lt;&gt;""),'Weekly Tracker'!$G$2:$G$766),"")</f>
        <v/>
      </c>
      <c r="H132" s="9">
        <f>IFERROR(LOOKUP(2,1/('Weekly Tracker'!$E$2:$E$766=$A132)/('Weekly Tracker'!$H$2:$H$766&lt;&gt;""),'Weekly Tracker'!$H$2:$H$766),"")</f>
        <v/>
      </c>
      <c r="I132" s="16">
        <f>IF(H132&lt;&gt;"",LOOKUP(2,1/('Weekly Tracker'!$E$2:$E$766=$A132)/('Weekly Tracker'!$H$2:$H$766&lt;&gt;""),'Weekly Tracker'!$I$2:$I$766),"")</f>
        <v/>
      </c>
      <c r="J132" s="9">
        <f>IFERROR(LOOKUP(2,1/('Weekly Tracker'!$E$2:$E$766=$A132)/('Weekly Tracker'!$J$2:$J$766&lt;&gt;""),'Weekly Tracker'!$J$2:$J$766),"")</f>
        <v/>
      </c>
      <c r="K132" s="9">
        <f>IFERROR(LOOKUP(2,1/('Weekly Tracker'!$E$2:$E$766=$A132)/('Weekly Tracker'!$N$2:$N$766&lt;&gt;""),'Weekly Tracker'!$N$2:$N$766),"")</f>
        <v/>
      </c>
      <c r="L132" s="9">
        <f>IFERROR(LOOKUP(2,1/('Weekly Tracker'!$E$2:$E$766=$A132)/('Weekly Tracker'!$O$2:$O$766&lt;&gt;""),'Weekly Tracker'!$O$2:$O$766),"")</f>
        <v/>
      </c>
    </row>
    <row r="133">
      <c r="A133" s="9" t="inlineStr">
        <is>
          <t>Prakash Rapido</t>
        </is>
      </c>
      <c r="B133" s="9" t="inlineStr">
        <is>
          <t>918825531563</t>
        </is>
      </c>
      <c r="C133" s="9" t="n"/>
      <c r="D133" s="9" t="n"/>
      <c r="E133" s="9" t="n"/>
      <c r="F133" s="9">
        <f>IFERROR(LOOKUP(2,1/('Weekly Tracker'!$E$2:$E$766=$A133)/('Weekly Tracker'!$F$2:$F$766&lt;&gt;""),'Weekly Tracker'!$F$2:$F$766),"")</f>
        <v/>
      </c>
      <c r="G133" s="16">
        <f>IF(F133&lt;&gt;"",LOOKUP(2,1/('Weekly Tracker'!$E$2:$E$766=$A133)/('Weekly Tracker'!$F$2:$F$766&lt;&gt;""),'Weekly Tracker'!$G$2:$G$766),"")</f>
        <v/>
      </c>
      <c r="H133" s="9">
        <f>IFERROR(LOOKUP(2,1/('Weekly Tracker'!$E$2:$E$766=$A133)/('Weekly Tracker'!$H$2:$H$766&lt;&gt;""),'Weekly Tracker'!$H$2:$H$766),"")</f>
        <v/>
      </c>
      <c r="I133" s="16">
        <f>IF(H133&lt;&gt;"",LOOKUP(2,1/('Weekly Tracker'!$E$2:$E$766=$A133)/('Weekly Tracker'!$H$2:$H$766&lt;&gt;""),'Weekly Tracker'!$I$2:$I$766),"")</f>
        <v/>
      </c>
      <c r="J133" s="9">
        <f>IFERROR(LOOKUP(2,1/('Weekly Tracker'!$E$2:$E$766=$A133)/('Weekly Tracker'!$J$2:$J$766&lt;&gt;""),'Weekly Tracker'!$J$2:$J$766),"")</f>
        <v/>
      </c>
      <c r="K133" s="9">
        <f>IFERROR(LOOKUP(2,1/('Weekly Tracker'!$E$2:$E$766=$A133)/('Weekly Tracker'!$N$2:$N$766&lt;&gt;""),'Weekly Tracker'!$N$2:$N$766),"")</f>
        <v/>
      </c>
      <c r="L133" s="9">
        <f>IFERROR(LOOKUP(2,1/('Weekly Tracker'!$E$2:$E$766=$A133)/('Weekly Tracker'!$O$2:$O$766&lt;&gt;""),'Weekly Tracker'!$O$2:$O$766),"")</f>
        <v/>
      </c>
    </row>
    <row r="134">
      <c r="A134" s="9" t="inlineStr">
        <is>
          <t>Subash FB</t>
        </is>
      </c>
      <c r="B134" s="9" t="inlineStr">
        <is>
          <t>+91 96003 79657, 919600379657</t>
        </is>
      </c>
      <c r="C134" s="9" t="n"/>
      <c r="D134" s="9" t="n"/>
      <c r="E134" s="9" t="n"/>
      <c r="F134" s="9">
        <f>IFERROR(LOOKUP(2,1/('Weekly Tracker'!$E$2:$E$766=$A134)/('Weekly Tracker'!$F$2:$F$766&lt;&gt;""),'Weekly Tracker'!$F$2:$F$766),"")</f>
        <v/>
      </c>
      <c r="G134" s="16">
        <f>IF(F134&lt;&gt;"",LOOKUP(2,1/('Weekly Tracker'!$E$2:$E$766=$A134)/('Weekly Tracker'!$F$2:$F$766&lt;&gt;""),'Weekly Tracker'!$G$2:$G$766),"")</f>
        <v/>
      </c>
      <c r="H134" s="9">
        <f>IFERROR(LOOKUP(2,1/('Weekly Tracker'!$E$2:$E$766=$A134)/('Weekly Tracker'!$H$2:$H$766&lt;&gt;""),'Weekly Tracker'!$H$2:$H$766),"")</f>
        <v/>
      </c>
      <c r="I134" s="16">
        <f>IF(H134&lt;&gt;"",LOOKUP(2,1/('Weekly Tracker'!$E$2:$E$766=$A134)/('Weekly Tracker'!$H$2:$H$766&lt;&gt;""),'Weekly Tracker'!$I$2:$I$766),"")</f>
        <v/>
      </c>
      <c r="J134" s="9">
        <f>IFERROR(LOOKUP(2,1/('Weekly Tracker'!$E$2:$E$766=$A134)/('Weekly Tracker'!$J$2:$J$766&lt;&gt;""),'Weekly Tracker'!$J$2:$J$766),"")</f>
        <v/>
      </c>
      <c r="K134" s="9">
        <f>IFERROR(LOOKUP(2,1/('Weekly Tracker'!$E$2:$E$766=$A134)/('Weekly Tracker'!$N$2:$N$766&lt;&gt;""),'Weekly Tracker'!$N$2:$N$766),"")</f>
        <v/>
      </c>
      <c r="L134" s="9">
        <f>IFERROR(LOOKUP(2,1/('Weekly Tracker'!$E$2:$E$766=$A134)/('Weekly Tracker'!$O$2:$O$766&lt;&gt;""),'Weekly Tracker'!$O$2:$O$766),"")</f>
        <v/>
      </c>
    </row>
    <row r="135">
      <c r="A135" s="9" t="inlineStr">
        <is>
          <t>Kirish Past Urja</t>
        </is>
      </c>
      <c r="B135" s="9" t="inlineStr">
        <is>
          <t>+91 96779 51859</t>
        </is>
      </c>
      <c r="C135" s="9" t="n"/>
      <c r="D135" s="9" t="n"/>
      <c r="E135" s="9" t="n"/>
      <c r="F135" s="9">
        <f>IFERROR(LOOKUP(2,1/('Weekly Tracker'!$E$2:$E$766=$A135)/('Weekly Tracker'!$F$2:$F$766&lt;&gt;""),'Weekly Tracker'!$F$2:$F$766),"")</f>
        <v/>
      </c>
      <c r="G135" s="16">
        <f>IF(F135&lt;&gt;"",LOOKUP(2,1/('Weekly Tracker'!$E$2:$E$766=$A135)/('Weekly Tracker'!$F$2:$F$766&lt;&gt;""),'Weekly Tracker'!$G$2:$G$766),"")</f>
        <v/>
      </c>
      <c r="H135" s="9">
        <f>IFERROR(LOOKUP(2,1/('Weekly Tracker'!$E$2:$E$766=$A135)/('Weekly Tracker'!$H$2:$H$766&lt;&gt;""),'Weekly Tracker'!$H$2:$H$766),"")</f>
        <v/>
      </c>
      <c r="I135" s="16">
        <f>IF(H135&lt;&gt;"",LOOKUP(2,1/('Weekly Tracker'!$E$2:$E$766=$A135)/('Weekly Tracker'!$H$2:$H$766&lt;&gt;""),'Weekly Tracker'!$I$2:$I$766),"")</f>
        <v/>
      </c>
      <c r="J135" s="9">
        <f>IFERROR(LOOKUP(2,1/('Weekly Tracker'!$E$2:$E$766=$A135)/('Weekly Tracker'!$J$2:$J$766&lt;&gt;""),'Weekly Tracker'!$J$2:$J$766),"")</f>
        <v/>
      </c>
      <c r="K135" s="9">
        <f>IFERROR(LOOKUP(2,1/('Weekly Tracker'!$E$2:$E$766=$A135)/('Weekly Tracker'!$N$2:$N$766&lt;&gt;""),'Weekly Tracker'!$N$2:$N$766),"")</f>
        <v/>
      </c>
      <c r="L135" s="9">
        <f>IFERROR(LOOKUP(2,1/('Weekly Tracker'!$E$2:$E$766=$A135)/('Weekly Tracker'!$O$2:$O$766&lt;&gt;""),'Weekly Tracker'!$O$2:$O$766),"")</f>
        <v/>
      </c>
    </row>
    <row r="136">
      <c r="A136" s="9" t="inlineStr">
        <is>
          <t>Prabhu M Grp Ucen</t>
        </is>
      </c>
      <c r="B136" s="9" t="inlineStr">
        <is>
          <t>919487501613</t>
        </is>
      </c>
      <c r="C136" s="9" t="n"/>
      <c r="D136" s="9" t="n"/>
      <c r="E136" s="9" t="n"/>
      <c r="F136" s="9">
        <f>IFERROR(LOOKUP(2,1/('Weekly Tracker'!$E$2:$E$766=$A136)/('Weekly Tracker'!$F$2:$F$766&lt;&gt;""),'Weekly Tracker'!$F$2:$F$766),"")</f>
        <v/>
      </c>
      <c r="G136" s="16">
        <f>IF(F136&lt;&gt;"",LOOKUP(2,1/('Weekly Tracker'!$E$2:$E$766=$A136)/('Weekly Tracker'!$F$2:$F$766&lt;&gt;""),'Weekly Tracker'!$G$2:$G$766),"")</f>
        <v/>
      </c>
      <c r="H136" s="9">
        <f>IFERROR(LOOKUP(2,1/('Weekly Tracker'!$E$2:$E$766=$A136)/('Weekly Tracker'!$H$2:$H$766&lt;&gt;""),'Weekly Tracker'!$H$2:$H$766),"")</f>
        <v/>
      </c>
      <c r="I136" s="16">
        <f>IF(H136&lt;&gt;"",LOOKUP(2,1/('Weekly Tracker'!$E$2:$E$766=$A136)/('Weekly Tracker'!$H$2:$H$766&lt;&gt;""),'Weekly Tracker'!$I$2:$I$766),"")</f>
        <v/>
      </c>
      <c r="J136" s="9">
        <f>IFERROR(LOOKUP(2,1/('Weekly Tracker'!$E$2:$E$766=$A136)/('Weekly Tracker'!$J$2:$J$766&lt;&gt;""),'Weekly Tracker'!$J$2:$J$766),"")</f>
        <v/>
      </c>
      <c r="K136" s="9">
        <f>IFERROR(LOOKUP(2,1/('Weekly Tracker'!$E$2:$E$766=$A136)/('Weekly Tracker'!$N$2:$N$766&lt;&gt;""),'Weekly Tracker'!$N$2:$N$766),"")</f>
        <v/>
      </c>
      <c r="L136" s="9">
        <f>IFERROR(LOOKUP(2,1/('Weekly Tracker'!$E$2:$E$766=$A136)/('Weekly Tracker'!$O$2:$O$766&lt;&gt;""),'Weekly Tracker'!$O$2:$O$766),"")</f>
        <v/>
      </c>
    </row>
    <row r="137">
      <c r="A137" s="9" t="inlineStr">
        <is>
          <t>Suganya Prabakaran FB</t>
        </is>
      </c>
      <c r="B137" s="9" t="inlineStr">
        <is>
          <t>918870730954</t>
        </is>
      </c>
      <c r="C137" s="9" t="n"/>
      <c r="D137" s="9" t="n"/>
      <c r="E137" s="9" t="n"/>
      <c r="F137" s="9">
        <f>IFERROR(LOOKUP(2,1/('Weekly Tracker'!$E$2:$E$766=$A137)/('Weekly Tracker'!$F$2:$F$766&lt;&gt;""),'Weekly Tracker'!$F$2:$F$766),"")</f>
        <v/>
      </c>
      <c r="G137" s="16">
        <f>IF(F137&lt;&gt;"",LOOKUP(2,1/('Weekly Tracker'!$E$2:$E$766=$A137)/('Weekly Tracker'!$F$2:$F$766&lt;&gt;""),'Weekly Tracker'!$G$2:$G$766),"")</f>
        <v/>
      </c>
      <c r="H137" s="9">
        <f>IFERROR(LOOKUP(2,1/('Weekly Tracker'!$E$2:$E$766=$A137)/('Weekly Tracker'!$H$2:$H$766&lt;&gt;""),'Weekly Tracker'!$H$2:$H$766),"")</f>
        <v/>
      </c>
      <c r="I137" s="16">
        <f>IF(H137&lt;&gt;"",LOOKUP(2,1/('Weekly Tracker'!$E$2:$E$766=$A137)/('Weekly Tracker'!$H$2:$H$766&lt;&gt;""),'Weekly Tracker'!$I$2:$I$766),"")</f>
        <v/>
      </c>
      <c r="J137" s="9">
        <f>IFERROR(LOOKUP(2,1/('Weekly Tracker'!$E$2:$E$766=$A137)/('Weekly Tracker'!$J$2:$J$766&lt;&gt;""),'Weekly Tracker'!$J$2:$J$766),"")</f>
        <v/>
      </c>
      <c r="K137" s="9">
        <f>IFERROR(LOOKUP(2,1/('Weekly Tracker'!$E$2:$E$766=$A137)/('Weekly Tracker'!$N$2:$N$766&lt;&gt;""),'Weekly Tracker'!$N$2:$N$766),"")</f>
        <v/>
      </c>
      <c r="L137" s="9">
        <f>IFERROR(LOOKUP(2,1/('Weekly Tracker'!$E$2:$E$766=$A137)/('Weekly Tracker'!$O$2:$O$766&lt;&gt;""),'Weekly Tracker'!$O$2:$O$766),"")</f>
        <v/>
      </c>
    </row>
    <row r="138">
      <c r="A138" s="9" t="inlineStr">
        <is>
          <t>Ajin (Nishanth)</t>
        </is>
      </c>
      <c r="B138" s="9" t="inlineStr">
        <is>
          <t>919791370484</t>
        </is>
      </c>
      <c r="C138" s="9" t="n"/>
      <c r="D138" s="9" t="n"/>
      <c r="E138" s="9" t="n"/>
      <c r="F138" s="9">
        <f>IFERROR(LOOKUP(2,1/('Weekly Tracker'!$E$2:$E$766=$A138)/('Weekly Tracker'!$F$2:$F$766&lt;&gt;""),'Weekly Tracker'!$F$2:$F$766),"")</f>
        <v/>
      </c>
      <c r="G138" s="16">
        <f>IF(F138&lt;&gt;"",LOOKUP(2,1/('Weekly Tracker'!$E$2:$E$766=$A138)/('Weekly Tracker'!$F$2:$F$766&lt;&gt;""),'Weekly Tracker'!$G$2:$G$766),"")</f>
        <v/>
      </c>
      <c r="H138" s="9">
        <f>IFERROR(LOOKUP(2,1/('Weekly Tracker'!$E$2:$E$766=$A138)/('Weekly Tracker'!$H$2:$H$766&lt;&gt;""),'Weekly Tracker'!$H$2:$H$766),"")</f>
        <v/>
      </c>
      <c r="I138" s="16">
        <f>IF(H138&lt;&gt;"",LOOKUP(2,1/('Weekly Tracker'!$E$2:$E$766=$A138)/('Weekly Tracker'!$H$2:$H$766&lt;&gt;""),'Weekly Tracker'!$I$2:$I$766),"")</f>
        <v/>
      </c>
      <c r="J138" s="9">
        <f>IFERROR(LOOKUP(2,1/('Weekly Tracker'!$E$2:$E$766=$A138)/('Weekly Tracker'!$J$2:$J$766&lt;&gt;""),'Weekly Tracker'!$J$2:$J$766),"")</f>
        <v/>
      </c>
      <c r="K138" s="9">
        <f>IFERROR(LOOKUP(2,1/('Weekly Tracker'!$E$2:$E$766=$A138)/('Weekly Tracker'!$N$2:$N$766&lt;&gt;""),'Weekly Tracker'!$N$2:$N$766),"")</f>
        <v/>
      </c>
      <c r="L138" s="9">
        <f>IFERROR(LOOKUP(2,1/('Weekly Tracker'!$E$2:$E$766=$A138)/('Weekly Tracker'!$O$2:$O$766&lt;&gt;""),'Weekly Tracker'!$O$2:$O$766),"")</f>
        <v/>
      </c>
    </row>
    <row r="139">
      <c r="A139" s="9" t="inlineStr">
        <is>
          <t>Abijith Uday Infy</t>
        </is>
      </c>
      <c r="B139" s="9" t="inlineStr">
        <is>
          <t>+91 95001 24191</t>
        </is>
      </c>
      <c r="C139" s="9" t="n"/>
      <c r="D139" s="9" t="n"/>
      <c r="E139" s="9" t="inlineStr">
        <is>
          <t>Tamil Nadu, India</t>
        </is>
      </c>
      <c r="F139" s="9">
        <f>IFERROR(LOOKUP(2,1/('Weekly Tracker'!$E$2:$E$766=$A139)/('Weekly Tracker'!$F$2:$F$766&lt;&gt;""),'Weekly Tracker'!$F$2:$F$766),"")</f>
        <v/>
      </c>
      <c r="G139" s="16">
        <f>IF(F139&lt;&gt;"",LOOKUP(2,1/('Weekly Tracker'!$E$2:$E$766=$A139)/('Weekly Tracker'!$F$2:$F$766&lt;&gt;""),'Weekly Tracker'!$G$2:$G$766),"")</f>
        <v/>
      </c>
      <c r="H139" s="9">
        <f>IFERROR(LOOKUP(2,1/('Weekly Tracker'!$E$2:$E$766=$A139)/('Weekly Tracker'!$H$2:$H$766&lt;&gt;""),'Weekly Tracker'!$H$2:$H$766),"")</f>
        <v/>
      </c>
      <c r="I139" s="16">
        <f>IF(H139&lt;&gt;"",LOOKUP(2,1/('Weekly Tracker'!$E$2:$E$766=$A139)/('Weekly Tracker'!$H$2:$H$766&lt;&gt;""),'Weekly Tracker'!$I$2:$I$766),"")</f>
        <v/>
      </c>
      <c r="J139" s="9">
        <f>IFERROR(LOOKUP(2,1/('Weekly Tracker'!$E$2:$E$766=$A139)/('Weekly Tracker'!$J$2:$J$766&lt;&gt;""),'Weekly Tracker'!$J$2:$J$766),"")</f>
        <v/>
      </c>
      <c r="K139" s="9">
        <f>IFERROR(LOOKUP(2,1/('Weekly Tracker'!$E$2:$E$766=$A139)/('Weekly Tracker'!$N$2:$N$766&lt;&gt;""),'Weekly Tracker'!$N$2:$N$766),"")</f>
        <v/>
      </c>
      <c r="L139" s="9">
        <f>IFERROR(LOOKUP(2,1/('Weekly Tracker'!$E$2:$E$766=$A139)/('Weekly Tracker'!$O$2:$O$766&lt;&gt;""),'Weekly Tracker'!$O$2:$O$766),"")</f>
        <v/>
      </c>
    </row>
    <row r="140">
      <c r="A140" s="9" t="inlineStr">
        <is>
          <t>Shibi Chakravarthy FB</t>
        </is>
      </c>
      <c r="B140" s="9" t="inlineStr">
        <is>
          <t>919566612326</t>
        </is>
      </c>
      <c r="C140" s="9" t="n"/>
      <c r="D140" s="9" t="n"/>
      <c r="E140" s="9" t="n"/>
      <c r="F140" s="9">
        <f>IFERROR(LOOKUP(2,1/('Weekly Tracker'!$E$2:$E$766=$A140)/('Weekly Tracker'!$F$2:$F$766&lt;&gt;""),'Weekly Tracker'!$F$2:$F$766),"")</f>
        <v/>
      </c>
      <c r="G140" s="16">
        <f>IF(F140&lt;&gt;"",LOOKUP(2,1/('Weekly Tracker'!$E$2:$E$766=$A140)/('Weekly Tracker'!$F$2:$F$766&lt;&gt;""),'Weekly Tracker'!$G$2:$G$766),"")</f>
        <v/>
      </c>
      <c r="H140" s="9">
        <f>IFERROR(LOOKUP(2,1/('Weekly Tracker'!$E$2:$E$766=$A140)/('Weekly Tracker'!$H$2:$H$766&lt;&gt;""),'Weekly Tracker'!$H$2:$H$766),"")</f>
        <v/>
      </c>
      <c r="I140" s="16">
        <f>IF(H140&lt;&gt;"",LOOKUP(2,1/('Weekly Tracker'!$E$2:$E$766=$A140)/('Weekly Tracker'!$H$2:$H$766&lt;&gt;""),'Weekly Tracker'!$I$2:$I$766),"")</f>
        <v/>
      </c>
      <c r="J140" s="9">
        <f>IFERROR(LOOKUP(2,1/('Weekly Tracker'!$E$2:$E$766=$A140)/('Weekly Tracker'!$J$2:$J$766&lt;&gt;""),'Weekly Tracker'!$J$2:$J$766),"")</f>
        <v/>
      </c>
      <c r="K140" s="9">
        <f>IFERROR(LOOKUP(2,1/('Weekly Tracker'!$E$2:$E$766=$A140)/('Weekly Tracker'!$N$2:$N$766&lt;&gt;""),'Weekly Tracker'!$N$2:$N$766),"")</f>
        <v/>
      </c>
      <c r="L140" s="9">
        <f>IFERROR(LOOKUP(2,1/('Weekly Tracker'!$E$2:$E$766=$A140)/('Weekly Tracker'!$O$2:$O$766&lt;&gt;""),'Weekly Tracker'!$O$2:$O$766),"")</f>
        <v/>
      </c>
    </row>
    <row r="141">
      <c r="A141" s="9" t="inlineStr">
        <is>
          <t>Distress Number</t>
        </is>
      </c>
      <c r="B141" s="9" t="inlineStr">
        <is>
          <t>112</t>
        </is>
      </c>
      <c r="C141" s="9" t="n"/>
      <c r="D141" s="9" t="n"/>
      <c r="E141" s="9" t="n"/>
      <c r="F141" s="9">
        <f>IFERROR(LOOKUP(2,1/('Weekly Tracker'!$E$2:$E$766=$A141)/('Weekly Tracker'!$F$2:$F$766&lt;&gt;""),'Weekly Tracker'!$F$2:$F$766),"")</f>
        <v/>
      </c>
      <c r="G141" s="16">
        <f>IF(F141&lt;&gt;"",LOOKUP(2,1/('Weekly Tracker'!$E$2:$E$766=$A141)/('Weekly Tracker'!$F$2:$F$766&lt;&gt;""),'Weekly Tracker'!$G$2:$G$766),"")</f>
        <v/>
      </c>
      <c r="H141" s="9">
        <f>IFERROR(LOOKUP(2,1/('Weekly Tracker'!$E$2:$E$766=$A141)/('Weekly Tracker'!$H$2:$H$766&lt;&gt;""),'Weekly Tracker'!$H$2:$H$766),"")</f>
        <v/>
      </c>
      <c r="I141" s="16">
        <f>IF(H141&lt;&gt;"",LOOKUP(2,1/('Weekly Tracker'!$E$2:$E$766=$A141)/('Weekly Tracker'!$H$2:$H$766&lt;&gt;""),'Weekly Tracker'!$I$2:$I$766),"")</f>
        <v/>
      </c>
      <c r="J141" s="9">
        <f>IFERROR(LOOKUP(2,1/('Weekly Tracker'!$E$2:$E$766=$A141)/('Weekly Tracker'!$J$2:$J$766&lt;&gt;""),'Weekly Tracker'!$J$2:$J$766),"")</f>
        <v/>
      </c>
      <c r="K141" s="9">
        <f>IFERROR(LOOKUP(2,1/('Weekly Tracker'!$E$2:$E$766=$A141)/('Weekly Tracker'!$N$2:$N$766&lt;&gt;""),'Weekly Tracker'!$N$2:$N$766),"")</f>
        <v/>
      </c>
      <c r="L141" s="9">
        <f>IFERROR(LOOKUP(2,1/('Weekly Tracker'!$E$2:$E$766=$A141)/('Weekly Tracker'!$O$2:$O$766&lt;&gt;""),'Weekly Tracker'!$O$2:$O$766),"")</f>
        <v/>
      </c>
    </row>
    <row r="142">
      <c r="A142" s="9" t="inlineStr">
        <is>
          <t>Padma Akka</t>
        </is>
      </c>
      <c r="B142" s="9" t="inlineStr">
        <is>
          <t>919750383402</t>
        </is>
      </c>
      <c r="C142" s="9" t="n"/>
      <c r="D142" s="9" t="n"/>
      <c r="E142" s="9" t="inlineStr">
        <is>
          <t>Tamil Nadu, India</t>
        </is>
      </c>
      <c r="F142" s="9">
        <f>IFERROR(LOOKUP(2,1/('Weekly Tracker'!$E$2:$E$766=$A142)/('Weekly Tracker'!$F$2:$F$766&lt;&gt;""),'Weekly Tracker'!$F$2:$F$766),"")</f>
        <v/>
      </c>
      <c r="G142" s="16">
        <f>IF(F142&lt;&gt;"",LOOKUP(2,1/('Weekly Tracker'!$E$2:$E$766=$A142)/('Weekly Tracker'!$F$2:$F$766&lt;&gt;""),'Weekly Tracker'!$G$2:$G$766),"")</f>
        <v/>
      </c>
      <c r="H142" s="9">
        <f>IFERROR(LOOKUP(2,1/('Weekly Tracker'!$E$2:$E$766=$A142)/('Weekly Tracker'!$H$2:$H$766&lt;&gt;""),'Weekly Tracker'!$H$2:$H$766),"")</f>
        <v/>
      </c>
      <c r="I142" s="16">
        <f>IF(H142&lt;&gt;"",LOOKUP(2,1/('Weekly Tracker'!$E$2:$E$766=$A142)/('Weekly Tracker'!$H$2:$H$766&lt;&gt;""),'Weekly Tracker'!$I$2:$I$766),"")</f>
        <v/>
      </c>
      <c r="J142" s="9">
        <f>IFERROR(LOOKUP(2,1/('Weekly Tracker'!$E$2:$E$766=$A142)/('Weekly Tracker'!$J$2:$J$766&lt;&gt;""),'Weekly Tracker'!$J$2:$J$766),"")</f>
        <v/>
      </c>
      <c r="K142" s="9">
        <f>IFERROR(LOOKUP(2,1/('Weekly Tracker'!$E$2:$E$766=$A142)/('Weekly Tracker'!$N$2:$N$766&lt;&gt;""),'Weekly Tracker'!$N$2:$N$766),"")</f>
        <v/>
      </c>
      <c r="L142" s="9">
        <f>IFERROR(LOOKUP(2,1/('Weekly Tracker'!$E$2:$E$766=$A142)/('Weekly Tracker'!$O$2:$O$766&lt;&gt;""),'Weekly Tracker'!$O$2:$O$766),"")</f>
        <v/>
      </c>
    </row>
    <row r="143">
      <c r="A143" s="9" t="inlineStr">
        <is>
          <t>Abhinav Krishna HCL</t>
        </is>
      </c>
      <c r="B143" s="9" t="inlineStr">
        <is>
          <t>8920244428</t>
        </is>
      </c>
      <c r="C143" s="9" t="n"/>
      <c r="D143" s="9" t="n"/>
      <c r="E143" s="9" t="n"/>
      <c r="F143" s="9">
        <f>IFERROR(LOOKUP(2,1/('Weekly Tracker'!$E$2:$E$766=$A143)/('Weekly Tracker'!$F$2:$F$766&lt;&gt;""),'Weekly Tracker'!$F$2:$F$766),"")</f>
        <v/>
      </c>
      <c r="G143" s="16">
        <f>IF(F143&lt;&gt;"",LOOKUP(2,1/('Weekly Tracker'!$E$2:$E$766=$A143)/('Weekly Tracker'!$F$2:$F$766&lt;&gt;""),'Weekly Tracker'!$G$2:$G$766),"")</f>
        <v/>
      </c>
      <c r="H143" s="9">
        <f>IFERROR(LOOKUP(2,1/('Weekly Tracker'!$E$2:$E$766=$A143)/('Weekly Tracker'!$H$2:$H$766&lt;&gt;""),'Weekly Tracker'!$H$2:$H$766),"")</f>
        <v/>
      </c>
      <c r="I143" s="16">
        <f>IF(H143&lt;&gt;"",LOOKUP(2,1/('Weekly Tracker'!$E$2:$E$766=$A143)/('Weekly Tracker'!$H$2:$H$766&lt;&gt;""),'Weekly Tracker'!$I$2:$I$766),"")</f>
        <v/>
      </c>
      <c r="J143" s="9">
        <f>IFERROR(LOOKUP(2,1/('Weekly Tracker'!$E$2:$E$766=$A143)/('Weekly Tracker'!$J$2:$J$766&lt;&gt;""),'Weekly Tracker'!$J$2:$J$766),"")</f>
        <v/>
      </c>
      <c r="K143" s="9">
        <f>IFERROR(LOOKUP(2,1/('Weekly Tracker'!$E$2:$E$766=$A143)/('Weekly Tracker'!$N$2:$N$766&lt;&gt;""),'Weekly Tracker'!$N$2:$N$766),"")</f>
        <v/>
      </c>
      <c r="L143" s="9">
        <f>IFERROR(LOOKUP(2,1/('Weekly Tracker'!$E$2:$E$766=$A143)/('Weekly Tracker'!$O$2:$O$766&lt;&gt;""),'Weekly Tracker'!$O$2:$O$766),"")</f>
        <v/>
      </c>
    </row>
    <row r="144">
      <c r="A144" s="9" t="inlineStr">
        <is>
          <t>Tamil Puli Ford</t>
        </is>
      </c>
      <c r="B144" s="9" t="inlineStr">
        <is>
          <t>919003888430</t>
        </is>
      </c>
      <c r="C144" s="9" t="n"/>
      <c r="D144" s="9" t="n"/>
      <c r="E144" s="9" t="n"/>
      <c r="F144" s="9">
        <f>IFERROR(LOOKUP(2,1/('Weekly Tracker'!$E$2:$E$766=$A144)/('Weekly Tracker'!$F$2:$F$766&lt;&gt;""),'Weekly Tracker'!$F$2:$F$766),"")</f>
        <v/>
      </c>
      <c r="G144" s="16">
        <f>IF(F144&lt;&gt;"",LOOKUP(2,1/('Weekly Tracker'!$E$2:$E$766=$A144)/('Weekly Tracker'!$F$2:$F$766&lt;&gt;""),'Weekly Tracker'!$G$2:$G$766),"")</f>
        <v/>
      </c>
      <c r="H144" s="9">
        <f>IFERROR(LOOKUP(2,1/('Weekly Tracker'!$E$2:$E$766=$A144)/('Weekly Tracker'!$H$2:$H$766&lt;&gt;""),'Weekly Tracker'!$H$2:$H$766),"")</f>
        <v/>
      </c>
      <c r="I144" s="16">
        <f>IF(H144&lt;&gt;"",LOOKUP(2,1/('Weekly Tracker'!$E$2:$E$766=$A144)/('Weekly Tracker'!$H$2:$H$766&lt;&gt;""),'Weekly Tracker'!$I$2:$I$766),"")</f>
        <v/>
      </c>
      <c r="J144" s="9">
        <f>IFERROR(LOOKUP(2,1/('Weekly Tracker'!$E$2:$E$766=$A144)/('Weekly Tracker'!$J$2:$J$766&lt;&gt;""),'Weekly Tracker'!$J$2:$J$766),"")</f>
        <v/>
      </c>
      <c r="K144" s="9">
        <f>IFERROR(LOOKUP(2,1/('Weekly Tracker'!$E$2:$E$766=$A144)/('Weekly Tracker'!$N$2:$N$766&lt;&gt;""),'Weekly Tracker'!$N$2:$N$766),"")</f>
        <v/>
      </c>
      <c r="L144" s="9">
        <f>IFERROR(LOOKUP(2,1/('Weekly Tracker'!$E$2:$E$766=$A144)/('Weekly Tracker'!$O$2:$O$766&lt;&gt;""),'Weekly Tracker'!$O$2:$O$766),"")</f>
        <v/>
      </c>
    </row>
    <row r="145">
      <c r="A145" s="9" t="inlineStr">
        <is>
          <t>PuneethAnna</t>
        </is>
      </c>
      <c r="B145" s="9" t="inlineStr">
        <is>
          <t>919677149869</t>
        </is>
      </c>
      <c r="C145" s="9" t="n"/>
      <c r="D145" s="9" t="n"/>
      <c r="E145" s="9" t="n"/>
      <c r="F145" s="9">
        <f>IFERROR(LOOKUP(2,1/('Weekly Tracker'!$E$2:$E$766=$A145)/('Weekly Tracker'!$F$2:$F$766&lt;&gt;""),'Weekly Tracker'!$F$2:$F$766),"")</f>
        <v/>
      </c>
      <c r="G145" s="16">
        <f>IF(F145&lt;&gt;"",LOOKUP(2,1/('Weekly Tracker'!$E$2:$E$766=$A145)/('Weekly Tracker'!$F$2:$F$766&lt;&gt;""),'Weekly Tracker'!$G$2:$G$766),"")</f>
        <v/>
      </c>
      <c r="H145" s="9">
        <f>IFERROR(LOOKUP(2,1/('Weekly Tracker'!$E$2:$E$766=$A145)/('Weekly Tracker'!$H$2:$H$766&lt;&gt;""),'Weekly Tracker'!$H$2:$H$766),"")</f>
        <v/>
      </c>
      <c r="I145" s="16">
        <f>IF(H145&lt;&gt;"",LOOKUP(2,1/('Weekly Tracker'!$E$2:$E$766=$A145)/('Weekly Tracker'!$H$2:$H$766&lt;&gt;""),'Weekly Tracker'!$I$2:$I$766),"")</f>
        <v/>
      </c>
      <c r="J145" s="9">
        <f>IFERROR(LOOKUP(2,1/('Weekly Tracker'!$E$2:$E$766=$A145)/('Weekly Tracker'!$J$2:$J$766&lt;&gt;""),'Weekly Tracker'!$J$2:$J$766),"")</f>
        <v/>
      </c>
      <c r="K145" s="9">
        <f>IFERROR(LOOKUP(2,1/('Weekly Tracker'!$E$2:$E$766=$A145)/('Weekly Tracker'!$N$2:$N$766&lt;&gt;""),'Weekly Tracker'!$N$2:$N$766),"")</f>
        <v/>
      </c>
      <c r="L145" s="9">
        <f>IFERROR(LOOKUP(2,1/('Weekly Tracker'!$E$2:$E$766=$A145)/('Weekly Tracker'!$O$2:$O$766&lt;&gt;""),'Weekly Tracker'!$O$2:$O$766),"")</f>
        <v/>
      </c>
    </row>
    <row r="146">
      <c r="A146" s="9" t="inlineStr">
        <is>
          <t>Manoj Kumar Pandiyan HCL</t>
        </is>
      </c>
      <c r="B146" s="9" t="inlineStr">
        <is>
          <t>919677179790</t>
        </is>
      </c>
      <c r="C146" s="9" t="n"/>
      <c r="D146" s="9" t="n"/>
      <c r="E146" s="9" t="n"/>
      <c r="F146" s="9">
        <f>IFERROR(LOOKUP(2,1/('Weekly Tracker'!$E$2:$E$766=$A146)/('Weekly Tracker'!$F$2:$F$766&lt;&gt;""),'Weekly Tracker'!$F$2:$F$766),"")</f>
        <v/>
      </c>
      <c r="G146" s="16">
        <f>IF(F146&lt;&gt;"",LOOKUP(2,1/('Weekly Tracker'!$E$2:$E$766=$A146)/('Weekly Tracker'!$F$2:$F$766&lt;&gt;""),'Weekly Tracker'!$G$2:$G$766),"")</f>
        <v/>
      </c>
      <c r="H146" s="9">
        <f>IFERROR(LOOKUP(2,1/('Weekly Tracker'!$E$2:$E$766=$A146)/('Weekly Tracker'!$H$2:$H$766&lt;&gt;""),'Weekly Tracker'!$H$2:$H$766),"")</f>
        <v/>
      </c>
      <c r="I146" s="16">
        <f>IF(H146&lt;&gt;"",LOOKUP(2,1/('Weekly Tracker'!$E$2:$E$766=$A146)/('Weekly Tracker'!$H$2:$H$766&lt;&gt;""),'Weekly Tracker'!$I$2:$I$766),"")</f>
        <v/>
      </c>
      <c r="J146" s="9">
        <f>IFERROR(LOOKUP(2,1/('Weekly Tracker'!$E$2:$E$766=$A146)/('Weekly Tracker'!$J$2:$J$766&lt;&gt;""),'Weekly Tracker'!$J$2:$J$766),"")</f>
        <v/>
      </c>
      <c r="K146" s="9">
        <f>IFERROR(LOOKUP(2,1/('Weekly Tracker'!$E$2:$E$766=$A146)/('Weekly Tracker'!$N$2:$N$766&lt;&gt;""),'Weekly Tracker'!$N$2:$N$766),"")</f>
        <v/>
      </c>
      <c r="L146" s="9">
        <f>IFERROR(LOOKUP(2,1/('Weekly Tracker'!$E$2:$E$766=$A146)/('Weekly Tracker'!$O$2:$O$766&lt;&gt;""),'Weekly Tracker'!$O$2:$O$766),"")</f>
        <v/>
      </c>
    </row>
    <row r="147">
      <c r="A147" s="9" t="inlineStr">
        <is>
          <t>Dhivya Tiruvengadam Urja</t>
        </is>
      </c>
      <c r="B147" s="9" t="inlineStr">
        <is>
          <t>8940103390</t>
        </is>
      </c>
      <c r="C147" s="9" t="n"/>
      <c r="D147" s="9" t="n"/>
      <c r="E147" s="9" t="n"/>
      <c r="F147" s="9">
        <f>IFERROR(LOOKUP(2,1/('Weekly Tracker'!$E$2:$E$766=$A147)/('Weekly Tracker'!$F$2:$F$766&lt;&gt;""),'Weekly Tracker'!$F$2:$F$766),"")</f>
        <v/>
      </c>
      <c r="G147" s="16">
        <f>IF(F147&lt;&gt;"",LOOKUP(2,1/('Weekly Tracker'!$E$2:$E$766=$A147)/('Weekly Tracker'!$F$2:$F$766&lt;&gt;""),'Weekly Tracker'!$G$2:$G$766),"")</f>
        <v/>
      </c>
      <c r="H147" s="9">
        <f>IFERROR(LOOKUP(2,1/('Weekly Tracker'!$E$2:$E$766=$A147)/('Weekly Tracker'!$H$2:$H$766&lt;&gt;""),'Weekly Tracker'!$H$2:$H$766),"")</f>
        <v/>
      </c>
      <c r="I147" s="16">
        <f>IF(H147&lt;&gt;"",LOOKUP(2,1/('Weekly Tracker'!$E$2:$E$766=$A147)/('Weekly Tracker'!$H$2:$H$766&lt;&gt;""),'Weekly Tracker'!$I$2:$I$766),"")</f>
        <v/>
      </c>
      <c r="J147" s="9">
        <f>IFERROR(LOOKUP(2,1/('Weekly Tracker'!$E$2:$E$766=$A147)/('Weekly Tracker'!$J$2:$J$766&lt;&gt;""),'Weekly Tracker'!$J$2:$J$766),"")</f>
        <v/>
      </c>
      <c r="K147" s="9">
        <f>IFERROR(LOOKUP(2,1/('Weekly Tracker'!$E$2:$E$766=$A147)/('Weekly Tracker'!$N$2:$N$766&lt;&gt;""),'Weekly Tracker'!$N$2:$N$766),"")</f>
        <v/>
      </c>
      <c r="L147" s="9">
        <f>IFERROR(LOOKUP(2,1/('Weekly Tracker'!$E$2:$E$766=$A147)/('Weekly Tracker'!$O$2:$O$766&lt;&gt;""),'Weekly Tracker'!$O$2:$O$766),"")</f>
        <v/>
      </c>
    </row>
    <row r="148">
      <c r="A148" s="9" t="inlineStr">
        <is>
          <t>Yoganathan Future computer</t>
        </is>
      </c>
      <c r="B148" s="9" t="inlineStr">
        <is>
          <t>919962654947</t>
        </is>
      </c>
      <c r="C148" s="9" t="n"/>
      <c r="D148" s="9" t="n"/>
      <c r="E148" s="9" t="n"/>
      <c r="F148" s="9">
        <f>IFERROR(LOOKUP(2,1/('Weekly Tracker'!$E$2:$E$766=$A148)/('Weekly Tracker'!$F$2:$F$766&lt;&gt;""),'Weekly Tracker'!$F$2:$F$766),"")</f>
        <v/>
      </c>
      <c r="G148" s="16">
        <f>IF(F148&lt;&gt;"",LOOKUP(2,1/('Weekly Tracker'!$E$2:$E$766=$A148)/('Weekly Tracker'!$F$2:$F$766&lt;&gt;""),'Weekly Tracker'!$G$2:$G$766),"")</f>
        <v/>
      </c>
      <c r="H148" s="9">
        <f>IFERROR(LOOKUP(2,1/('Weekly Tracker'!$E$2:$E$766=$A148)/('Weekly Tracker'!$H$2:$H$766&lt;&gt;""),'Weekly Tracker'!$H$2:$H$766),"")</f>
        <v/>
      </c>
      <c r="I148" s="16">
        <f>IF(H148&lt;&gt;"",LOOKUP(2,1/('Weekly Tracker'!$E$2:$E$766=$A148)/('Weekly Tracker'!$H$2:$H$766&lt;&gt;""),'Weekly Tracker'!$I$2:$I$766),"")</f>
        <v/>
      </c>
      <c r="J148" s="9">
        <f>IFERROR(LOOKUP(2,1/('Weekly Tracker'!$E$2:$E$766=$A148)/('Weekly Tracker'!$J$2:$J$766&lt;&gt;""),'Weekly Tracker'!$J$2:$J$766),"")</f>
        <v/>
      </c>
      <c r="K148" s="9">
        <f>IFERROR(LOOKUP(2,1/('Weekly Tracker'!$E$2:$E$766=$A148)/('Weekly Tracker'!$N$2:$N$766&lt;&gt;""),'Weekly Tracker'!$N$2:$N$766),"")</f>
        <v/>
      </c>
      <c r="L148" s="9">
        <f>IFERROR(LOOKUP(2,1/('Weekly Tracker'!$E$2:$E$766=$A148)/('Weekly Tracker'!$O$2:$O$766&lt;&gt;""),'Weekly Tracker'!$O$2:$O$766),"")</f>
        <v/>
      </c>
    </row>
    <row r="149">
      <c r="A149" s="9" t="inlineStr">
        <is>
          <t>Rahul Sivaguru Frd</t>
        </is>
      </c>
      <c r="B149" s="9" t="inlineStr">
        <is>
          <t>919962168618</t>
        </is>
      </c>
      <c r="C149" s="9" t="n"/>
      <c r="D149" s="9" t="n"/>
      <c r="E149" s="9" t="n"/>
      <c r="F149" s="9">
        <f>IFERROR(LOOKUP(2,1/('Weekly Tracker'!$E$2:$E$766=$A149)/('Weekly Tracker'!$F$2:$F$766&lt;&gt;""),'Weekly Tracker'!$F$2:$F$766),"")</f>
        <v/>
      </c>
      <c r="G149" s="16">
        <f>IF(F149&lt;&gt;"",LOOKUP(2,1/('Weekly Tracker'!$E$2:$E$766=$A149)/('Weekly Tracker'!$F$2:$F$766&lt;&gt;""),'Weekly Tracker'!$G$2:$G$766),"")</f>
        <v/>
      </c>
      <c r="H149" s="9">
        <f>IFERROR(LOOKUP(2,1/('Weekly Tracker'!$E$2:$E$766=$A149)/('Weekly Tracker'!$H$2:$H$766&lt;&gt;""),'Weekly Tracker'!$H$2:$H$766),"")</f>
        <v/>
      </c>
      <c r="I149" s="16">
        <f>IF(H149&lt;&gt;"",LOOKUP(2,1/('Weekly Tracker'!$E$2:$E$766=$A149)/('Weekly Tracker'!$H$2:$H$766&lt;&gt;""),'Weekly Tracker'!$I$2:$I$766),"")</f>
        <v/>
      </c>
      <c r="J149" s="9">
        <f>IFERROR(LOOKUP(2,1/('Weekly Tracker'!$E$2:$E$766=$A149)/('Weekly Tracker'!$J$2:$J$766&lt;&gt;""),'Weekly Tracker'!$J$2:$J$766),"")</f>
        <v/>
      </c>
      <c r="K149" s="9">
        <f>IFERROR(LOOKUP(2,1/('Weekly Tracker'!$E$2:$E$766=$A149)/('Weekly Tracker'!$N$2:$N$766&lt;&gt;""),'Weekly Tracker'!$N$2:$N$766),"")</f>
        <v/>
      </c>
      <c r="L149" s="9">
        <f>IFERROR(LOOKUP(2,1/('Weekly Tracker'!$E$2:$E$766=$A149)/('Weekly Tracker'!$O$2:$O$766&lt;&gt;""),'Weekly Tracker'!$O$2:$O$766),"")</f>
        <v/>
      </c>
    </row>
    <row r="150">
      <c r="A150" s="9" t="inlineStr">
        <is>
          <t>Venkatesh P Scl</t>
        </is>
      </c>
      <c r="B150" s="9" t="inlineStr">
        <is>
          <t>917502740608</t>
        </is>
      </c>
      <c r="C150" s="9" t="n"/>
      <c r="D150" s="9" t="n"/>
      <c r="E150" s="9" t="n"/>
      <c r="F150" s="9">
        <f>IFERROR(LOOKUP(2,1/('Weekly Tracker'!$E$2:$E$766=$A150)/('Weekly Tracker'!$F$2:$F$766&lt;&gt;""),'Weekly Tracker'!$F$2:$F$766),"")</f>
        <v/>
      </c>
      <c r="G150" s="16">
        <f>IF(F150&lt;&gt;"",LOOKUP(2,1/('Weekly Tracker'!$E$2:$E$766=$A150)/('Weekly Tracker'!$F$2:$F$766&lt;&gt;""),'Weekly Tracker'!$G$2:$G$766),"")</f>
        <v/>
      </c>
      <c r="H150" s="9">
        <f>IFERROR(LOOKUP(2,1/('Weekly Tracker'!$E$2:$E$766=$A150)/('Weekly Tracker'!$H$2:$H$766&lt;&gt;""),'Weekly Tracker'!$H$2:$H$766),"")</f>
        <v/>
      </c>
      <c r="I150" s="16">
        <f>IF(H150&lt;&gt;"",LOOKUP(2,1/('Weekly Tracker'!$E$2:$E$766=$A150)/('Weekly Tracker'!$H$2:$H$766&lt;&gt;""),'Weekly Tracker'!$I$2:$I$766),"")</f>
        <v/>
      </c>
      <c r="J150" s="9">
        <f>IFERROR(LOOKUP(2,1/('Weekly Tracker'!$E$2:$E$766=$A150)/('Weekly Tracker'!$J$2:$J$766&lt;&gt;""),'Weekly Tracker'!$J$2:$J$766),"")</f>
        <v/>
      </c>
      <c r="K150" s="9">
        <f>IFERROR(LOOKUP(2,1/('Weekly Tracker'!$E$2:$E$766=$A150)/('Weekly Tracker'!$N$2:$N$766&lt;&gt;""),'Weekly Tracker'!$N$2:$N$766),"")</f>
        <v/>
      </c>
      <c r="L150" s="9">
        <f>IFERROR(LOOKUP(2,1/('Weekly Tracker'!$E$2:$E$766=$A150)/('Weekly Tracker'!$O$2:$O$766&lt;&gt;""),'Weekly Tracker'!$O$2:$O$766),"")</f>
        <v/>
      </c>
    </row>
    <row r="151">
      <c r="A151" s="9" t="inlineStr">
        <is>
          <t>Supriya Akshya</t>
        </is>
      </c>
      <c r="B151" s="9" t="inlineStr">
        <is>
          <t>918754289523</t>
        </is>
      </c>
      <c r="C151" s="9" t="n"/>
      <c r="D151" s="9" t="n"/>
      <c r="E151" s="9" t="n"/>
      <c r="F151" s="9">
        <f>IFERROR(LOOKUP(2,1/('Weekly Tracker'!$E$2:$E$766=$A151)/('Weekly Tracker'!$F$2:$F$766&lt;&gt;""),'Weekly Tracker'!$F$2:$F$766),"")</f>
        <v/>
      </c>
      <c r="G151" s="16">
        <f>IF(F151&lt;&gt;"",LOOKUP(2,1/('Weekly Tracker'!$E$2:$E$766=$A151)/('Weekly Tracker'!$F$2:$F$766&lt;&gt;""),'Weekly Tracker'!$G$2:$G$766),"")</f>
        <v/>
      </c>
      <c r="H151" s="9">
        <f>IFERROR(LOOKUP(2,1/('Weekly Tracker'!$E$2:$E$766=$A151)/('Weekly Tracker'!$H$2:$H$766&lt;&gt;""),'Weekly Tracker'!$H$2:$H$766),"")</f>
        <v/>
      </c>
      <c r="I151" s="16">
        <f>IF(H151&lt;&gt;"",LOOKUP(2,1/('Weekly Tracker'!$E$2:$E$766=$A151)/('Weekly Tracker'!$H$2:$H$766&lt;&gt;""),'Weekly Tracker'!$I$2:$I$766),"")</f>
        <v/>
      </c>
      <c r="J151" s="9">
        <f>IFERROR(LOOKUP(2,1/('Weekly Tracker'!$E$2:$E$766=$A151)/('Weekly Tracker'!$J$2:$J$766&lt;&gt;""),'Weekly Tracker'!$J$2:$J$766),"")</f>
        <v/>
      </c>
      <c r="K151" s="9">
        <f>IFERROR(LOOKUP(2,1/('Weekly Tracker'!$E$2:$E$766=$A151)/('Weekly Tracker'!$N$2:$N$766&lt;&gt;""),'Weekly Tracker'!$N$2:$N$766),"")</f>
        <v/>
      </c>
      <c r="L151" s="9">
        <f>IFERROR(LOOKUP(2,1/('Weekly Tracker'!$E$2:$E$766=$A151)/('Weekly Tracker'!$O$2:$O$766&lt;&gt;""),'Weekly Tracker'!$O$2:$O$766),"")</f>
        <v/>
      </c>
    </row>
    <row r="152">
      <c r="A152" s="9" t="inlineStr">
        <is>
          <t>Sundar G FB</t>
        </is>
      </c>
      <c r="B152" s="9" t="inlineStr">
        <is>
          <t>9566372105</t>
        </is>
      </c>
      <c r="C152" s="9" t="n"/>
      <c r="D152" s="9" t="n"/>
      <c r="E152" s="9" t="n"/>
      <c r="F152" s="9">
        <f>IFERROR(LOOKUP(2,1/('Weekly Tracker'!$E$2:$E$766=$A152)/('Weekly Tracker'!$F$2:$F$766&lt;&gt;""),'Weekly Tracker'!$F$2:$F$766),"")</f>
        <v/>
      </c>
      <c r="G152" s="16">
        <f>IF(F152&lt;&gt;"",LOOKUP(2,1/('Weekly Tracker'!$E$2:$E$766=$A152)/('Weekly Tracker'!$F$2:$F$766&lt;&gt;""),'Weekly Tracker'!$G$2:$G$766),"")</f>
        <v/>
      </c>
      <c r="H152" s="9">
        <f>IFERROR(LOOKUP(2,1/('Weekly Tracker'!$E$2:$E$766=$A152)/('Weekly Tracker'!$H$2:$H$766&lt;&gt;""),'Weekly Tracker'!$H$2:$H$766),"")</f>
        <v/>
      </c>
      <c r="I152" s="16">
        <f>IF(H152&lt;&gt;"",LOOKUP(2,1/('Weekly Tracker'!$E$2:$E$766=$A152)/('Weekly Tracker'!$H$2:$H$766&lt;&gt;""),'Weekly Tracker'!$I$2:$I$766),"")</f>
        <v/>
      </c>
      <c r="J152" s="9">
        <f>IFERROR(LOOKUP(2,1/('Weekly Tracker'!$E$2:$E$766=$A152)/('Weekly Tracker'!$J$2:$J$766&lt;&gt;""),'Weekly Tracker'!$J$2:$J$766),"")</f>
        <v/>
      </c>
      <c r="K152" s="9">
        <f>IFERROR(LOOKUP(2,1/('Weekly Tracker'!$E$2:$E$766=$A152)/('Weekly Tracker'!$N$2:$N$766&lt;&gt;""),'Weekly Tracker'!$N$2:$N$766),"")</f>
        <v/>
      </c>
      <c r="L152" s="9">
        <f>IFERROR(LOOKUP(2,1/('Weekly Tracker'!$E$2:$E$766=$A152)/('Weekly Tracker'!$O$2:$O$766&lt;&gt;""),'Weekly Tracker'!$O$2:$O$766),"")</f>
        <v/>
      </c>
    </row>
    <row r="153">
      <c r="A153" s="9" t="inlineStr">
        <is>
          <t>Vishal Rapido</t>
        </is>
      </c>
      <c r="B153" s="9" t="inlineStr">
        <is>
          <t>7550274263</t>
        </is>
      </c>
      <c r="C153" s="9" t="n"/>
      <c r="D153" s="9" t="n"/>
      <c r="E153" s="9" t="n"/>
      <c r="F153" s="9">
        <f>IFERROR(LOOKUP(2,1/('Weekly Tracker'!$E$2:$E$766=$A153)/('Weekly Tracker'!$F$2:$F$766&lt;&gt;""),'Weekly Tracker'!$F$2:$F$766),"")</f>
        <v/>
      </c>
      <c r="G153" s="16">
        <f>IF(F153&lt;&gt;"",LOOKUP(2,1/('Weekly Tracker'!$E$2:$E$766=$A153)/('Weekly Tracker'!$F$2:$F$766&lt;&gt;""),'Weekly Tracker'!$G$2:$G$766),"")</f>
        <v/>
      </c>
      <c r="H153" s="9">
        <f>IFERROR(LOOKUP(2,1/('Weekly Tracker'!$E$2:$E$766=$A153)/('Weekly Tracker'!$H$2:$H$766&lt;&gt;""),'Weekly Tracker'!$H$2:$H$766),"")</f>
        <v/>
      </c>
      <c r="I153" s="16">
        <f>IF(H153&lt;&gt;"",LOOKUP(2,1/('Weekly Tracker'!$E$2:$E$766=$A153)/('Weekly Tracker'!$H$2:$H$766&lt;&gt;""),'Weekly Tracker'!$I$2:$I$766),"")</f>
        <v/>
      </c>
      <c r="J153" s="9">
        <f>IFERROR(LOOKUP(2,1/('Weekly Tracker'!$E$2:$E$766=$A153)/('Weekly Tracker'!$J$2:$J$766&lt;&gt;""),'Weekly Tracker'!$J$2:$J$766),"")</f>
        <v/>
      </c>
      <c r="K153" s="9">
        <f>IFERROR(LOOKUP(2,1/('Weekly Tracker'!$E$2:$E$766=$A153)/('Weekly Tracker'!$N$2:$N$766&lt;&gt;""),'Weekly Tracker'!$N$2:$N$766),"")</f>
        <v/>
      </c>
      <c r="L153" s="9">
        <f>IFERROR(LOOKUP(2,1/('Weekly Tracker'!$E$2:$E$766=$A153)/('Weekly Tracker'!$O$2:$O$766&lt;&gt;""),'Weekly Tracker'!$O$2:$O$766),"")</f>
        <v/>
      </c>
    </row>
    <row r="154">
      <c r="A154" s="9" t="inlineStr">
        <is>
          <t>Madhan Paulsamy Urja</t>
        </is>
      </c>
      <c r="B154" s="9" t="inlineStr">
        <is>
          <t>919042409040</t>
        </is>
      </c>
      <c r="C154" s="9" t="n"/>
      <c r="D154" s="9" t="n"/>
      <c r="E154" s="9" t="n"/>
      <c r="F154" s="9">
        <f>IFERROR(LOOKUP(2,1/('Weekly Tracker'!$E$2:$E$766=$A154)/('Weekly Tracker'!$F$2:$F$766&lt;&gt;""),'Weekly Tracker'!$F$2:$F$766),"")</f>
        <v/>
      </c>
      <c r="G154" s="16">
        <f>IF(F154&lt;&gt;"",LOOKUP(2,1/('Weekly Tracker'!$E$2:$E$766=$A154)/('Weekly Tracker'!$F$2:$F$766&lt;&gt;""),'Weekly Tracker'!$G$2:$G$766),"")</f>
        <v/>
      </c>
      <c r="H154" s="9">
        <f>IFERROR(LOOKUP(2,1/('Weekly Tracker'!$E$2:$E$766=$A154)/('Weekly Tracker'!$H$2:$H$766&lt;&gt;""),'Weekly Tracker'!$H$2:$H$766),"")</f>
        <v/>
      </c>
      <c r="I154" s="16">
        <f>IF(H154&lt;&gt;"",LOOKUP(2,1/('Weekly Tracker'!$E$2:$E$766=$A154)/('Weekly Tracker'!$H$2:$H$766&lt;&gt;""),'Weekly Tracker'!$I$2:$I$766),"")</f>
        <v/>
      </c>
      <c r="J154" s="9">
        <f>IFERROR(LOOKUP(2,1/('Weekly Tracker'!$E$2:$E$766=$A154)/('Weekly Tracker'!$J$2:$J$766&lt;&gt;""),'Weekly Tracker'!$J$2:$J$766),"")</f>
        <v/>
      </c>
      <c r="K154" s="9">
        <f>IFERROR(LOOKUP(2,1/('Weekly Tracker'!$E$2:$E$766=$A154)/('Weekly Tracker'!$N$2:$N$766&lt;&gt;""),'Weekly Tracker'!$N$2:$N$766),"")</f>
        <v/>
      </c>
      <c r="L154" s="9">
        <f>IFERROR(LOOKUP(2,1/('Weekly Tracker'!$E$2:$E$766=$A154)/('Weekly Tracker'!$O$2:$O$766&lt;&gt;""),'Weekly Tracker'!$O$2:$O$766),"")</f>
        <v/>
      </c>
    </row>
    <row r="155">
      <c r="A155" s="9" t="inlineStr">
        <is>
          <t>AAAAmma</t>
        </is>
      </c>
      <c r="B155" s="9" t="inlineStr">
        <is>
          <t>+91 93849 01309, 919488301309</t>
        </is>
      </c>
      <c r="C155" s="9" t="n"/>
      <c r="D155" s="9" t="n"/>
      <c r="E155" s="9" t="n"/>
      <c r="F155" s="9">
        <f>IFERROR(LOOKUP(2,1/('Weekly Tracker'!$E$2:$E$766=$A155)/('Weekly Tracker'!$F$2:$F$766&lt;&gt;""),'Weekly Tracker'!$F$2:$F$766),"")</f>
        <v/>
      </c>
      <c r="G155" s="16">
        <f>IF(F155&lt;&gt;"",LOOKUP(2,1/('Weekly Tracker'!$E$2:$E$766=$A155)/('Weekly Tracker'!$F$2:$F$766&lt;&gt;""),'Weekly Tracker'!$G$2:$G$766),"")</f>
        <v/>
      </c>
      <c r="H155" s="9">
        <f>IFERROR(LOOKUP(2,1/('Weekly Tracker'!$E$2:$E$766=$A155)/('Weekly Tracker'!$H$2:$H$766&lt;&gt;""),'Weekly Tracker'!$H$2:$H$766),"")</f>
        <v/>
      </c>
      <c r="I155" s="16">
        <f>IF(H155&lt;&gt;"",LOOKUP(2,1/('Weekly Tracker'!$E$2:$E$766=$A155)/('Weekly Tracker'!$H$2:$H$766&lt;&gt;""),'Weekly Tracker'!$I$2:$I$766),"")</f>
        <v/>
      </c>
      <c r="J155" s="9">
        <f>IFERROR(LOOKUP(2,1/('Weekly Tracker'!$E$2:$E$766=$A155)/('Weekly Tracker'!$J$2:$J$766&lt;&gt;""),'Weekly Tracker'!$J$2:$J$766),"")</f>
        <v/>
      </c>
      <c r="K155" s="9">
        <f>IFERROR(LOOKUP(2,1/('Weekly Tracker'!$E$2:$E$766=$A155)/('Weekly Tracker'!$N$2:$N$766&lt;&gt;""),'Weekly Tracker'!$N$2:$N$766),"")</f>
        <v/>
      </c>
      <c r="L155" s="9">
        <f>IFERROR(LOOKUP(2,1/('Weekly Tracker'!$E$2:$E$766=$A155)/('Weekly Tracker'!$O$2:$O$766&lt;&gt;""),'Weekly Tracker'!$O$2:$O$766),"")</f>
        <v/>
      </c>
    </row>
    <row r="156">
      <c r="A156" s="9" t="inlineStr">
        <is>
          <t>Kanchana</t>
        </is>
      </c>
      <c r="B156" s="9" t="inlineStr">
        <is>
          <t>919087165195</t>
        </is>
      </c>
      <c r="C156" s="9" t="n"/>
      <c r="D156" s="9" t="n"/>
      <c r="E156" s="9" t="inlineStr">
        <is>
          <t>Tamil Nadu, India</t>
        </is>
      </c>
      <c r="F156" s="9">
        <f>IFERROR(LOOKUP(2,1/('Weekly Tracker'!$E$2:$E$766=$A156)/('Weekly Tracker'!$F$2:$F$766&lt;&gt;""),'Weekly Tracker'!$F$2:$F$766),"")</f>
        <v/>
      </c>
      <c r="G156" s="16">
        <f>IF(F156&lt;&gt;"",LOOKUP(2,1/('Weekly Tracker'!$E$2:$E$766=$A156)/('Weekly Tracker'!$F$2:$F$766&lt;&gt;""),'Weekly Tracker'!$G$2:$G$766),"")</f>
        <v/>
      </c>
      <c r="H156" s="9">
        <f>IFERROR(LOOKUP(2,1/('Weekly Tracker'!$E$2:$E$766=$A156)/('Weekly Tracker'!$H$2:$H$766&lt;&gt;""),'Weekly Tracker'!$H$2:$H$766),"")</f>
        <v/>
      </c>
      <c r="I156" s="16">
        <f>IF(H156&lt;&gt;"",LOOKUP(2,1/('Weekly Tracker'!$E$2:$E$766=$A156)/('Weekly Tracker'!$H$2:$H$766&lt;&gt;""),'Weekly Tracker'!$I$2:$I$766),"")</f>
        <v/>
      </c>
      <c r="J156" s="9">
        <f>IFERROR(LOOKUP(2,1/('Weekly Tracker'!$E$2:$E$766=$A156)/('Weekly Tracker'!$J$2:$J$766&lt;&gt;""),'Weekly Tracker'!$J$2:$J$766),"")</f>
        <v/>
      </c>
      <c r="K156" s="9">
        <f>IFERROR(LOOKUP(2,1/('Weekly Tracker'!$E$2:$E$766=$A156)/('Weekly Tracker'!$N$2:$N$766&lt;&gt;""),'Weekly Tracker'!$N$2:$N$766),"")</f>
        <v/>
      </c>
      <c r="L156" s="9">
        <f>IFERROR(LOOKUP(2,1/('Weekly Tracker'!$E$2:$E$766=$A156)/('Weekly Tracker'!$O$2:$O$766&lt;&gt;""),'Weekly Tracker'!$O$2:$O$766),"")</f>
        <v/>
      </c>
    </row>
    <row r="157">
      <c r="A157" s="9" t="inlineStr">
        <is>
          <t>Shankar M FB</t>
        </is>
      </c>
      <c r="B157" s="9" t="inlineStr">
        <is>
          <t>9940886744</t>
        </is>
      </c>
      <c r="C157" s="9" t="n"/>
      <c r="D157" s="9" t="n"/>
      <c r="E157" s="9" t="n"/>
      <c r="F157" s="9">
        <f>IFERROR(LOOKUP(2,1/('Weekly Tracker'!$E$2:$E$766=$A157)/('Weekly Tracker'!$F$2:$F$766&lt;&gt;""),'Weekly Tracker'!$F$2:$F$766),"")</f>
        <v/>
      </c>
      <c r="G157" s="16">
        <f>IF(F157&lt;&gt;"",LOOKUP(2,1/('Weekly Tracker'!$E$2:$E$766=$A157)/('Weekly Tracker'!$F$2:$F$766&lt;&gt;""),'Weekly Tracker'!$G$2:$G$766),"")</f>
        <v/>
      </c>
      <c r="H157" s="9">
        <f>IFERROR(LOOKUP(2,1/('Weekly Tracker'!$E$2:$E$766=$A157)/('Weekly Tracker'!$H$2:$H$766&lt;&gt;""),'Weekly Tracker'!$H$2:$H$766),"")</f>
        <v/>
      </c>
      <c r="I157" s="16">
        <f>IF(H157&lt;&gt;"",LOOKUP(2,1/('Weekly Tracker'!$E$2:$E$766=$A157)/('Weekly Tracker'!$H$2:$H$766&lt;&gt;""),'Weekly Tracker'!$I$2:$I$766),"")</f>
        <v/>
      </c>
      <c r="J157" s="9">
        <f>IFERROR(LOOKUP(2,1/('Weekly Tracker'!$E$2:$E$766=$A157)/('Weekly Tracker'!$J$2:$J$766&lt;&gt;""),'Weekly Tracker'!$J$2:$J$766),"")</f>
        <v/>
      </c>
      <c r="K157" s="9">
        <f>IFERROR(LOOKUP(2,1/('Weekly Tracker'!$E$2:$E$766=$A157)/('Weekly Tracker'!$N$2:$N$766&lt;&gt;""),'Weekly Tracker'!$N$2:$N$766),"")</f>
        <v/>
      </c>
      <c r="L157" s="9">
        <f>IFERROR(LOOKUP(2,1/('Weekly Tracker'!$E$2:$E$766=$A157)/('Weekly Tracker'!$O$2:$O$766&lt;&gt;""),'Weekly Tracker'!$O$2:$O$766),"")</f>
        <v/>
      </c>
    </row>
    <row r="158">
      <c r="A158" s="9" t="inlineStr">
        <is>
          <t>Nishanthi Tshirt</t>
        </is>
      </c>
      <c r="B158" s="9" t="inlineStr">
        <is>
          <t>918124637999</t>
        </is>
      </c>
      <c r="C158" s="9" t="n"/>
      <c r="D158" s="9" t="n"/>
      <c r="E158" s="9" t="n"/>
      <c r="F158" s="9">
        <f>IFERROR(LOOKUP(2,1/('Weekly Tracker'!$E$2:$E$766=$A158)/('Weekly Tracker'!$F$2:$F$766&lt;&gt;""),'Weekly Tracker'!$F$2:$F$766),"")</f>
        <v/>
      </c>
      <c r="G158" s="16">
        <f>IF(F158&lt;&gt;"",LOOKUP(2,1/('Weekly Tracker'!$E$2:$E$766=$A158)/('Weekly Tracker'!$F$2:$F$766&lt;&gt;""),'Weekly Tracker'!$G$2:$G$766),"")</f>
        <v/>
      </c>
      <c r="H158" s="9">
        <f>IFERROR(LOOKUP(2,1/('Weekly Tracker'!$E$2:$E$766=$A158)/('Weekly Tracker'!$H$2:$H$766&lt;&gt;""),'Weekly Tracker'!$H$2:$H$766),"")</f>
        <v/>
      </c>
      <c r="I158" s="16">
        <f>IF(H158&lt;&gt;"",LOOKUP(2,1/('Weekly Tracker'!$E$2:$E$766=$A158)/('Weekly Tracker'!$H$2:$H$766&lt;&gt;""),'Weekly Tracker'!$I$2:$I$766),"")</f>
        <v/>
      </c>
      <c r="J158" s="9">
        <f>IFERROR(LOOKUP(2,1/('Weekly Tracker'!$E$2:$E$766=$A158)/('Weekly Tracker'!$J$2:$J$766&lt;&gt;""),'Weekly Tracker'!$J$2:$J$766),"")</f>
        <v/>
      </c>
      <c r="K158" s="9">
        <f>IFERROR(LOOKUP(2,1/('Weekly Tracker'!$E$2:$E$766=$A158)/('Weekly Tracker'!$N$2:$N$766&lt;&gt;""),'Weekly Tracker'!$N$2:$N$766),"")</f>
        <v/>
      </c>
      <c r="L158" s="9">
        <f>IFERROR(LOOKUP(2,1/('Weekly Tracker'!$E$2:$E$766=$A158)/('Weekly Tracker'!$O$2:$O$766&lt;&gt;""),'Weekly Tracker'!$O$2:$O$766),"")</f>
        <v/>
      </c>
    </row>
    <row r="159">
      <c r="A159" s="9" t="inlineStr">
        <is>
          <t>Mrineeth Verz</t>
        </is>
      </c>
      <c r="B159" s="9" t="inlineStr">
        <is>
          <t>919704907087</t>
        </is>
      </c>
      <c r="C159" s="9" t="n"/>
      <c r="D159" s="9" t="n"/>
      <c r="E159" s="9" t="n"/>
      <c r="F159" s="9">
        <f>IFERROR(LOOKUP(2,1/('Weekly Tracker'!$E$2:$E$766=$A159)/('Weekly Tracker'!$F$2:$F$766&lt;&gt;""),'Weekly Tracker'!$F$2:$F$766),"")</f>
        <v/>
      </c>
      <c r="G159" s="16">
        <f>IF(F159&lt;&gt;"",LOOKUP(2,1/('Weekly Tracker'!$E$2:$E$766=$A159)/('Weekly Tracker'!$F$2:$F$766&lt;&gt;""),'Weekly Tracker'!$G$2:$G$766),"")</f>
        <v/>
      </c>
      <c r="H159" s="9">
        <f>IFERROR(LOOKUP(2,1/('Weekly Tracker'!$E$2:$E$766=$A159)/('Weekly Tracker'!$H$2:$H$766&lt;&gt;""),'Weekly Tracker'!$H$2:$H$766),"")</f>
        <v/>
      </c>
      <c r="I159" s="16">
        <f>IF(H159&lt;&gt;"",LOOKUP(2,1/('Weekly Tracker'!$E$2:$E$766=$A159)/('Weekly Tracker'!$H$2:$H$766&lt;&gt;""),'Weekly Tracker'!$I$2:$I$766),"")</f>
        <v/>
      </c>
      <c r="J159" s="9">
        <f>IFERROR(LOOKUP(2,1/('Weekly Tracker'!$E$2:$E$766=$A159)/('Weekly Tracker'!$J$2:$J$766&lt;&gt;""),'Weekly Tracker'!$J$2:$J$766),"")</f>
        <v/>
      </c>
      <c r="K159" s="9">
        <f>IFERROR(LOOKUP(2,1/('Weekly Tracker'!$E$2:$E$766=$A159)/('Weekly Tracker'!$N$2:$N$766&lt;&gt;""),'Weekly Tracker'!$N$2:$N$766),"")</f>
        <v/>
      </c>
      <c r="L159" s="9">
        <f>IFERROR(LOOKUP(2,1/('Weekly Tracker'!$E$2:$E$766=$A159)/('Weekly Tracker'!$O$2:$O$766&lt;&gt;""),'Weekly Tracker'!$O$2:$O$766),"")</f>
        <v/>
      </c>
    </row>
    <row r="160">
      <c r="A160" s="9" t="inlineStr">
        <is>
          <t>Udhaya Grp Ucen</t>
        </is>
      </c>
      <c r="B160" s="9" t="inlineStr">
        <is>
          <t>919789537223</t>
        </is>
      </c>
      <c r="C160" s="9" t="n"/>
      <c r="D160" s="9" t="n"/>
      <c r="E160" s="9" t="n"/>
      <c r="F160" s="9">
        <f>IFERROR(LOOKUP(2,1/('Weekly Tracker'!$E$2:$E$766=$A160)/('Weekly Tracker'!$F$2:$F$766&lt;&gt;""),'Weekly Tracker'!$F$2:$F$766),"")</f>
        <v/>
      </c>
      <c r="G160" s="16">
        <f>IF(F160&lt;&gt;"",LOOKUP(2,1/('Weekly Tracker'!$E$2:$E$766=$A160)/('Weekly Tracker'!$F$2:$F$766&lt;&gt;""),'Weekly Tracker'!$G$2:$G$766),"")</f>
        <v/>
      </c>
      <c r="H160" s="9">
        <f>IFERROR(LOOKUP(2,1/('Weekly Tracker'!$E$2:$E$766=$A160)/('Weekly Tracker'!$H$2:$H$766&lt;&gt;""),'Weekly Tracker'!$H$2:$H$766),"")</f>
        <v/>
      </c>
      <c r="I160" s="16">
        <f>IF(H160&lt;&gt;"",LOOKUP(2,1/('Weekly Tracker'!$E$2:$E$766=$A160)/('Weekly Tracker'!$H$2:$H$766&lt;&gt;""),'Weekly Tracker'!$I$2:$I$766),"")</f>
        <v/>
      </c>
      <c r="J160" s="9">
        <f>IFERROR(LOOKUP(2,1/('Weekly Tracker'!$E$2:$E$766=$A160)/('Weekly Tracker'!$J$2:$J$766&lt;&gt;""),'Weekly Tracker'!$J$2:$J$766),"")</f>
        <v/>
      </c>
      <c r="K160" s="9">
        <f>IFERROR(LOOKUP(2,1/('Weekly Tracker'!$E$2:$E$766=$A160)/('Weekly Tracker'!$N$2:$N$766&lt;&gt;""),'Weekly Tracker'!$N$2:$N$766),"")</f>
        <v/>
      </c>
      <c r="L160" s="9">
        <f>IFERROR(LOOKUP(2,1/('Weekly Tracker'!$E$2:$E$766=$A160)/('Weekly Tracker'!$O$2:$O$766&lt;&gt;""),'Weekly Tracker'!$O$2:$O$766),"")</f>
        <v/>
      </c>
    </row>
    <row r="161">
      <c r="A161" s="9" t="inlineStr">
        <is>
          <t>Sumathi Neelakandan Mech</t>
        </is>
      </c>
      <c r="B161" s="9" t="inlineStr">
        <is>
          <t>7598838899</t>
        </is>
      </c>
      <c r="C161" s="9" t="n"/>
      <c r="D161" s="9" t="n"/>
      <c r="E161" s="9" t="n"/>
      <c r="F161" s="9">
        <f>IFERROR(LOOKUP(2,1/('Weekly Tracker'!$E$2:$E$766=$A161)/('Weekly Tracker'!$F$2:$F$766&lt;&gt;""),'Weekly Tracker'!$F$2:$F$766),"")</f>
        <v/>
      </c>
      <c r="G161" s="16">
        <f>IF(F161&lt;&gt;"",LOOKUP(2,1/('Weekly Tracker'!$E$2:$E$766=$A161)/('Weekly Tracker'!$F$2:$F$766&lt;&gt;""),'Weekly Tracker'!$G$2:$G$766),"")</f>
        <v/>
      </c>
      <c r="H161" s="9">
        <f>IFERROR(LOOKUP(2,1/('Weekly Tracker'!$E$2:$E$766=$A161)/('Weekly Tracker'!$H$2:$H$766&lt;&gt;""),'Weekly Tracker'!$H$2:$H$766),"")</f>
        <v/>
      </c>
      <c r="I161" s="16">
        <f>IF(H161&lt;&gt;"",LOOKUP(2,1/('Weekly Tracker'!$E$2:$E$766=$A161)/('Weekly Tracker'!$H$2:$H$766&lt;&gt;""),'Weekly Tracker'!$I$2:$I$766),"")</f>
        <v/>
      </c>
      <c r="J161" s="9">
        <f>IFERROR(LOOKUP(2,1/('Weekly Tracker'!$E$2:$E$766=$A161)/('Weekly Tracker'!$J$2:$J$766&lt;&gt;""),'Weekly Tracker'!$J$2:$J$766),"")</f>
        <v/>
      </c>
      <c r="K161" s="9">
        <f>IFERROR(LOOKUP(2,1/('Weekly Tracker'!$E$2:$E$766=$A161)/('Weekly Tracker'!$N$2:$N$766&lt;&gt;""),'Weekly Tracker'!$N$2:$N$766),"")</f>
        <v/>
      </c>
      <c r="L161" s="9">
        <f>IFERROR(LOOKUP(2,1/('Weekly Tracker'!$E$2:$E$766=$A161)/('Weekly Tracker'!$O$2:$O$766&lt;&gt;""),'Weekly Tracker'!$O$2:$O$766),"")</f>
        <v/>
      </c>
    </row>
    <row r="162">
      <c r="A162" s="9" t="inlineStr">
        <is>
          <t>Chitra DB Urja</t>
        </is>
      </c>
      <c r="B162" s="9" t="inlineStr">
        <is>
          <t>918056057279</t>
        </is>
      </c>
      <c r="C162" s="9" t="n"/>
      <c r="D162" s="9" t="n"/>
      <c r="E162" s="9" t="n"/>
      <c r="F162" s="9">
        <f>IFERROR(LOOKUP(2,1/('Weekly Tracker'!$E$2:$E$766=$A162)/('Weekly Tracker'!$F$2:$F$766&lt;&gt;""),'Weekly Tracker'!$F$2:$F$766),"")</f>
        <v/>
      </c>
      <c r="G162" s="16">
        <f>IF(F162&lt;&gt;"",LOOKUP(2,1/('Weekly Tracker'!$E$2:$E$766=$A162)/('Weekly Tracker'!$F$2:$F$766&lt;&gt;""),'Weekly Tracker'!$G$2:$G$766),"")</f>
        <v/>
      </c>
      <c r="H162" s="9">
        <f>IFERROR(LOOKUP(2,1/('Weekly Tracker'!$E$2:$E$766=$A162)/('Weekly Tracker'!$H$2:$H$766&lt;&gt;""),'Weekly Tracker'!$H$2:$H$766),"")</f>
        <v/>
      </c>
      <c r="I162" s="16">
        <f>IF(H162&lt;&gt;"",LOOKUP(2,1/('Weekly Tracker'!$E$2:$E$766=$A162)/('Weekly Tracker'!$H$2:$H$766&lt;&gt;""),'Weekly Tracker'!$I$2:$I$766),"")</f>
        <v/>
      </c>
      <c r="J162" s="9">
        <f>IFERROR(LOOKUP(2,1/('Weekly Tracker'!$E$2:$E$766=$A162)/('Weekly Tracker'!$J$2:$J$766&lt;&gt;""),'Weekly Tracker'!$J$2:$J$766),"")</f>
        <v/>
      </c>
      <c r="K162" s="9">
        <f>IFERROR(LOOKUP(2,1/('Weekly Tracker'!$E$2:$E$766=$A162)/('Weekly Tracker'!$N$2:$N$766&lt;&gt;""),'Weekly Tracker'!$N$2:$N$766),"")</f>
        <v/>
      </c>
      <c r="L162" s="9">
        <f>IFERROR(LOOKUP(2,1/('Weekly Tracker'!$E$2:$E$766=$A162)/('Weekly Tracker'!$O$2:$O$766&lt;&gt;""),'Weekly Tracker'!$O$2:$O$766),"")</f>
        <v/>
      </c>
    </row>
    <row r="163">
      <c r="A163" s="9" t="inlineStr">
        <is>
          <t>Satheesh Urja</t>
        </is>
      </c>
      <c r="B163" s="9" t="inlineStr">
        <is>
          <t>+91 97896 83959</t>
        </is>
      </c>
      <c r="C163" s="9" t="n"/>
      <c r="D163" s="9" t="n"/>
      <c r="E163" s="9" t="n"/>
      <c r="F163" s="9">
        <f>IFERROR(LOOKUP(2,1/('Weekly Tracker'!$E$2:$E$766=$A163)/('Weekly Tracker'!$F$2:$F$766&lt;&gt;""),'Weekly Tracker'!$F$2:$F$766),"")</f>
        <v/>
      </c>
      <c r="G163" s="16">
        <f>IF(F163&lt;&gt;"",LOOKUP(2,1/('Weekly Tracker'!$E$2:$E$766=$A163)/('Weekly Tracker'!$F$2:$F$766&lt;&gt;""),'Weekly Tracker'!$G$2:$G$766),"")</f>
        <v/>
      </c>
      <c r="H163" s="9">
        <f>IFERROR(LOOKUP(2,1/('Weekly Tracker'!$E$2:$E$766=$A163)/('Weekly Tracker'!$H$2:$H$766&lt;&gt;""),'Weekly Tracker'!$H$2:$H$766),"")</f>
        <v/>
      </c>
      <c r="I163" s="16">
        <f>IF(H163&lt;&gt;"",LOOKUP(2,1/('Weekly Tracker'!$E$2:$E$766=$A163)/('Weekly Tracker'!$H$2:$H$766&lt;&gt;""),'Weekly Tracker'!$I$2:$I$766),"")</f>
        <v/>
      </c>
      <c r="J163" s="9">
        <f>IFERROR(LOOKUP(2,1/('Weekly Tracker'!$E$2:$E$766=$A163)/('Weekly Tracker'!$J$2:$J$766&lt;&gt;""),'Weekly Tracker'!$J$2:$J$766),"")</f>
        <v/>
      </c>
      <c r="K163" s="9">
        <f>IFERROR(LOOKUP(2,1/('Weekly Tracker'!$E$2:$E$766=$A163)/('Weekly Tracker'!$N$2:$N$766&lt;&gt;""),'Weekly Tracker'!$N$2:$N$766),"")</f>
        <v/>
      </c>
      <c r="L163" s="9">
        <f>IFERROR(LOOKUP(2,1/('Weekly Tracker'!$E$2:$E$766=$A163)/('Weekly Tracker'!$O$2:$O$766&lt;&gt;""),'Weekly Tracker'!$O$2:$O$766),"")</f>
        <v/>
      </c>
    </row>
    <row r="164">
      <c r="A164" s="9" t="inlineStr">
        <is>
          <t>Bhava Urja</t>
        </is>
      </c>
      <c r="B164" s="9" t="inlineStr">
        <is>
          <t>919789789243</t>
        </is>
      </c>
      <c r="C164" s="9" t="n"/>
      <c r="D164" s="9" t="n"/>
      <c r="E164" s="9" t="n"/>
      <c r="F164" s="9">
        <f>IFERROR(LOOKUP(2,1/('Weekly Tracker'!$E$2:$E$766=$A164)/('Weekly Tracker'!$F$2:$F$766&lt;&gt;""),'Weekly Tracker'!$F$2:$F$766),"")</f>
        <v/>
      </c>
      <c r="G164" s="16">
        <f>IF(F164&lt;&gt;"",LOOKUP(2,1/('Weekly Tracker'!$E$2:$E$766=$A164)/('Weekly Tracker'!$F$2:$F$766&lt;&gt;""),'Weekly Tracker'!$G$2:$G$766),"")</f>
        <v/>
      </c>
      <c r="H164" s="9">
        <f>IFERROR(LOOKUP(2,1/('Weekly Tracker'!$E$2:$E$766=$A164)/('Weekly Tracker'!$H$2:$H$766&lt;&gt;""),'Weekly Tracker'!$H$2:$H$766),"")</f>
        <v/>
      </c>
      <c r="I164" s="16">
        <f>IF(H164&lt;&gt;"",LOOKUP(2,1/('Weekly Tracker'!$E$2:$E$766=$A164)/('Weekly Tracker'!$H$2:$H$766&lt;&gt;""),'Weekly Tracker'!$I$2:$I$766),"")</f>
        <v/>
      </c>
      <c r="J164" s="9">
        <f>IFERROR(LOOKUP(2,1/('Weekly Tracker'!$E$2:$E$766=$A164)/('Weekly Tracker'!$J$2:$J$766&lt;&gt;""),'Weekly Tracker'!$J$2:$J$766),"")</f>
        <v/>
      </c>
      <c r="K164" s="9">
        <f>IFERROR(LOOKUP(2,1/('Weekly Tracker'!$E$2:$E$766=$A164)/('Weekly Tracker'!$N$2:$N$766&lt;&gt;""),'Weekly Tracker'!$N$2:$N$766),"")</f>
        <v/>
      </c>
      <c r="L164" s="9">
        <f>IFERROR(LOOKUP(2,1/('Weekly Tracker'!$E$2:$E$766=$A164)/('Weekly Tracker'!$O$2:$O$766&lt;&gt;""),'Weekly Tracker'!$O$2:$O$766),"")</f>
        <v/>
      </c>
    </row>
    <row r="165">
      <c r="A165" s="9" t="inlineStr">
        <is>
          <t>Dhinesh Vicky FB</t>
        </is>
      </c>
      <c r="B165" s="9" t="inlineStr">
        <is>
          <t>919942245801</t>
        </is>
      </c>
      <c r="C165" s="9" t="n"/>
      <c r="D165" s="9" t="n"/>
      <c r="E165" s="9" t="n"/>
      <c r="F165" s="9">
        <f>IFERROR(LOOKUP(2,1/('Weekly Tracker'!$E$2:$E$766=$A165)/('Weekly Tracker'!$F$2:$F$766&lt;&gt;""),'Weekly Tracker'!$F$2:$F$766),"")</f>
        <v/>
      </c>
      <c r="G165" s="16">
        <f>IF(F165&lt;&gt;"",LOOKUP(2,1/('Weekly Tracker'!$E$2:$E$766=$A165)/('Weekly Tracker'!$F$2:$F$766&lt;&gt;""),'Weekly Tracker'!$G$2:$G$766),"")</f>
        <v/>
      </c>
      <c r="H165" s="9">
        <f>IFERROR(LOOKUP(2,1/('Weekly Tracker'!$E$2:$E$766=$A165)/('Weekly Tracker'!$H$2:$H$766&lt;&gt;""),'Weekly Tracker'!$H$2:$H$766),"")</f>
        <v/>
      </c>
      <c r="I165" s="16">
        <f>IF(H165&lt;&gt;"",LOOKUP(2,1/('Weekly Tracker'!$E$2:$E$766=$A165)/('Weekly Tracker'!$H$2:$H$766&lt;&gt;""),'Weekly Tracker'!$I$2:$I$766),"")</f>
        <v/>
      </c>
      <c r="J165" s="9">
        <f>IFERROR(LOOKUP(2,1/('Weekly Tracker'!$E$2:$E$766=$A165)/('Weekly Tracker'!$J$2:$J$766&lt;&gt;""),'Weekly Tracker'!$J$2:$J$766),"")</f>
        <v/>
      </c>
      <c r="K165" s="9">
        <f>IFERROR(LOOKUP(2,1/('Weekly Tracker'!$E$2:$E$766=$A165)/('Weekly Tracker'!$N$2:$N$766&lt;&gt;""),'Weekly Tracker'!$N$2:$N$766),"")</f>
        <v/>
      </c>
      <c r="L165" s="9">
        <f>IFERROR(LOOKUP(2,1/('Weekly Tracker'!$E$2:$E$766=$A165)/('Weekly Tracker'!$O$2:$O$766&lt;&gt;""),'Weekly Tracker'!$O$2:$O$766),"")</f>
        <v/>
      </c>
    </row>
    <row r="166">
      <c r="A166" s="9" t="inlineStr">
        <is>
          <t>Imran</t>
        </is>
      </c>
      <c r="B166" s="9" t="inlineStr">
        <is>
          <t>917871228301</t>
        </is>
      </c>
      <c r="C166" s="9" t="n"/>
      <c r="D166" s="9" t="n"/>
      <c r="E166" s="9" t="n"/>
      <c r="F166" s="9">
        <f>IFERROR(LOOKUP(2,1/('Weekly Tracker'!$E$2:$E$766=$A166)/('Weekly Tracker'!$F$2:$F$766&lt;&gt;""),'Weekly Tracker'!$F$2:$F$766),"")</f>
        <v/>
      </c>
      <c r="G166" s="16">
        <f>IF(F166&lt;&gt;"",LOOKUP(2,1/('Weekly Tracker'!$E$2:$E$766=$A166)/('Weekly Tracker'!$F$2:$F$766&lt;&gt;""),'Weekly Tracker'!$G$2:$G$766),"")</f>
        <v/>
      </c>
      <c r="H166" s="9">
        <f>IFERROR(LOOKUP(2,1/('Weekly Tracker'!$E$2:$E$766=$A166)/('Weekly Tracker'!$H$2:$H$766&lt;&gt;""),'Weekly Tracker'!$H$2:$H$766),"")</f>
        <v/>
      </c>
      <c r="I166" s="16">
        <f>IF(H166&lt;&gt;"",LOOKUP(2,1/('Weekly Tracker'!$E$2:$E$766=$A166)/('Weekly Tracker'!$H$2:$H$766&lt;&gt;""),'Weekly Tracker'!$I$2:$I$766),"")</f>
        <v/>
      </c>
      <c r="J166" s="9">
        <f>IFERROR(LOOKUP(2,1/('Weekly Tracker'!$E$2:$E$766=$A166)/('Weekly Tracker'!$J$2:$J$766&lt;&gt;""),'Weekly Tracker'!$J$2:$J$766),"")</f>
        <v/>
      </c>
      <c r="K166" s="9">
        <f>IFERROR(LOOKUP(2,1/('Weekly Tracker'!$E$2:$E$766=$A166)/('Weekly Tracker'!$N$2:$N$766&lt;&gt;""),'Weekly Tracker'!$N$2:$N$766),"")</f>
        <v/>
      </c>
      <c r="L166" s="9">
        <f>IFERROR(LOOKUP(2,1/('Weekly Tracker'!$E$2:$E$766=$A166)/('Weekly Tracker'!$O$2:$O$766&lt;&gt;""),'Weekly Tracker'!$O$2:$O$766),"")</f>
        <v/>
      </c>
    </row>
    <row r="167">
      <c r="A167" s="9" t="inlineStr">
        <is>
          <t>Sathiesh kumar ACT</t>
        </is>
      </c>
      <c r="B167" s="9" t="inlineStr">
        <is>
          <t>919566084182</t>
        </is>
      </c>
      <c r="C167" s="9" t="n"/>
      <c r="D167" s="9" t="n"/>
      <c r="E167" s="9" t="n"/>
      <c r="F167" s="9">
        <f>IFERROR(LOOKUP(2,1/('Weekly Tracker'!$E$2:$E$766=$A167)/('Weekly Tracker'!$F$2:$F$766&lt;&gt;""),'Weekly Tracker'!$F$2:$F$766),"")</f>
        <v/>
      </c>
      <c r="G167" s="16">
        <f>IF(F167&lt;&gt;"",LOOKUP(2,1/('Weekly Tracker'!$E$2:$E$766=$A167)/('Weekly Tracker'!$F$2:$F$766&lt;&gt;""),'Weekly Tracker'!$G$2:$G$766),"")</f>
        <v/>
      </c>
      <c r="H167" s="9">
        <f>IFERROR(LOOKUP(2,1/('Weekly Tracker'!$E$2:$E$766=$A167)/('Weekly Tracker'!$H$2:$H$766&lt;&gt;""),'Weekly Tracker'!$H$2:$H$766),"")</f>
        <v/>
      </c>
      <c r="I167" s="16">
        <f>IF(H167&lt;&gt;"",LOOKUP(2,1/('Weekly Tracker'!$E$2:$E$766=$A167)/('Weekly Tracker'!$H$2:$H$766&lt;&gt;""),'Weekly Tracker'!$I$2:$I$766),"")</f>
        <v/>
      </c>
      <c r="J167" s="9">
        <f>IFERROR(LOOKUP(2,1/('Weekly Tracker'!$E$2:$E$766=$A167)/('Weekly Tracker'!$J$2:$J$766&lt;&gt;""),'Weekly Tracker'!$J$2:$J$766),"")</f>
        <v/>
      </c>
      <c r="K167" s="9">
        <f>IFERROR(LOOKUP(2,1/('Weekly Tracker'!$E$2:$E$766=$A167)/('Weekly Tracker'!$N$2:$N$766&lt;&gt;""),'Weekly Tracker'!$N$2:$N$766),"")</f>
        <v/>
      </c>
      <c r="L167" s="9">
        <f>IFERROR(LOOKUP(2,1/('Weekly Tracker'!$E$2:$E$766=$A167)/('Weekly Tracker'!$O$2:$O$766&lt;&gt;""),'Weekly Tracker'!$O$2:$O$766),"")</f>
        <v/>
      </c>
    </row>
    <row r="168">
      <c r="A168" s="9" t="inlineStr">
        <is>
          <t>Idea Hot Offer</t>
        </is>
      </c>
      <c r="B168" s="9" t="inlineStr">
        <is>
          <t>*147*99</t>
        </is>
      </c>
      <c r="C168" s="9" t="n"/>
      <c r="D168" s="9" t="n"/>
      <c r="E168" s="9" t="n"/>
      <c r="F168" s="9">
        <f>IFERROR(LOOKUP(2,1/('Weekly Tracker'!$E$2:$E$766=$A168)/('Weekly Tracker'!$F$2:$F$766&lt;&gt;""),'Weekly Tracker'!$F$2:$F$766),"")</f>
        <v/>
      </c>
      <c r="G168" s="16">
        <f>IF(F168&lt;&gt;"",LOOKUP(2,1/('Weekly Tracker'!$E$2:$E$766=$A168)/('Weekly Tracker'!$F$2:$F$766&lt;&gt;""),'Weekly Tracker'!$G$2:$G$766),"")</f>
        <v/>
      </c>
      <c r="H168" s="9">
        <f>IFERROR(LOOKUP(2,1/('Weekly Tracker'!$E$2:$E$766=$A168)/('Weekly Tracker'!$H$2:$H$766&lt;&gt;""),'Weekly Tracker'!$H$2:$H$766),"")</f>
        <v/>
      </c>
      <c r="I168" s="16">
        <f>IF(H168&lt;&gt;"",LOOKUP(2,1/('Weekly Tracker'!$E$2:$E$766=$A168)/('Weekly Tracker'!$H$2:$H$766&lt;&gt;""),'Weekly Tracker'!$I$2:$I$766),"")</f>
        <v/>
      </c>
      <c r="J168" s="9">
        <f>IFERROR(LOOKUP(2,1/('Weekly Tracker'!$E$2:$E$766=$A168)/('Weekly Tracker'!$J$2:$J$766&lt;&gt;""),'Weekly Tracker'!$J$2:$J$766),"")</f>
        <v/>
      </c>
      <c r="K168" s="9">
        <f>IFERROR(LOOKUP(2,1/('Weekly Tracker'!$E$2:$E$766=$A168)/('Weekly Tracker'!$N$2:$N$766&lt;&gt;""),'Weekly Tracker'!$N$2:$N$766),"")</f>
        <v/>
      </c>
      <c r="L168" s="9">
        <f>IFERROR(LOOKUP(2,1/('Weekly Tracker'!$E$2:$E$766=$A168)/('Weekly Tracker'!$O$2:$O$766&lt;&gt;""),'Weekly Tracker'!$O$2:$O$766),"")</f>
        <v/>
      </c>
    </row>
    <row r="169">
      <c r="A169" s="9" t="inlineStr">
        <is>
          <t>Salai mani. qs</t>
        </is>
      </c>
      <c r="B169" s="9" t="inlineStr">
        <is>
          <t>919659474417</t>
        </is>
      </c>
      <c r="C169" s="9" t="n"/>
      <c r="D169" s="9" t="n"/>
      <c r="E169" s="9" t="n"/>
      <c r="F169" s="9">
        <f>IFERROR(LOOKUP(2,1/('Weekly Tracker'!$E$2:$E$766=$A169)/('Weekly Tracker'!$F$2:$F$766&lt;&gt;""),'Weekly Tracker'!$F$2:$F$766),"")</f>
        <v/>
      </c>
      <c r="G169" s="16">
        <f>IF(F169&lt;&gt;"",LOOKUP(2,1/('Weekly Tracker'!$E$2:$E$766=$A169)/('Weekly Tracker'!$F$2:$F$766&lt;&gt;""),'Weekly Tracker'!$G$2:$G$766),"")</f>
        <v/>
      </c>
      <c r="H169" s="9">
        <f>IFERROR(LOOKUP(2,1/('Weekly Tracker'!$E$2:$E$766=$A169)/('Weekly Tracker'!$H$2:$H$766&lt;&gt;""),'Weekly Tracker'!$H$2:$H$766),"")</f>
        <v/>
      </c>
      <c r="I169" s="16">
        <f>IF(H169&lt;&gt;"",LOOKUP(2,1/('Weekly Tracker'!$E$2:$E$766=$A169)/('Weekly Tracker'!$H$2:$H$766&lt;&gt;""),'Weekly Tracker'!$I$2:$I$766),"")</f>
        <v/>
      </c>
      <c r="J169" s="9">
        <f>IFERROR(LOOKUP(2,1/('Weekly Tracker'!$E$2:$E$766=$A169)/('Weekly Tracker'!$J$2:$J$766&lt;&gt;""),'Weekly Tracker'!$J$2:$J$766),"")</f>
        <v/>
      </c>
      <c r="K169" s="9">
        <f>IFERROR(LOOKUP(2,1/('Weekly Tracker'!$E$2:$E$766=$A169)/('Weekly Tracker'!$N$2:$N$766&lt;&gt;""),'Weekly Tracker'!$N$2:$N$766),"")</f>
        <v/>
      </c>
      <c r="L169" s="9">
        <f>IFERROR(LOOKUP(2,1/('Weekly Tracker'!$E$2:$E$766=$A169)/('Weekly Tracker'!$O$2:$O$766&lt;&gt;""),'Weekly Tracker'!$O$2:$O$766),"")</f>
        <v/>
      </c>
    </row>
    <row r="170">
      <c r="A170" s="9" t="inlineStr">
        <is>
          <t>Jaswanth Grp Ucen</t>
        </is>
      </c>
      <c r="B170" s="9" t="inlineStr">
        <is>
          <t>918220744952</t>
        </is>
      </c>
      <c r="C170" s="9" t="n"/>
      <c r="D170" s="9" t="n"/>
      <c r="E170" s="9" t="n"/>
      <c r="F170" s="9">
        <f>IFERROR(LOOKUP(2,1/('Weekly Tracker'!$E$2:$E$766=$A170)/('Weekly Tracker'!$F$2:$F$766&lt;&gt;""),'Weekly Tracker'!$F$2:$F$766),"")</f>
        <v/>
      </c>
      <c r="G170" s="16">
        <f>IF(F170&lt;&gt;"",LOOKUP(2,1/('Weekly Tracker'!$E$2:$E$766=$A170)/('Weekly Tracker'!$F$2:$F$766&lt;&gt;""),'Weekly Tracker'!$G$2:$G$766),"")</f>
        <v/>
      </c>
      <c r="H170" s="9">
        <f>IFERROR(LOOKUP(2,1/('Weekly Tracker'!$E$2:$E$766=$A170)/('Weekly Tracker'!$H$2:$H$766&lt;&gt;""),'Weekly Tracker'!$H$2:$H$766),"")</f>
        <v/>
      </c>
      <c r="I170" s="16">
        <f>IF(H170&lt;&gt;"",LOOKUP(2,1/('Weekly Tracker'!$E$2:$E$766=$A170)/('Weekly Tracker'!$H$2:$H$766&lt;&gt;""),'Weekly Tracker'!$I$2:$I$766),"")</f>
        <v/>
      </c>
      <c r="J170" s="9">
        <f>IFERROR(LOOKUP(2,1/('Weekly Tracker'!$E$2:$E$766=$A170)/('Weekly Tracker'!$J$2:$J$766&lt;&gt;""),'Weekly Tracker'!$J$2:$J$766),"")</f>
        <v/>
      </c>
      <c r="K170" s="9">
        <f>IFERROR(LOOKUP(2,1/('Weekly Tracker'!$E$2:$E$766=$A170)/('Weekly Tracker'!$N$2:$N$766&lt;&gt;""),'Weekly Tracker'!$N$2:$N$766),"")</f>
        <v/>
      </c>
      <c r="L170" s="9">
        <f>IFERROR(LOOKUP(2,1/('Weekly Tracker'!$E$2:$E$766=$A170)/('Weekly Tracker'!$O$2:$O$766&lt;&gt;""),'Weekly Tracker'!$O$2:$O$766),"")</f>
        <v/>
      </c>
    </row>
    <row r="171">
      <c r="A171" s="9" t="inlineStr">
        <is>
          <t>kannan police</t>
        </is>
      </c>
      <c r="B171" s="9" t="inlineStr">
        <is>
          <t>919489172582</t>
        </is>
      </c>
      <c r="C171" s="9" t="n"/>
      <c r="D171" s="9" t="n"/>
      <c r="E171" s="9" t="n"/>
      <c r="F171" s="9">
        <f>IFERROR(LOOKUP(2,1/('Weekly Tracker'!$E$2:$E$766=$A171)/('Weekly Tracker'!$F$2:$F$766&lt;&gt;""),'Weekly Tracker'!$F$2:$F$766),"")</f>
        <v/>
      </c>
      <c r="G171" s="16">
        <f>IF(F171&lt;&gt;"",LOOKUP(2,1/('Weekly Tracker'!$E$2:$E$766=$A171)/('Weekly Tracker'!$F$2:$F$766&lt;&gt;""),'Weekly Tracker'!$G$2:$G$766),"")</f>
        <v/>
      </c>
      <c r="H171" s="9">
        <f>IFERROR(LOOKUP(2,1/('Weekly Tracker'!$E$2:$E$766=$A171)/('Weekly Tracker'!$H$2:$H$766&lt;&gt;""),'Weekly Tracker'!$H$2:$H$766),"")</f>
        <v/>
      </c>
      <c r="I171" s="16">
        <f>IF(H171&lt;&gt;"",LOOKUP(2,1/('Weekly Tracker'!$E$2:$E$766=$A171)/('Weekly Tracker'!$H$2:$H$766&lt;&gt;""),'Weekly Tracker'!$I$2:$I$766),"")</f>
        <v/>
      </c>
      <c r="J171" s="9">
        <f>IFERROR(LOOKUP(2,1/('Weekly Tracker'!$E$2:$E$766=$A171)/('Weekly Tracker'!$J$2:$J$766&lt;&gt;""),'Weekly Tracker'!$J$2:$J$766),"")</f>
        <v/>
      </c>
      <c r="K171" s="9">
        <f>IFERROR(LOOKUP(2,1/('Weekly Tracker'!$E$2:$E$766=$A171)/('Weekly Tracker'!$N$2:$N$766&lt;&gt;""),'Weekly Tracker'!$N$2:$N$766),"")</f>
        <v/>
      </c>
      <c r="L171" s="9">
        <f>IFERROR(LOOKUP(2,1/('Weekly Tracker'!$E$2:$E$766=$A171)/('Weekly Tracker'!$O$2:$O$766&lt;&gt;""),'Weekly Tracker'!$O$2:$O$766),"")</f>
        <v/>
      </c>
    </row>
    <row r="172">
      <c r="A172" s="9" t="inlineStr">
        <is>
          <t>Sathesh qs. vod</t>
        </is>
      </c>
      <c r="B172" s="9" t="inlineStr">
        <is>
          <t>918940455434</t>
        </is>
      </c>
      <c r="C172" s="9" t="n"/>
      <c r="D172" s="9" t="n"/>
      <c r="E172" s="9" t="n"/>
      <c r="F172" s="9">
        <f>IFERROR(LOOKUP(2,1/('Weekly Tracker'!$E$2:$E$766=$A172)/('Weekly Tracker'!$F$2:$F$766&lt;&gt;""),'Weekly Tracker'!$F$2:$F$766),"")</f>
        <v/>
      </c>
      <c r="G172" s="16">
        <f>IF(F172&lt;&gt;"",LOOKUP(2,1/('Weekly Tracker'!$E$2:$E$766=$A172)/('Weekly Tracker'!$F$2:$F$766&lt;&gt;""),'Weekly Tracker'!$G$2:$G$766),"")</f>
        <v/>
      </c>
      <c r="H172" s="9">
        <f>IFERROR(LOOKUP(2,1/('Weekly Tracker'!$E$2:$E$766=$A172)/('Weekly Tracker'!$H$2:$H$766&lt;&gt;""),'Weekly Tracker'!$H$2:$H$766),"")</f>
        <v/>
      </c>
      <c r="I172" s="16">
        <f>IF(H172&lt;&gt;"",LOOKUP(2,1/('Weekly Tracker'!$E$2:$E$766=$A172)/('Weekly Tracker'!$H$2:$H$766&lt;&gt;""),'Weekly Tracker'!$I$2:$I$766),"")</f>
        <v/>
      </c>
      <c r="J172" s="9">
        <f>IFERROR(LOOKUP(2,1/('Weekly Tracker'!$E$2:$E$766=$A172)/('Weekly Tracker'!$J$2:$J$766&lt;&gt;""),'Weekly Tracker'!$J$2:$J$766),"")</f>
        <v/>
      </c>
      <c r="K172" s="9">
        <f>IFERROR(LOOKUP(2,1/('Weekly Tracker'!$E$2:$E$766=$A172)/('Weekly Tracker'!$N$2:$N$766&lt;&gt;""),'Weekly Tracker'!$N$2:$N$766),"")</f>
        <v/>
      </c>
      <c r="L172" s="9">
        <f>IFERROR(LOOKUP(2,1/('Weekly Tracker'!$E$2:$E$766=$A172)/('Weekly Tracker'!$O$2:$O$766&lt;&gt;""),'Weekly Tracker'!$O$2:$O$766),"")</f>
        <v/>
      </c>
    </row>
    <row r="173">
      <c r="A173" s="9" t="inlineStr">
        <is>
          <t>Deepadharshan Grp Ucen</t>
        </is>
      </c>
      <c r="B173" s="9" t="inlineStr">
        <is>
          <t>918056740456</t>
        </is>
      </c>
      <c r="C173" s="9" t="n"/>
      <c r="D173" s="9" t="n"/>
      <c r="E173" s="9" t="n"/>
      <c r="F173" s="9">
        <f>IFERROR(LOOKUP(2,1/('Weekly Tracker'!$E$2:$E$766=$A173)/('Weekly Tracker'!$F$2:$F$766&lt;&gt;""),'Weekly Tracker'!$F$2:$F$766),"")</f>
        <v/>
      </c>
      <c r="G173" s="16">
        <f>IF(F173&lt;&gt;"",LOOKUP(2,1/('Weekly Tracker'!$E$2:$E$766=$A173)/('Weekly Tracker'!$F$2:$F$766&lt;&gt;""),'Weekly Tracker'!$G$2:$G$766),"")</f>
        <v/>
      </c>
      <c r="H173" s="9">
        <f>IFERROR(LOOKUP(2,1/('Weekly Tracker'!$E$2:$E$766=$A173)/('Weekly Tracker'!$H$2:$H$766&lt;&gt;""),'Weekly Tracker'!$H$2:$H$766),"")</f>
        <v/>
      </c>
      <c r="I173" s="16">
        <f>IF(H173&lt;&gt;"",LOOKUP(2,1/('Weekly Tracker'!$E$2:$E$766=$A173)/('Weekly Tracker'!$H$2:$H$766&lt;&gt;""),'Weekly Tracker'!$I$2:$I$766),"")</f>
        <v/>
      </c>
      <c r="J173" s="9">
        <f>IFERROR(LOOKUP(2,1/('Weekly Tracker'!$E$2:$E$766=$A173)/('Weekly Tracker'!$J$2:$J$766&lt;&gt;""),'Weekly Tracker'!$J$2:$J$766),"")</f>
        <v/>
      </c>
      <c r="K173" s="9">
        <f>IFERROR(LOOKUP(2,1/('Weekly Tracker'!$E$2:$E$766=$A173)/('Weekly Tracker'!$N$2:$N$766&lt;&gt;""),'Weekly Tracker'!$N$2:$N$766),"")</f>
        <v/>
      </c>
      <c r="L173" s="9">
        <f>IFERROR(LOOKUP(2,1/('Weekly Tracker'!$E$2:$E$766=$A173)/('Weekly Tracker'!$O$2:$O$766&lt;&gt;""),'Weekly Tracker'!$O$2:$O$766),"")</f>
        <v/>
      </c>
    </row>
    <row r="174">
      <c r="A174" s="9" t="inlineStr">
        <is>
          <t>Gopal Scl</t>
        </is>
      </c>
      <c r="B174" s="9" t="inlineStr">
        <is>
          <t>917397245577, 916381960181</t>
        </is>
      </c>
      <c r="C174" s="9" t="n"/>
      <c r="D174" s="9" t="n"/>
      <c r="E174" s="9" t="n"/>
      <c r="F174" s="9">
        <f>IFERROR(LOOKUP(2,1/('Weekly Tracker'!$E$2:$E$766=$A174)/('Weekly Tracker'!$F$2:$F$766&lt;&gt;""),'Weekly Tracker'!$F$2:$F$766),"")</f>
        <v/>
      </c>
      <c r="G174" s="16">
        <f>IF(F174&lt;&gt;"",LOOKUP(2,1/('Weekly Tracker'!$E$2:$E$766=$A174)/('Weekly Tracker'!$F$2:$F$766&lt;&gt;""),'Weekly Tracker'!$G$2:$G$766),"")</f>
        <v/>
      </c>
      <c r="H174" s="9">
        <f>IFERROR(LOOKUP(2,1/('Weekly Tracker'!$E$2:$E$766=$A174)/('Weekly Tracker'!$H$2:$H$766&lt;&gt;""),'Weekly Tracker'!$H$2:$H$766),"")</f>
        <v/>
      </c>
      <c r="I174" s="16">
        <f>IF(H174&lt;&gt;"",LOOKUP(2,1/('Weekly Tracker'!$E$2:$E$766=$A174)/('Weekly Tracker'!$H$2:$H$766&lt;&gt;""),'Weekly Tracker'!$I$2:$I$766),"")</f>
        <v/>
      </c>
      <c r="J174" s="9">
        <f>IFERROR(LOOKUP(2,1/('Weekly Tracker'!$E$2:$E$766=$A174)/('Weekly Tracker'!$J$2:$J$766&lt;&gt;""),'Weekly Tracker'!$J$2:$J$766),"")</f>
        <v/>
      </c>
      <c r="K174" s="9">
        <f>IFERROR(LOOKUP(2,1/('Weekly Tracker'!$E$2:$E$766=$A174)/('Weekly Tracker'!$N$2:$N$766&lt;&gt;""),'Weekly Tracker'!$N$2:$N$766),"")</f>
        <v/>
      </c>
      <c r="L174" s="9">
        <f>IFERROR(LOOKUP(2,1/('Weekly Tracker'!$E$2:$E$766=$A174)/('Weekly Tracker'!$O$2:$O$766&lt;&gt;""),'Weekly Tracker'!$O$2:$O$766),"")</f>
        <v/>
      </c>
    </row>
    <row r="175">
      <c r="A175" s="9" t="inlineStr">
        <is>
          <t>Dhinesh Junior</t>
        </is>
      </c>
      <c r="B175" s="9" t="inlineStr">
        <is>
          <t>919080441460</t>
        </is>
      </c>
      <c r="C175" s="9" t="n"/>
      <c r="D175" s="9" t="n"/>
      <c r="E175" s="9" t="n"/>
      <c r="F175" s="9">
        <f>IFERROR(LOOKUP(2,1/('Weekly Tracker'!$E$2:$E$766=$A175)/('Weekly Tracker'!$F$2:$F$766&lt;&gt;""),'Weekly Tracker'!$F$2:$F$766),"")</f>
        <v/>
      </c>
      <c r="G175" s="16">
        <f>IF(F175&lt;&gt;"",LOOKUP(2,1/('Weekly Tracker'!$E$2:$E$766=$A175)/('Weekly Tracker'!$F$2:$F$766&lt;&gt;""),'Weekly Tracker'!$G$2:$G$766),"")</f>
        <v/>
      </c>
      <c r="H175" s="9">
        <f>IFERROR(LOOKUP(2,1/('Weekly Tracker'!$E$2:$E$766=$A175)/('Weekly Tracker'!$H$2:$H$766&lt;&gt;""),'Weekly Tracker'!$H$2:$H$766),"")</f>
        <v/>
      </c>
      <c r="I175" s="16">
        <f>IF(H175&lt;&gt;"",LOOKUP(2,1/('Weekly Tracker'!$E$2:$E$766=$A175)/('Weekly Tracker'!$H$2:$H$766&lt;&gt;""),'Weekly Tracker'!$I$2:$I$766),"")</f>
        <v/>
      </c>
      <c r="J175" s="9">
        <f>IFERROR(LOOKUP(2,1/('Weekly Tracker'!$E$2:$E$766=$A175)/('Weekly Tracker'!$J$2:$J$766&lt;&gt;""),'Weekly Tracker'!$J$2:$J$766),"")</f>
        <v/>
      </c>
      <c r="K175" s="9">
        <f>IFERROR(LOOKUP(2,1/('Weekly Tracker'!$E$2:$E$766=$A175)/('Weekly Tracker'!$N$2:$N$766&lt;&gt;""),'Weekly Tracker'!$N$2:$N$766),"")</f>
        <v/>
      </c>
      <c r="L175" s="9">
        <f>IFERROR(LOOKUP(2,1/('Weekly Tracker'!$E$2:$E$766=$A175)/('Weekly Tracker'!$O$2:$O$766&lt;&gt;""),'Weekly Tracker'!$O$2:$O$766),"")</f>
        <v/>
      </c>
    </row>
    <row r="176">
      <c r="A176" s="9" t="inlineStr">
        <is>
          <t>Akka Landline</t>
        </is>
      </c>
      <c r="B176" s="9" t="inlineStr">
        <is>
          <t>044-264-94113</t>
        </is>
      </c>
      <c r="C176" s="9" t="n"/>
      <c r="D176" s="9" t="n"/>
      <c r="E176" s="9" t="n"/>
      <c r="F176" s="9">
        <f>IFERROR(LOOKUP(2,1/('Weekly Tracker'!$E$2:$E$766=$A176)/('Weekly Tracker'!$F$2:$F$766&lt;&gt;""),'Weekly Tracker'!$F$2:$F$766),"")</f>
        <v/>
      </c>
      <c r="G176" s="16">
        <f>IF(F176&lt;&gt;"",LOOKUP(2,1/('Weekly Tracker'!$E$2:$E$766=$A176)/('Weekly Tracker'!$F$2:$F$766&lt;&gt;""),'Weekly Tracker'!$G$2:$G$766),"")</f>
        <v/>
      </c>
      <c r="H176" s="9">
        <f>IFERROR(LOOKUP(2,1/('Weekly Tracker'!$E$2:$E$766=$A176)/('Weekly Tracker'!$H$2:$H$766&lt;&gt;""),'Weekly Tracker'!$H$2:$H$766),"")</f>
        <v/>
      </c>
      <c r="I176" s="16">
        <f>IF(H176&lt;&gt;"",LOOKUP(2,1/('Weekly Tracker'!$E$2:$E$766=$A176)/('Weekly Tracker'!$H$2:$H$766&lt;&gt;""),'Weekly Tracker'!$I$2:$I$766),"")</f>
        <v/>
      </c>
      <c r="J176" s="9">
        <f>IFERROR(LOOKUP(2,1/('Weekly Tracker'!$E$2:$E$766=$A176)/('Weekly Tracker'!$J$2:$J$766&lt;&gt;""),'Weekly Tracker'!$J$2:$J$766),"")</f>
        <v/>
      </c>
      <c r="K176" s="9">
        <f>IFERROR(LOOKUP(2,1/('Weekly Tracker'!$E$2:$E$766=$A176)/('Weekly Tracker'!$N$2:$N$766&lt;&gt;""),'Weekly Tracker'!$N$2:$N$766),"")</f>
        <v/>
      </c>
      <c r="L176" s="9">
        <f>IFERROR(LOOKUP(2,1/('Weekly Tracker'!$E$2:$E$766=$A176)/('Weekly Tracker'!$O$2:$O$766&lt;&gt;""),'Weekly Tracker'!$O$2:$O$766),"")</f>
        <v/>
      </c>
    </row>
    <row r="177">
      <c r="A177" s="9" t="inlineStr">
        <is>
          <t>Ajeet Raj FB</t>
        </is>
      </c>
      <c r="B177" s="9" t="inlineStr">
        <is>
          <t>9442866742</t>
        </is>
      </c>
      <c r="C177" s="9" t="n"/>
      <c r="D177" s="9" t="n"/>
      <c r="E177" s="9" t="n"/>
      <c r="F177" s="9">
        <f>IFERROR(LOOKUP(2,1/('Weekly Tracker'!$E$2:$E$766=$A177)/('Weekly Tracker'!$F$2:$F$766&lt;&gt;""),'Weekly Tracker'!$F$2:$F$766),"")</f>
        <v/>
      </c>
      <c r="G177" s="16">
        <f>IF(F177&lt;&gt;"",LOOKUP(2,1/('Weekly Tracker'!$E$2:$E$766=$A177)/('Weekly Tracker'!$F$2:$F$766&lt;&gt;""),'Weekly Tracker'!$G$2:$G$766),"")</f>
        <v/>
      </c>
      <c r="H177" s="9">
        <f>IFERROR(LOOKUP(2,1/('Weekly Tracker'!$E$2:$E$766=$A177)/('Weekly Tracker'!$H$2:$H$766&lt;&gt;""),'Weekly Tracker'!$H$2:$H$766),"")</f>
        <v/>
      </c>
      <c r="I177" s="16">
        <f>IF(H177&lt;&gt;"",LOOKUP(2,1/('Weekly Tracker'!$E$2:$E$766=$A177)/('Weekly Tracker'!$H$2:$H$766&lt;&gt;""),'Weekly Tracker'!$I$2:$I$766),"")</f>
        <v/>
      </c>
      <c r="J177" s="9">
        <f>IFERROR(LOOKUP(2,1/('Weekly Tracker'!$E$2:$E$766=$A177)/('Weekly Tracker'!$J$2:$J$766&lt;&gt;""),'Weekly Tracker'!$J$2:$J$766),"")</f>
        <v/>
      </c>
      <c r="K177" s="9">
        <f>IFERROR(LOOKUP(2,1/('Weekly Tracker'!$E$2:$E$766=$A177)/('Weekly Tracker'!$N$2:$N$766&lt;&gt;""),'Weekly Tracker'!$N$2:$N$766),"")</f>
        <v/>
      </c>
      <c r="L177" s="9">
        <f>IFERROR(LOOKUP(2,1/('Weekly Tracker'!$E$2:$E$766=$A177)/('Weekly Tracker'!$O$2:$O$766&lt;&gt;""),'Weekly Tracker'!$O$2:$O$766),"")</f>
        <v/>
      </c>
    </row>
    <row r="178">
      <c r="A178" s="9" t="inlineStr">
        <is>
          <t>Vivek FB</t>
        </is>
      </c>
      <c r="B178" s="9" t="inlineStr">
        <is>
          <t>7867072563</t>
        </is>
      </c>
      <c r="C178" s="9" t="n"/>
      <c r="D178" s="9" t="n"/>
      <c r="E178" s="9" t="n"/>
      <c r="F178" s="9">
        <f>IFERROR(LOOKUP(2,1/('Weekly Tracker'!$E$2:$E$766=$A178)/('Weekly Tracker'!$F$2:$F$766&lt;&gt;""),'Weekly Tracker'!$F$2:$F$766),"")</f>
        <v/>
      </c>
      <c r="G178" s="16">
        <f>IF(F178&lt;&gt;"",LOOKUP(2,1/('Weekly Tracker'!$E$2:$E$766=$A178)/('Weekly Tracker'!$F$2:$F$766&lt;&gt;""),'Weekly Tracker'!$G$2:$G$766),"")</f>
        <v/>
      </c>
      <c r="H178" s="9">
        <f>IFERROR(LOOKUP(2,1/('Weekly Tracker'!$E$2:$E$766=$A178)/('Weekly Tracker'!$H$2:$H$766&lt;&gt;""),'Weekly Tracker'!$H$2:$H$766),"")</f>
        <v/>
      </c>
      <c r="I178" s="16">
        <f>IF(H178&lt;&gt;"",LOOKUP(2,1/('Weekly Tracker'!$E$2:$E$766=$A178)/('Weekly Tracker'!$H$2:$H$766&lt;&gt;""),'Weekly Tracker'!$I$2:$I$766),"")</f>
        <v/>
      </c>
      <c r="J178" s="9">
        <f>IFERROR(LOOKUP(2,1/('Weekly Tracker'!$E$2:$E$766=$A178)/('Weekly Tracker'!$J$2:$J$766&lt;&gt;""),'Weekly Tracker'!$J$2:$J$766),"")</f>
        <v/>
      </c>
      <c r="K178" s="9">
        <f>IFERROR(LOOKUP(2,1/('Weekly Tracker'!$E$2:$E$766=$A178)/('Weekly Tracker'!$N$2:$N$766&lt;&gt;""),'Weekly Tracker'!$N$2:$N$766),"")</f>
        <v/>
      </c>
      <c r="L178" s="9">
        <f>IFERROR(LOOKUP(2,1/('Weekly Tracker'!$E$2:$E$766=$A178)/('Weekly Tracker'!$O$2:$O$766&lt;&gt;""),'Weekly Tracker'!$O$2:$O$766),"")</f>
        <v/>
      </c>
    </row>
    <row r="179">
      <c r="A179" s="9" t="inlineStr">
        <is>
          <t>Selva FB</t>
        </is>
      </c>
      <c r="B179" s="9" t="inlineStr">
        <is>
          <t>9245850708, 9080305675</t>
        </is>
      </c>
      <c r="C179" s="9" t="n"/>
      <c r="D179" s="9" t="n"/>
      <c r="E179" s="9" t="n"/>
      <c r="F179" s="9">
        <f>IFERROR(LOOKUP(2,1/('Weekly Tracker'!$E$2:$E$766=$A179)/('Weekly Tracker'!$F$2:$F$766&lt;&gt;""),'Weekly Tracker'!$F$2:$F$766),"")</f>
        <v/>
      </c>
      <c r="G179" s="16">
        <f>IF(F179&lt;&gt;"",LOOKUP(2,1/('Weekly Tracker'!$E$2:$E$766=$A179)/('Weekly Tracker'!$F$2:$F$766&lt;&gt;""),'Weekly Tracker'!$G$2:$G$766),"")</f>
        <v/>
      </c>
      <c r="H179" s="9">
        <f>IFERROR(LOOKUP(2,1/('Weekly Tracker'!$E$2:$E$766=$A179)/('Weekly Tracker'!$H$2:$H$766&lt;&gt;""),'Weekly Tracker'!$H$2:$H$766),"")</f>
        <v/>
      </c>
      <c r="I179" s="16">
        <f>IF(H179&lt;&gt;"",LOOKUP(2,1/('Weekly Tracker'!$E$2:$E$766=$A179)/('Weekly Tracker'!$H$2:$H$766&lt;&gt;""),'Weekly Tracker'!$I$2:$I$766),"")</f>
        <v/>
      </c>
      <c r="J179" s="9">
        <f>IFERROR(LOOKUP(2,1/('Weekly Tracker'!$E$2:$E$766=$A179)/('Weekly Tracker'!$J$2:$J$766&lt;&gt;""),'Weekly Tracker'!$J$2:$J$766),"")</f>
        <v/>
      </c>
      <c r="K179" s="9">
        <f>IFERROR(LOOKUP(2,1/('Weekly Tracker'!$E$2:$E$766=$A179)/('Weekly Tracker'!$N$2:$N$766&lt;&gt;""),'Weekly Tracker'!$N$2:$N$766),"")</f>
        <v/>
      </c>
      <c r="L179" s="9">
        <f>IFERROR(LOOKUP(2,1/('Weekly Tracker'!$E$2:$E$766=$A179)/('Weekly Tracker'!$O$2:$O$766&lt;&gt;""),'Weekly Tracker'!$O$2:$O$766),"")</f>
        <v/>
      </c>
    </row>
    <row r="180">
      <c r="A180" s="9" t="inlineStr">
        <is>
          <t>Thrun TG</t>
        </is>
      </c>
      <c r="B180" s="9" t="inlineStr">
        <is>
          <t>7010973527</t>
        </is>
      </c>
      <c r="C180" s="9" t="n"/>
      <c r="D180" s="9" t="n"/>
      <c r="E180" s="9" t="n"/>
      <c r="F180" s="9">
        <f>IFERROR(LOOKUP(2,1/('Weekly Tracker'!$E$2:$E$766=$A180)/('Weekly Tracker'!$F$2:$F$766&lt;&gt;""),'Weekly Tracker'!$F$2:$F$766),"")</f>
        <v/>
      </c>
      <c r="G180" s="16">
        <f>IF(F180&lt;&gt;"",LOOKUP(2,1/('Weekly Tracker'!$E$2:$E$766=$A180)/('Weekly Tracker'!$F$2:$F$766&lt;&gt;""),'Weekly Tracker'!$G$2:$G$766),"")</f>
        <v/>
      </c>
      <c r="H180" s="9">
        <f>IFERROR(LOOKUP(2,1/('Weekly Tracker'!$E$2:$E$766=$A180)/('Weekly Tracker'!$H$2:$H$766&lt;&gt;""),'Weekly Tracker'!$H$2:$H$766),"")</f>
        <v/>
      </c>
      <c r="I180" s="16">
        <f>IF(H180&lt;&gt;"",LOOKUP(2,1/('Weekly Tracker'!$E$2:$E$766=$A180)/('Weekly Tracker'!$H$2:$H$766&lt;&gt;""),'Weekly Tracker'!$I$2:$I$766),"")</f>
        <v/>
      </c>
      <c r="J180" s="9">
        <f>IFERROR(LOOKUP(2,1/('Weekly Tracker'!$E$2:$E$766=$A180)/('Weekly Tracker'!$J$2:$J$766&lt;&gt;""),'Weekly Tracker'!$J$2:$J$766),"")</f>
        <v/>
      </c>
      <c r="K180" s="9">
        <f>IFERROR(LOOKUP(2,1/('Weekly Tracker'!$E$2:$E$766=$A180)/('Weekly Tracker'!$N$2:$N$766&lt;&gt;""),'Weekly Tracker'!$N$2:$N$766),"")</f>
        <v/>
      </c>
      <c r="L180" s="9">
        <f>IFERROR(LOOKUP(2,1/('Weekly Tracker'!$E$2:$E$766=$A180)/('Weekly Tracker'!$O$2:$O$766&lt;&gt;""),'Weekly Tracker'!$O$2:$O$766),"")</f>
        <v/>
      </c>
    </row>
    <row r="181">
      <c r="A181" s="9" t="inlineStr">
        <is>
          <t>Rajiv Atr FB</t>
        </is>
      </c>
      <c r="B181" s="9" t="inlineStr">
        <is>
          <t>8122338897</t>
        </is>
      </c>
      <c r="C181" s="9" t="n"/>
      <c r="D181" s="9" t="n"/>
      <c r="E181" s="9" t="n"/>
      <c r="F181" s="9">
        <f>IFERROR(LOOKUP(2,1/('Weekly Tracker'!$E$2:$E$766=$A181)/('Weekly Tracker'!$F$2:$F$766&lt;&gt;""),'Weekly Tracker'!$F$2:$F$766),"")</f>
        <v/>
      </c>
      <c r="G181" s="16">
        <f>IF(F181&lt;&gt;"",LOOKUP(2,1/('Weekly Tracker'!$E$2:$E$766=$A181)/('Weekly Tracker'!$F$2:$F$766&lt;&gt;""),'Weekly Tracker'!$G$2:$G$766),"")</f>
        <v/>
      </c>
      <c r="H181" s="9">
        <f>IFERROR(LOOKUP(2,1/('Weekly Tracker'!$E$2:$E$766=$A181)/('Weekly Tracker'!$H$2:$H$766&lt;&gt;""),'Weekly Tracker'!$H$2:$H$766),"")</f>
        <v/>
      </c>
      <c r="I181" s="16">
        <f>IF(H181&lt;&gt;"",LOOKUP(2,1/('Weekly Tracker'!$E$2:$E$766=$A181)/('Weekly Tracker'!$H$2:$H$766&lt;&gt;""),'Weekly Tracker'!$I$2:$I$766),"")</f>
        <v/>
      </c>
      <c r="J181" s="9">
        <f>IFERROR(LOOKUP(2,1/('Weekly Tracker'!$E$2:$E$766=$A181)/('Weekly Tracker'!$J$2:$J$766&lt;&gt;""),'Weekly Tracker'!$J$2:$J$766),"")</f>
        <v/>
      </c>
      <c r="K181" s="9">
        <f>IFERROR(LOOKUP(2,1/('Weekly Tracker'!$E$2:$E$766=$A181)/('Weekly Tracker'!$N$2:$N$766&lt;&gt;""),'Weekly Tracker'!$N$2:$N$766),"")</f>
        <v/>
      </c>
      <c r="L181" s="9">
        <f>IFERROR(LOOKUP(2,1/('Weekly Tracker'!$E$2:$E$766=$A181)/('Weekly Tracker'!$O$2:$O$766&lt;&gt;""),'Weekly Tracker'!$O$2:$O$766),"")</f>
        <v/>
      </c>
    </row>
    <row r="182">
      <c r="A182" s="9" t="inlineStr">
        <is>
          <t>Rajkumar Doctor Scl</t>
        </is>
      </c>
      <c r="B182" s="9" t="inlineStr">
        <is>
          <t>8056252045</t>
        </is>
      </c>
      <c r="C182" s="9" t="n"/>
      <c r="D182" s="9" t="n"/>
      <c r="E182" s="9" t="n"/>
      <c r="F182" s="9">
        <f>IFERROR(LOOKUP(2,1/('Weekly Tracker'!$E$2:$E$766=$A182)/('Weekly Tracker'!$F$2:$F$766&lt;&gt;""),'Weekly Tracker'!$F$2:$F$766),"")</f>
        <v/>
      </c>
      <c r="G182" s="16">
        <f>IF(F182&lt;&gt;"",LOOKUP(2,1/('Weekly Tracker'!$E$2:$E$766=$A182)/('Weekly Tracker'!$F$2:$F$766&lt;&gt;""),'Weekly Tracker'!$G$2:$G$766),"")</f>
        <v/>
      </c>
      <c r="H182" s="9">
        <f>IFERROR(LOOKUP(2,1/('Weekly Tracker'!$E$2:$E$766=$A182)/('Weekly Tracker'!$H$2:$H$766&lt;&gt;""),'Weekly Tracker'!$H$2:$H$766),"")</f>
        <v/>
      </c>
      <c r="I182" s="16">
        <f>IF(H182&lt;&gt;"",LOOKUP(2,1/('Weekly Tracker'!$E$2:$E$766=$A182)/('Weekly Tracker'!$H$2:$H$766&lt;&gt;""),'Weekly Tracker'!$I$2:$I$766),"")</f>
        <v/>
      </c>
      <c r="J182" s="9">
        <f>IFERROR(LOOKUP(2,1/('Weekly Tracker'!$E$2:$E$766=$A182)/('Weekly Tracker'!$J$2:$J$766&lt;&gt;""),'Weekly Tracker'!$J$2:$J$766),"")</f>
        <v/>
      </c>
      <c r="K182" s="9">
        <f>IFERROR(LOOKUP(2,1/('Weekly Tracker'!$E$2:$E$766=$A182)/('Weekly Tracker'!$N$2:$N$766&lt;&gt;""),'Weekly Tracker'!$N$2:$N$766),"")</f>
        <v/>
      </c>
      <c r="L182" s="9">
        <f>IFERROR(LOOKUP(2,1/('Weekly Tracker'!$E$2:$E$766=$A182)/('Weekly Tracker'!$O$2:$O$766&lt;&gt;""),'Weekly Tracker'!$O$2:$O$766),"")</f>
        <v/>
      </c>
    </row>
    <row r="183">
      <c r="A183" s="9" t="inlineStr">
        <is>
          <t>Vigneshwar Sella</t>
        </is>
      </c>
      <c r="B183" s="9" t="inlineStr">
        <is>
          <t>919944668445</t>
        </is>
      </c>
      <c r="C183" s="9" t="n"/>
      <c r="D183" s="9" t="n"/>
      <c r="E183" s="9" t="n"/>
      <c r="F183" s="9">
        <f>IFERROR(LOOKUP(2,1/('Weekly Tracker'!$E$2:$E$766=$A183)/('Weekly Tracker'!$F$2:$F$766&lt;&gt;""),'Weekly Tracker'!$F$2:$F$766),"")</f>
        <v/>
      </c>
      <c r="G183" s="16">
        <f>IF(F183&lt;&gt;"",LOOKUP(2,1/('Weekly Tracker'!$E$2:$E$766=$A183)/('Weekly Tracker'!$F$2:$F$766&lt;&gt;""),'Weekly Tracker'!$G$2:$G$766),"")</f>
        <v/>
      </c>
      <c r="H183" s="9">
        <f>IFERROR(LOOKUP(2,1/('Weekly Tracker'!$E$2:$E$766=$A183)/('Weekly Tracker'!$H$2:$H$766&lt;&gt;""),'Weekly Tracker'!$H$2:$H$766),"")</f>
        <v/>
      </c>
      <c r="I183" s="16">
        <f>IF(H183&lt;&gt;"",LOOKUP(2,1/('Weekly Tracker'!$E$2:$E$766=$A183)/('Weekly Tracker'!$H$2:$H$766&lt;&gt;""),'Weekly Tracker'!$I$2:$I$766),"")</f>
        <v/>
      </c>
      <c r="J183" s="9">
        <f>IFERROR(LOOKUP(2,1/('Weekly Tracker'!$E$2:$E$766=$A183)/('Weekly Tracker'!$J$2:$J$766&lt;&gt;""),'Weekly Tracker'!$J$2:$J$766),"")</f>
        <v/>
      </c>
      <c r="K183" s="9">
        <f>IFERROR(LOOKUP(2,1/('Weekly Tracker'!$E$2:$E$766=$A183)/('Weekly Tracker'!$N$2:$N$766&lt;&gt;""),'Weekly Tracker'!$N$2:$N$766),"")</f>
        <v/>
      </c>
      <c r="L183" s="9">
        <f>IFERROR(LOOKUP(2,1/('Weekly Tracker'!$E$2:$E$766=$A183)/('Weekly Tracker'!$O$2:$O$766&lt;&gt;""),'Weekly Tracker'!$O$2:$O$766),"")</f>
        <v/>
      </c>
    </row>
    <row r="184">
      <c r="A184" s="9" t="inlineStr">
        <is>
          <t>Priya Urja</t>
        </is>
      </c>
      <c r="B184" s="9" t="inlineStr">
        <is>
          <t>919941231791</t>
        </is>
      </c>
      <c r="C184" s="9" t="n"/>
      <c r="D184" s="9" t="n"/>
      <c r="E184" s="9" t="n"/>
      <c r="F184" s="9">
        <f>IFERROR(LOOKUP(2,1/('Weekly Tracker'!$E$2:$E$766=$A184)/('Weekly Tracker'!$F$2:$F$766&lt;&gt;""),'Weekly Tracker'!$F$2:$F$766),"")</f>
        <v/>
      </c>
      <c r="G184" s="16">
        <f>IF(F184&lt;&gt;"",LOOKUP(2,1/('Weekly Tracker'!$E$2:$E$766=$A184)/('Weekly Tracker'!$F$2:$F$766&lt;&gt;""),'Weekly Tracker'!$G$2:$G$766),"")</f>
        <v/>
      </c>
      <c r="H184" s="9">
        <f>IFERROR(LOOKUP(2,1/('Weekly Tracker'!$E$2:$E$766=$A184)/('Weekly Tracker'!$H$2:$H$766&lt;&gt;""),'Weekly Tracker'!$H$2:$H$766),"")</f>
        <v/>
      </c>
      <c r="I184" s="16">
        <f>IF(H184&lt;&gt;"",LOOKUP(2,1/('Weekly Tracker'!$E$2:$E$766=$A184)/('Weekly Tracker'!$H$2:$H$766&lt;&gt;""),'Weekly Tracker'!$I$2:$I$766),"")</f>
        <v/>
      </c>
      <c r="J184" s="9">
        <f>IFERROR(LOOKUP(2,1/('Weekly Tracker'!$E$2:$E$766=$A184)/('Weekly Tracker'!$J$2:$J$766&lt;&gt;""),'Weekly Tracker'!$J$2:$J$766),"")</f>
        <v/>
      </c>
      <c r="K184" s="9">
        <f>IFERROR(LOOKUP(2,1/('Weekly Tracker'!$E$2:$E$766=$A184)/('Weekly Tracker'!$N$2:$N$766&lt;&gt;""),'Weekly Tracker'!$N$2:$N$766),"")</f>
        <v/>
      </c>
      <c r="L184" s="9">
        <f>IFERROR(LOOKUP(2,1/('Weekly Tracker'!$E$2:$E$766=$A184)/('Weekly Tracker'!$O$2:$O$766&lt;&gt;""),'Weekly Tracker'!$O$2:$O$766),"")</f>
        <v/>
      </c>
    </row>
    <row r="185">
      <c r="A185" s="9" t="inlineStr">
        <is>
          <t>Mani RAJ Fb</t>
        </is>
      </c>
      <c r="B185" s="9" t="inlineStr">
        <is>
          <t>8220329325</t>
        </is>
      </c>
      <c r="C185" s="9" t="n"/>
      <c r="D185" s="9" t="n"/>
      <c r="E185" s="9" t="n"/>
      <c r="F185" s="9">
        <f>IFERROR(LOOKUP(2,1/('Weekly Tracker'!$E$2:$E$766=$A185)/('Weekly Tracker'!$F$2:$F$766&lt;&gt;""),'Weekly Tracker'!$F$2:$F$766),"")</f>
        <v/>
      </c>
      <c r="G185" s="16">
        <f>IF(F185&lt;&gt;"",LOOKUP(2,1/('Weekly Tracker'!$E$2:$E$766=$A185)/('Weekly Tracker'!$F$2:$F$766&lt;&gt;""),'Weekly Tracker'!$G$2:$G$766),"")</f>
        <v/>
      </c>
      <c r="H185" s="9">
        <f>IFERROR(LOOKUP(2,1/('Weekly Tracker'!$E$2:$E$766=$A185)/('Weekly Tracker'!$H$2:$H$766&lt;&gt;""),'Weekly Tracker'!$H$2:$H$766),"")</f>
        <v/>
      </c>
      <c r="I185" s="16">
        <f>IF(H185&lt;&gt;"",LOOKUP(2,1/('Weekly Tracker'!$E$2:$E$766=$A185)/('Weekly Tracker'!$H$2:$H$766&lt;&gt;""),'Weekly Tracker'!$I$2:$I$766),"")</f>
        <v/>
      </c>
      <c r="J185" s="9">
        <f>IFERROR(LOOKUP(2,1/('Weekly Tracker'!$E$2:$E$766=$A185)/('Weekly Tracker'!$J$2:$J$766&lt;&gt;""),'Weekly Tracker'!$J$2:$J$766),"")</f>
        <v/>
      </c>
      <c r="K185" s="9">
        <f>IFERROR(LOOKUP(2,1/('Weekly Tracker'!$E$2:$E$766=$A185)/('Weekly Tracker'!$N$2:$N$766&lt;&gt;""),'Weekly Tracker'!$N$2:$N$766),"")</f>
        <v/>
      </c>
      <c r="L185" s="9">
        <f>IFERROR(LOOKUP(2,1/('Weekly Tracker'!$E$2:$E$766=$A185)/('Weekly Tracker'!$O$2:$O$766&lt;&gt;""),'Weekly Tracker'!$O$2:$O$766),"")</f>
        <v/>
      </c>
    </row>
    <row r="186">
      <c r="A186" s="9" t="inlineStr">
        <is>
          <t>Vinoth NarenMilfrd</t>
        </is>
      </c>
      <c r="B186" s="9" t="inlineStr">
        <is>
          <t>918098341641</t>
        </is>
      </c>
      <c r="C186" s="9" t="n"/>
      <c r="D186" s="9" t="n"/>
      <c r="E186" s="9" t="n"/>
      <c r="F186" s="9">
        <f>IFERROR(LOOKUP(2,1/('Weekly Tracker'!$E$2:$E$766=$A186)/('Weekly Tracker'!$F$2:$F$766&lt;&gt;""),'Weekly Tracker'!$F$2:$F$766),"")</f>
        <v/>
      </c>
      <c r="G186" s="16">
        <f>IF(F186&lt;&gt;"",LOOKUP(2,1/('Weekly Tracker'!$E$2:$E$766=$A186)/('Weekly Tracker'!$F$2:$F$766&lt;&gt;""),'Weekly Tracker'!$G$2:$G$766),"")</f>
        <v/>
      </c>
      <c r="H186" s="9">
        <f>IFERROR(LOOKUP(2,1/('Weekly Tracker'!$E$2:$E$766=$A186)/('Weekly Tracker'!$H$2:$H$766&lt;&gt;""),'Weekly Tracker'!$H$2:$H$766),"")</f>
        <v/>
      </c>
      <c r="I186" s="16">
        <f>IF(H186&lt;&gt;"",LOOKUP(2,1/('Weekly Tracker'!$E$2:$E$766=$A186)/('Weekly Tracker'!$H$2:$H$766&lt;&gt;""),'Weekly Tracker'!$I$2:$I$766),"")</f>
        <v/>
      </c>
      <c r="J186" s="9">
        <f>IFERROR(LOOKUP(2,1/('Weekly Tracker'!$E$2:$E$766=$A186)/('Weekly Tracker'!$J$2:$J$766&lt;&gt;""),'Weekly Tracker'!$J$2:$J$766),"")</f>
        <v/>
      </c>
      <c r="K186" s="9">
        <f>IFERROR(LOOKUP(2,1/('Weekly Tracker'!$E$2:$E$766=$A186)/('Weekly Tracker'!$N$2:$N$766&lt;&gt;""),'Weekly Tracker'!$N$2:$N$766),"")</f>
        <v/>
      </c>
      <c r="L186" s="9">
        <f>IFERROR(LOOKUP(2,1/('Weekly Tracker'!$E$2:$E$766=$A186)/('Weekly Tracker'!$O$2:$O$766&lt;&gt;""),'Weekly Tracker'!$O$2:$O$766),"")</f>
        <v/>
      </c>
    </row>
    <row r="187">
      <c r="A187" s="9" t="inlineStr">
        <is>
          <t>Aswin Rajeev FB</t>
        </is>
      </c>
      <c r="B187" s="9" t="inlineStr">
        <is>
          <t>918122497487</t>
        </is>
      </c>
      <c r="C187" s="9" t="n"/>
      <c r="D187" s="9" t="n"/>
      <c r="E187" s="9" t="n"/>
      <c r="F187" s="9">
        <f>IFERROR(LOOKUP(2,1/('Weekly Tracker'!$E$2:$E$766=$A187)/('Weekly Tracker'!$F$2:$F$766&lt;&gt;""),'Weekly Tracker'!$F$2:$F$766),"")</f>
        <v/>
      </c>
      <c r="G187" s="16">
        <f>IF(F187&lt;&gt;"",LOOKUP(2,1/('Weekly Tracker'!$E$2:$E$766=$A187)/('Weekly Tracker'!$F$2:$F$766&lt;&gt;""),'Weekly Tracker'!$G$2:$G$766),"")</f>
        <v/>
      </c>
      <c r="H187" s="9">
        <f>IFERROR(LOOKUP(2,1/('Weekly Tracker'!$E$2:$E$766=$A187)/('Weekly Tracker'!$H$2:$H$766&lt;&gt;""),'Weekly Tracker'!$H$2:$H$766),"")</f>
        <v/>
      </c>
      <c r="I187" s="16">
        <f>IF(H187&lt;&gt;"",LOOKUP(2,1/('Weekly Tracker'!$E$2:$E$766=$A187)/('Weekly Tracker'!$H$2:$H$766&lt;&gt;""),'Weekly Tracker'!$I$2:$I$766),"")</f>
        <v/>
      </c>
      <c r="J187" s="9">
        <f>IFERROR(LOOKUP(2,1/('Weekly Tracker'!$E$2:$E$766=$A187)/('Weekly Tracker'!$J$2:$J$766&lt;&gt;""),'Weekly Tracker'!$J$2:$J$766),"")</f>
        <v/>
      </c>
      <c r="K187" s="9">
        <f>IFERROR(LOOKUP(2,1/('Weekly Tracker'!$E$2:$E$766=$A187)/('Weekly Tracker'!$N$2:$N$766&lt;&gt;""),'Weekly Tracker'!$N$2:$N$766),"")</f>
        <v/>
      </c>
      <c r="L187" s="9">
        <f>IFERROR(LOOKUP(2,1/('Weekly Tracker'!$E$2:$E$766=$A187)/('Weekly Tracker'!$O$2:$O$766&lt;&gt;""),'Weekly Tracker'!$O$2:$O$766),"")</f>
        <v/>
      </c>
    </row>
    <row r="188">
      <c r="A188" s="9" t="inlineStr">
        <is>
          <t>Parthiv qs</t>
        </is>
      </c>
      <c r="B188" s="9" t="inlineStr">
        <is>
          <t>919655241392</t>
        </is>
      </c>
      <c r="C188" s="9" t="n"/>
      <c r="D188" s="9" t="n"/>
      <c r="E188" s="9" t="n"/>
      <c r="F188" s="9">
        <f>IFERROR(LOOKUP(2,1/('Weekly Tracker'!$E$2:$E$766=$A188)/('Weekly Tracker'!$F$2:$F$766&lt;&gt;""),'Weekly Tracker'!$F$2:$F$766),"")</f>
        <v/>
      </c>
      <c r="G188" s="16">
        <f>IF(F188&lt;&gt;"",LOOKUP(2,1/('Weekly Tracker'!$E$2:$E$766=$A188)/('Weekly Tracker'!$F$2:$F$766&lt;&gt;""),'Weekly Tracker'!$G$2:$G$766),"")</f>
        <v/>
      </c>
      <c r="H188" s="9">
        <f>IFERROR(LOOKUP(2,1/('Weekly Tracker'!$E$2:$E$766=$A188)/('Weekly Tracker'!$H$2:$H$766&lt;&gt;""),'Weekly Tracker'!$H$2:$H$766),"")</f>
        <v/>
      </c>
      <c r="I188" s="16">
        <f>IF(H188&lt;&gt;"",LOOKUP(2,1/('Weekly Tracker'!$E$2:$E$766=$A188)/('Weekly Tracker'!$H$2:$H$766&lt;&gt;""),'Weekly Tracker'!$I$2:$I$766),"")</f>
        <v/>
      </c>
      <c r="J188" s="9">
        <f>IFERROR(LOOKUP(2,1/('Weekly Tracker'!$E$2:$E$766=$A188)/('Weekly Tracker'!$J$2:$J$766&lt;&gt;""),'Weekly Tracker'!$J$2:$J$766),"")</f>
        <v/>
      </c>
      <c r="K188" s="9">
        <f>IFERROR(LOOKUP(2,1/('Weekly Tracker'!$E$2:$E$766=$A188)/('Weekly Tracker'!$N$2:$N$766&lt;&gt;""),'Weekly Tracker'!$N$2:$N$766),"")</f>
        <v/>
      </c>
      <c r="L188" s="9">
        <f>IFERROR(LOOKUP(2,1/('Weekly Tracker'!$E$2:$E$766=$A188)/('Weekly Tracker'!$O$2:$O$766&lt;&gt;""),'Weekly Tracker'!$O$2:$O$766),"")</f>
        <v/>
      </c>
    </row>
    <row r="189">
      <c r="A189" s="9" t="inlineStr">
        <is>
          <t>Mani Junior</t>
        </is>
      </c>
      <c r="B189" s="9" t="inlineStr">
        <is>
          <t>919585844618</t>
        </is>
      </c>
      <c r="C189" s="9" t="n"/>
      <c r="D189" s="9" t="n"/>
      <c r="E189" s="9" t="n"/>
      <c r="F189" s="9">
        <f>IFERROR(LOOKUP(2,1/('Weekly Tracker'!$E$2:$E$766=$A189)/('Weekly Tracker'!$F$2:$F$766&lt;&gt;""),'Weekly Tracker'!$F$2:$F$766),"")</f>
        <v/>
      </c>
      <c r="G189" s="16">
        <f>IF(F189&lt;&gt;"",LOOKUP(2,1/('Weekly Tracker'!$E$2:$E$766=$A189)/('Weekly Tracker'!$F$2:$F$766&lt;&gt;""),'Weekly Tracker'!$G$2:$G$766),"")</f>
        <v/>
      </c>
      <c r="H189" s="9">
        <f>IFERROR(LOOKUP(2,1/('Weekly Tracker'!$E$2:$E$766=$A189)/('Weekly Tracker'!$H$2:$H$766&lt;&gt;""),'Weekly Tracker'!$H$2:$H$766),"")</f>
        <v/>
      </c>
      <c r="I189" s="16">
        <f>IF(H189&lt;&gt;"",LOOKUP(2,1/('Weekly Tracker'!$E$2:$E$766=$A189)/('Weekly Tracker'!$H$2:$H$766&lt;&gt;""),'Weekly Tracker'!$I$2:$I$766),"")</f>
        <v/>
      </c>
      <c r="J189" s="9">
        <f>IFERROR(LOOKUP(2,1/('Weekly Tracker'!$E$2:$E$766=$A189)/('Weekly Tracker'!$J$2:$J$766&lt;&gt;""),'Weekly Tracker'!$J$2:$J$766),"")</f>
        <v/>
      </c>
      <c r="K189" s="9">
        <f>IFERROR(LOOKUP(2,1/('Weekly Tracker'!$E$2:$E$766=$A189)/('Weekly Tracker'!$N$2:$N$766&lt;&gt;""),'Weekly Tracker'!$N$2:$N$766),"")</f>
        <v/>
      </c>
      <c r="L189" s="9">
        <f>IFERROR(LOOKUP(2,1/('Weekly Tracker'!$E$2:$E$766=$A189)/('Weekly Tracker'!$O$2:$O$766&lt;&gt;""),'Weekly Tracker'!$O$2:$O$766),"")</f>
        <v/>
      </c>
    </row>
    <row r="190">
      <c r="A190" s="9" t="inlineStr">
        <is>
          <t>TauFeeQ Hnuc Scl</t>
        </is>
      </c>
      <c r="B190" s="9" t="inlineStr">
        <is>
          <t>919645103746</t>
        </is>
      </c>
      <c r="C190" s="9" t="n"/>
      <c r="D190" s="9" t="n"/>
      <c r="E190" s="9" t="n"/>
      <c r="F190" s="9">
        <f>IFERROR(LOOKUP(2,1/('Weekly Tracker'!$E$2:$E$766=$A190)/('Weekly Tracker'!$F$2:$F$766&lt;&gt;""),'Weekly Tracker'!$F$2:$F$766),"")</f>
        <v/>
      </c>
      <c r="G190" s="16">
        <f>IF(F190&lt;&gt;"",LOOKUP(2,1/('Weekly Tracker'!$E$2:$E$766=$A190)/('Weekly Tracker'!$F$2:$F$766&lt;&gt;""),'Weekly Tracker'!$G$2:$G$766),"")</f>
        <v/>
      </c>
      <c r="H190" s="9">
        <f>IFERROR(LOOKUP(2,1/('Weekly Tracker'!$E$2:$E$766=$A190)/('Weekly Tracker'!$H$2:$H$766&lt;&gt;""),'Weekly Tracker'!$H$2:$H$766),"")</f>
        <v/>
      </c>
      <c r="I190" s="16">
        <f>IF(H190&lt;&gt;"",LOOKUP(2,1/('Weekly Tracker'!$E$2:$E$766=$A190)/('Weekly Tracker'!$H$2:$H$766&lt;&gt;""),'Weekly Tracker'!$I$2:$I$766),"")</f>
        <v/>
      </c>
      <c r="J190" s="9">
        <f>IFERROR(LOOKUP(2,1/('Weekly Tracker'!$E$2:$E$766=$A190)/('Weekly Tracker'!$J$2:$J$766&lt;&gt;""),'Weekly Tracker'!$J$2:$J$766),"")</f>
        <v/>
      </c>
      <c r="K190" s="9">
        <f>IFERROR(LOOKUP(2,1/('Weekly Tracker'!$E$2:$E$766=$A190)/('Weekly Tracker'!$N$2:$N$766&lt;&gt;""),'Weekly Tracker'!$N$2:$N$766),"")</f>
        <v/>
      </c>
      <c r="L190" s="9">
        <f>IFERROR(LOOKUP(2,1/('Weekly Tracker'!$E$2:$E$766=$A190)/('Weekly Tracker'!$O$2:$O$766&lt;&gt;""),'Weekly Tracker'!$O$2:$O$766),"")</f>
        <v/>
      </c>
    </row>
    <row r="191">
      <c r="A191" s="9" t="inlineStr">
        <is>
          <t>Moahamad Razik Ali Ucen</t>
        </is>
      </c>
      <c r="B191" s="9" t="inlineStr">
        <is>
          <t>918681938163</t>
        </is>
      </c>
      <c r="C191" s="9" t="n"/>
      <c r="D191" s="9" t="n"/>
      <c r="E191" s="9" t="n"/>
      <c r="F191" s="9">
        <f>IFERROR(LOOKUP(2,1/('Weekly Tracker'!$E$2:$E$766=$A191)/('Weekly Tracker'!$F$2:$F$766&lt;&gt;""),'Weekly Tracker'!$F$2:$F$766),"")</f>
        <v/>
      </c>
      <c r="G191" s="16">
        <f>IF(F191&lt;&gt;"",LOOKUP(2,1/('Weekly Tracker'!$E$2:$E$766=$A191)/('Weekly Tracker'!$F$2:$F$766&lt;&gt;""),'Weekly Tracker'!$G$2:$G$766),"")</f>
        <v/>
      </c>
      <c r="H191" s="9">
        <f>IFERROR(LOOKUP(2,1/('Weekly Tracker'!$E$2:$E$766=$A191)/('Weekly Tracker'!$H$2:$H$766&lt;&gt;""),'Weekly Tracker'!$H$2:$H$766),"")</f>
        <v/>
      </c>
      <c r="I191" s="16">
        <f>IF(H191&lt;&gt;"",LOOKUP(2,1/('Weekly Tracker'!$E$2:$E$766=$A191)/('Weekly Tracker'!$H$2:$H$766&lt;&gt;""),'Weekly Tracker'!$I$2:$I$766),"")</f>
        <v/>
      </c>
      <c r="J191" s="9">
        <f>IFERROR(LOOKUP(2,1/('Weekly Tracker'!$E$2:$E$766=$A191)/('Weekly Tracker'!$J$2:$J$766&lt;&gt;""),'Weekly Tracker'!$J$2:$J$766),"")</f>
        <v/>
      </c>
      <c r="K191" s="9">
        <f>IFERROR(LOOKUP(2,1/('Weekly Tracker'!$E$2:$E$766=$A191)/('Weekly Tracker'!$N$2:$N$766&lt;&gt;""),'Weekly Tracker'!$N$2:$N$766),"")</f>
        <v/>
      </c>
      <c r="L191" s="9">
        <f>IFERROR(LOOKUP(2,1/('Weekly Tracker'!$E$2:$E$766=$A191)/('Weekly Tracker'!$O$2:$O$766&lt;&gt;""),'Weekly Tracker'!$O$2:$O$766),"")</f>
        <v/>
      </c>
    </row>
    <row r="192">
      <c r="A192" s="9" t="inlineStr">
        <is>
          <t>Reji Grp Ucen</t>
        </is>
      </c>
      <c r="B192" s="9" t="inlineStr">
        <is>
          <t>919789221274</t>
        </is>
      </c>
      <c r="C192" s="9" t="n"/>
      <c r="D192" s="9" t="n"/>
      <c r="E192" s="9" t="n"/>
      <c r="F192" s="9">
        <f>IFERROR(LOOKUP(2,1/('Weekly Tracker'!$E$2:$E$766=$A192)/('Weekly Tracker'!$F$2:$F$766&lt;&gt;""),'Weekly Tracker'!$F$2:$F$766),"")</f>
        <v/>
      </c>
      <c r="G192" s="16">
        <f>IF(F192&lt;&gt;"",LOOKUP(2,1/('Weekly Tracker'!$E$2:$E$766=$A192)/('Weekly Tracker'!$F$2:$F$766&lt;&gt;""),'Weekly Tracker'!$G$2:$G$766),"")</f>
        <v/>
      </c>
      <c r="H192" s="9">
        <f>IFERROR(LOOKUP(2,1/('Weekly Tracker'!$E$2:$E$766=$A192)/('Weekly Tracker'!$H$2:$H$766&lt;&gt;""),'Weekly Tracker'!$H$2:$H$766),"")</f>
        <v/>
      </c>
      <c r="I192" s="16">
        <f>IF(H192&lt;&gt;"",LOOKUP(2,1/('Weekly Tracker'!$E$2:$E$766=$A192)/('Weekly Tracker'!$H$2:$H$766&lt;&gt;""),'Weekly Tracker'!$I$2:$I$766),"")</f>
        <v/>
      </c>
      <c r="J192" s="9">
        <f>IFERROR(LOOKUP(2,1/('Weekly Tracker'!$E$2:$E$766=$A192)/('Weekly Tracker'!$J$2:$J$766&lt;&gt;""),'Weekly Tracker'!$J$2:$J$766),"")</f>
        <v/>
      </c>
      <c r="K192" s="9">
        <f>IFERROR(LOOKUP(2,1/('Weekly Tracker'!$E$2:$E$766=$A192)/('Weekly Tracker'!$N$2:$N$766&lt;&gt;""),'Weekly Tracker'!$N$2:$N$766),"")</f>
        <v/>
      </c>
      <c r="L192" s="9">
        <f>IFERROR(LOOKUP(2,1/('Weekly Tracker'!$E$2:$E$766=$A192)/('Weekly Tracker'!$O$2:$O$766&lt;&gt;""),'Weekly Tracker'!$O$2:$O$766),"")</f>
        <v/>
      </c>
    </row>
    <row r="193">
      <c r="A193" s="9" t="inlineStr">
        <is>
          <t>Belwin Riyan Grp Ucen</t>
        </is>
      </c>
      <c r="B193" s="9" t="inlineStr">
        <is>
          <t>918122234132</t>
        </is>
      </c>
      <c r="C193" s="9" t="n"/>
      <c r="D193" s="9" t="n"/>
      <c r="E193" s="9" t="n"/>
      <c r="F193" s="9">
        <f>IFERROR(LOOKUP(2,1/('Weekly Tracker'!$E$2:$E$766=$A193)/('Weekly Tracker'!$F$2:$F$766&lt;&gt;""),'Weekly Tracker'!$F$2:$F$766),"")</f>
        <v/>
      </c>
      <c r="G193" s="16">
        <f>IF(F193&lt;&gt;"",LOOKUP(2,1/('Weekly Tracker'!$E$2:$E$766=$A193)/('Weekly Tracker'!$F$2:$F$766&lt;&gt;""),'Weekly Tracker'!$G$2:$G$766),"")</f>
        <v/>
      </c>
      <c r="H193" s="9">
        <f>IFERROR(LOOKUP(2,1/('Weekly Tracker'!$E$2:$E$766=$A193)/('Weekly Tracker'!$H$2:$H$766&lt;&gt;""),'Weekly Tracker'!$H$2:$H$766),"")</f>
        <v/>
      </c>
      <c r="I193" s="16">
        <f>IF(H193&lt;&gt;"",LOOKUP(2,1/('Weekly Tracker'!$E$2:$E$766=$A193)/('Weekly Tracker'!$H$2:$H$766&lt;&gt;""),'Weekly Tracker'!$I$2:$I$766),"")</f>
        <v/>
      </c>
      <c r="J193" s="9">
        <f>IFERROR(LOOKUP(2,1/('Weekly Tracker'!$E$2:$E$766=$A193)/('Weekly Tracker'!$J$2:$J$766&lt;&gt;""),'Weekly Tracker'!$J$2:$J$766),"")</f>
        <v/>
      </c>
      <c r="K193" s="9">
        <f>IFERROR(LOOKUP(2,1/('Weekly Tracker'!$E$2:$E$766=$A193)/('Weekly Tracker'!$N$2:$N$766&lt;&gt;""),'Weekly Tracker'!$N$2:$N$766),"")</f>
        <v/>
      </c>
      <c r="L193" s="9">
        <f>IFERROR(LOOKUP(2,1/('Weekly Tracker'!$E$2:$E$766=$A193)/('Weekly Tracker'!$O$2:$O$766&lt;&gt;""),'Weekly Tracker'!$O$2:$O$766),"")</f>
        <v/>
      </c>
    </row>
    <row r="194">
      <c r="A194" s="9" t="inlineStr">
        <is>
          <t>Sugan Urja</t>
        </is>
      </c>
      <c r="B194" s="9" t="inlineStr">
        <is>
          <t>919952355535</t>
        </is>
      </c>
      <c r="C194" s="9" t="n"/>
      <c r="D194" s="9" t="n"/>
      <c r="E194" s="9" t="n"/>
      <c r="F194" s="9">
        <f>IFERROR(LOOKUP(2,1/('Weekly Tracker'!$E$2:$E$766=$A194)/('Weekly Tracker'!$F$2:$F$766&lt;&gt;""),'Weekly Tracker'!$F$2:$F$766),"")</f>
        <v/>
      </c>
      <c r="G194" s="16">
        <f>IF(F194&lt;&gt;"",LOOKUP(2,1/('Weekly Tracker'!$E$2:$E$766=$A194)/('Weekly Tracker'!$F$2:$F$766&lt;&gt;""),'Weekly Tracker'!$G$2:$G$766),"")</f>
        <v/>
      </c>
      <c r="H194" s="9">
        <f>IFERROR(LOOKUP(2,1/('Weekly Tracker'!$E$2:$E$766=$A194)/('Weekly Tracker'!$H$2:$H$766&lt;&gt;""),'Weekly Tracker'!$H$2:$H$766),"")</f>
        <v/>
      </c>
      <c r="I194" s="16">
        <f>IF(H194&lt;&gt;"",LOOKUP(2,1/('Weekly Tracker'!$E$2:$E$766=$A194)/('Weekly Tracker'!$H$2:$H$766&lt;&gt;""),'Weekly Tracker'!$I$2:$I$766),"")</f>
        <v/>
      </c>
      <c r="J194" s="9">
        <f>IFERROR(LOOKUP(2,1/('Weekly Tracker'!$E$2:$E$766=$A194)/('Weekly Tracker'!$J$2:$J$766&lt;&gt;""),'Weekly Tracker'!$J$2:$J$766),"")</f>
        <v/>
      </c>
      <c r="K194" s="9">
        <f>IFERROR(LOOKUP(2,1/('Weekly Tracker'!$E$2:$E$766=$A194)/('Weekly Tracker'!$N$2:$N$766&lt;&gt;""),'Weekly Tracker'!$N$2:$N$766),"")</f>
        <v/>
      </c>
      <c r="L194" s="9">
        <f>IFERROR(LOOKUP(2,1/('Weekly Tracker'!$E$2:$E$766=$A194)/('Weekly Tracker'!$O$2:$O$766&lt;&gt;""),'Weekly Tracker'!$O$2:$O$766),"")</f>
        <v/>
      </c>
    </row>
    <row r="195">
      <c r="A195" s="9" t="inlineStr">
        <is>
          <t>Siva Gurusgn Insta</t>
        </is>
      </c>
      <c r="B195" s="9" t="inlineStr">
        <is>
          <t>9952505426</t>
        </is>
      </c>
      <c r="C195" s="9" t="n"/>
      <c r="D195" s="9" t="n"/>
      <c r="E195" s="9" t="n"/>
      <c r="F195" s="9">
        <f>IFERROR(LOOKUP(2,1/('Weekly Tracker'!$E$2:$E$766=$A195)/('Weekly Tracker'!$F$2:$F$766&lt;&gt;""),'Weekly Tracker'!$F$2:$F$766),"")</f>
        <v/>
      </c>
      <c r="G195" s="16">
        <f>IF(F195&lt;&gt;"",LOOKUP(2,1/('Weekly Tracker'!$E$2:$E$766=$A195)/('Weekly Tracker'!$F$2:$F$766&lt;&gt;""),'Weekly Tracker'!$G$2:$G$766),"")</f>
        <v/>
      </c>
      <c r="H195" s="9">
        <f>IFERROR(LOOKUP(2,1/('Weekly Tracker'!$E$2:$E$766=$A195)/('Weekly Tracker'!$H$2:$H$766&lt;&gt;""),'Weekly Tracker'!$H$2:$H$766),"")</f>
        <v/>
      </c>
      <c r="I195" s="16">
        <f>IF(H195&lt;&gt;"",LOOKUP(2,1/('Weekly Tracker'!$E$2:$E$766=$A195)/('Weekly Tracker'!$H$2:$H$766&lt;&gt;""),'Weekly Tracker'!$I$2:$I$766),"")</f>
        <v/>
      </c>
      <c r="J195" s="9">
        <f>IFERROR(LOOKUP(2,1/('Weekly Tracker'!$E$2:$E$766=$A195)/('Weekly Tracker'!$J$2:$J$766&lt;&gt;""),'Weekly Tracker'!$J$2:$J$766),"")</f>
        <v/>
      </c>
      <c r="K195" s="9">
        <f>IFERROR(LOOKUP(2,1/('Weekly Tracker'!$E$2:$E$766=$A195)/('Weekly Tracker'!$N$2:$N$766&lt;&gt;""),'Weekly Tracker'!$N$2:$N$766),"")</f>
        <v/>
      </c>
      <c r="L195" s="9">
        <f>IFERROR(LOOKUP(2,1/('Weekly Tracker'!$E$2:$E$766=$A195)/('Weekly Tracker'!$O$2:$O$766&lt;&gt;""),'Weekly Tracker'!$O$2:$O$766),"")</f>
        <v/>
      </c>
    </row>
    <row r="196">
      <c r="A196" s="9" t="inlineStr">
        <is>
          <t>Palani Murugaiya Scl FB</t>
        </is>
      </c>
      <c r="B196" s="9" t="inlineStr">
        <is>
          <t>8807668025</t>
        </is>
      </c>
      <c r="C196" s="9" t="n"/>
      <c r="D196" s="9" t="n"/>
      <c r="E196" s="9" t="n"/>
      <c r="F196" s="9">
        <f>IFERROR(LOOKUP(2,1/('Weekly Tracker'!$E$2:$E$766=$A196)/('Weekly Tracker'!$F$2:$F$766&lt;&gt;""),'Weekly Tracker'!$F$2:$F$766),"")</f>
        <v/>
      </c>
      <c r="G196" s="16">
        <f>IF(F196&lt;&gt;"",LOOKUP(2,1/('Weekly Tracker'!$E$2:$E$766=$A196)/('Weekly Tracker'!$F$2:$F$766&lt;&gt;""),'Weekly Tracker'!$G$2:$G$766),"")</f>
        <v/>
      </c>
      <c r="H196" s="9">
        <f>IFERROR(LOOKUP(2,1/('Weekly Tracker'!$E$2:$E$766=$A196)/('Weekly Tracker'!$H$2:$H$766&lt;&gt;""),'Weekly Tracker'!$H$2:$H$766),"")</f>
        <v/>
      </c>
      <c r="I196" s="16">
        <f>IF(H196&lt;&gt;"",LOOKUP(2,1/('Weekly Tracker'!$E$2:$E$766=$A196)/('Weekly Tracker'!$H$2:$H$766&lt;&gt;""),'Weekly Tracker'!$I$2:$I$766),"")</f>
        <v/>
      </c>
      <c r="J196" s="9">
        <f>IFERROR(LOOKUP(2,1/('Weekly Tracker'!$E$2:$E$766=$A196)/('Weekly Tracker'!$J$2:$J$766&lt;&gt;""),'Weekly Tracker'!$J$2:$J$766),"")</f>
        <v/>
      </c>
      <c r="K196" s="9">
        <f>IFERROR(LOOKUP(2,1/('Weekly Tracker'!$E$2:$E$766=$A196)/('Weekly Tracker'!$N$2:$N$766&lt;&gt;""),'Weekly Tracker'!$N$2:$N$766),"")</f>
        <v/>
      </c>
      <c r="L196" s="9">
        <f>IFERROR(LOOKUP(2,1/('Weekly Tracker'!$E$2:$E$766=$A196)/('Weekly Tracker'!$O$2:$O$766&lt;&gt;""),'Weekly Tracker'!$O$2:$O$766),"")</f>
        <v/>
      </c>
    </row>
    <row r="197">
      <c r="A197" s="9" t="inlineStr">
        <is>
          <t>Suresh Bala FB</t>
        </is>
      </c>
      <c r="B197" s="9" t="inlineStr">
        <is>
          <t>9566695764</t>
        </is>
      </c>
      <c r="C197" s="9" t="n"/>
      <c r="D197" s="9" t="n"/>
      <c r="E197" s="9" t="n"/>
      <c r="F197" s="9">
        <f>IFERROR(LOOKUP(2,1/('Weekly Tracker'!$E$2:$E$766=$A197)/('Weekly Tracker'!$F$2:$F$766&lt;&gt;""),'Weekly Tracker'!$F$2:$F$766),"")</f>
        <v/>
      </c>
      <c r="G197" s="16">
        <f>IF(F197&lt;&gt;"",LOOKUP(2,1/('Weekly Tracker'!$E$2:$E$766=$A197)/('Weekly Tracker'!$F$2:$F$766&lt;&gt;""),'Weekly Tracker'!$G$2:$G$766),"")</f>
        <v/>
      </c>
      <c r="H197" s="9">
        <f>IFERROR(LOOKUP(2,1/('Weekly Tracker'!$E$2:$E$766=$A197)/('Weekly Tracker'!$H$2:$H$766&lt;&gt;""),'Weekly Tracker'!$H$2:$H$766),"")</f>
        <v/>
      </c>
      <c r="I197" s="16">
        <f>IF(H197&lt;&gt;"",LOOKUP(2,1/('Weekly Tracker'!$E$2:$E$766=$A197)/('Weekly Tracker'!$H$2:$H$766&lt;&gt;""),'Weekly Tracker'!$I$2:$I$766),"")</f>
        <v/>
      </c>
      <c r="J197" s="9">
        <f>IFERROR(LOOKUP(2,1/('Weekly Tracker'!$E$2:$E$766=$A197)/('Weekly Tracker'!$J$2:$J$766&lt;&gt;""),'Weekly Tracker'!$J$2:$J$766),"")</f>
        <v/>
      </c>
      <c r="K197" s="9">
        <f>IFERROR(LOOKUP(2,1/('Weekly Tracker'!$E$2:$E$766=$A197)/('Weekly Tracker'!$N$2:$N$766&lt;&gt;""),'Weekly Tracker'!$N$2:$N$766),"")</f>
        <v/>
      </c>
      <c r="L197" s="9">
        <f>IFERROR(LOOKUP(2,1/('Weekly Tracker'!$E$2:$E$766=$A197)/('Weekly Tracker'!$O$2:$O$766&lt;&gt;""),'Weekly Tracker'!$O$2:$O$766),"")</f>
        <v/>
      </c>
    </row>
    <row r="198">
      <c r="A198" s="9" t="inlineStr">
        <is>
          <t>Kumar Grp Ucen</t>
        </is>
      </c>
      <c r="B198" s="9" t="inlineStr">
        <is>
          <t>918056567965</t>
        </is>
      </c>
      <c r="C198" s="9" t="n"/>
      <c r="D198" s="9" t="n"/>
      <c r="E198" s="9" t="n"/>
      <c r="F198" s="9">
        <f>IFERROR(LOOKUP(2,1/('Weekly Tracker'!$E$2:$E$766=$A198)/('Weekly Tracker'!$F$2:$F$766&lt;&gt;""),'Weekly Tracker'!$F$2:$F$766),"")</f>
        <v/>
      </c>
      <c r="G198" s="16">
        <f>IF(F198&lt;&gt;"",LOOKUP(2,1/('Weekly Tracker'!$E$2:$E$766=$A198)/('Weekly Tracker'!$F$2:$F$766&lt;&gt;""),'Weekly Tracker'!$G$2:$G$766),"")</f>
        <v/>
      </c>
      <c r="H198" s="9">
        <f>IFERROR(LOOKUP(2,1/('Weekly Tracker'!$E$2:$E$766=$A198)/('Weekly Tracker'!$H$2:$H$766&lt;&gt;""),'Weekly Tracker'!$H$2:$H$766),"")</f>
        <v/>
      </c>
      <c r="I198" s="16">
        <f>IF(H198&lt;&gt;"",LOOKUP(2,1/('Weekly Tracker'!$E$2:$E$766=$A198)/('Weekly Tracker'!$H$2:$H$766&lt;&gt;""),'Weekly Tracker'!$I$2:$I$766),"")</f>
        <v/>
      </c>
      <c r="J198" s="9">
        <f>IFERROR(LOOKUP(2,1/('Weekly Tracker'!$E$2:$E$766=$A198)/('Weekly Tracker'!$J$2:$J$766&lt;&gt;""),'Weekly Tracker'!$J$2:$J$766),"")</f>
        <v/>
      </c>
      <c r="K198" s="9">
        <f>IFERROR(LOOKUP(2,1/('Weekly Tracker'!$E$2:$E$766=$A198)/('Weekly Tracker'!$N$2:$N$766&lt;&gt;""),'Weekly Tracker'!$N$2:$N$766),"")</f>
        <v/>
      </c>
      <c r="L198" s="9">
        <f>IFERROR(LOOKUP(2,1/('Weekly Tracker'!$E$2:$E$766=$A198)/('Weekly Tracker'!$O$2:$O$766&lt;&gt;""),'Weekly Tracker'!$O$2:$O$766),"")</f>
        <v/>
      </c>
    </row>
    <row r="199">
      <c r="A199" s="9" t="inlineStr">
        <is>
          <t>Diliphan Urja</t>
        </is>
      </c>
      <c r="B199" s="9" t="inlineStr">
        <is>
          <t>918056284063</t>
        </is>
      </c>
      <c r="C199" s="9" t="n"/>
      <c r="D199" s="9" t="n"/>
      <c r="E199" s="9" t="n"/>
      <c r="F199" s="9">
        <f>IFERROR(LOOKUP(2,1/('Weekly Tracker'!$E$2:$E$766=$A199)/('Weekly Tracker'!$F$2:$F$766&lt;&gt;""),'Weekly Tracker'!$F$2:$F$766),"")</f>
        <v/>
      </c>
      <c r="G199" s="16">
        <f>IF(F199&lt;&gt;"",LOOKUP(2,1/('Weekly Tracker'!$E$2:$E$766=$A199)/('Weekly Tracker'!$F$2:$F$766&lt;&gt;""),'Weekly Tracker'!$G$2:$G$766),"")</f>
        <v/>
      </c>
      <c r="H199" s="9">
        <f>IFERROR(LOOKUP(2,1/('Weekly Tracker'!$E$2:$E$766=$A199)/('Weekly Tracker'!$H$2:$H$766&lt;&gt;""),'Weekly Tracker'!$H$2:$H$766),"")</f>
        <v/>
      </c>
      <c r="I199" s="16">
        <f>IF(H199&lt;&gt;"",LOOKUP(2,1/('Weekly Tracker'!$E$2:$E$766=$A199)/('Weekly Tracker'!$H$2:$H$766&lt;&gt;""),'Weekly Tracker'!$I$2:$I$766),"")</f>
        <v/>
      </c>
      <c r="J199" s="9">
        <f>IFERROR(LOOKUP(2,1/('Weekly Tracker'!$E$2:$E$766=$A199)/('Weekly Tracker'!$J$2:$J$766&lt;&gt;""),'Weekly Tracker'!$J$2:$J$766),"")</f>
        <v/>
      </c>
      <c r="K199" s="9">
        <f>IFERROR(LOOKUP(2,1/('Weekly Tracker'!$E$2:$E$766=$A199)/('Weekly Tracker'!$N$2:$N$766&lt;&gt;""),'Weekly Tracker'!$N$2:$N$766),"")</f>
        <v/>
      </c>
      <c r="L199" s="9">
        <f>IFERROR(LOOKUP(2,1/('Weekly Tracker'!$E$2:$E$766=$A199)/('Weekly Tracker'!$O$2:$O$766&lt;&gt;""),'Weekly Tracker'!$O$2:$O$766),"")</f>
        <v/>
      </c>
    </row>
    <row r="200">
      <c r="A200" s="9" t="inlineStr">
        <is>
          <t>JOHN VICTOR Loa photography</t>
        </is>
      </c>
      <c r="B200" s="9" t="inlineStr">
        <is>
          <t>919597243239</t>
        </is>
      </c>
      <c r="C200" s="9" t="n"/>
      <c r="D200" s="9" t="n"/>
      <c r="E200" s="9" t="n"/>
      <c r="F200" s="9">
        <f>IFERROR(LOOKUP(2,1/('Weekly Tracker'!$E$2:$E$766=$A200)/('Weekly Tracker'!$F$2:$F$766&lt;&gt;""),'Weekly Tracker'!$F$2:$F$766),"")</f>
        <v/>
      </c>
      <c r="G200" s="16">
        <f>IF(F200&lt;&gt;"",LOOKUP(2,1/('Weekly Tracker'!$E$2:$E$766=$A200)/('Weekly Tracker'!$F$2:$F$766&lt;&gt;""),'Weekly Tracker'!$G$2:$G$766),"")</f>
        <v/>
      </c>
      <c r="H200" s="9">
        <f>IFERROR(LOOKUP(2,1/('Weekly Tracker'!$E$2:$E$766=$A200)/('Weekly Tracker'!$H$2:$H$766&lt;&gt;""),'Weekly Tracker'!$H$2:$H$766),"")</f>
        <v/>
      </c>
      <c r="I200" s="16">
        <f>IF(H200&lt;&gt;"",LOOKUP(2,1/('Weekly Tracker'!$E$2:$E$766=$A200)/('Weekly Tracker'!$H$2:$H$766&lt;&gt;""),'Weekly Tracker'!$I$2:$I$766),"")</f>
        <v/>
      </c>
      <c r="J200" s="9">
        <f>IFERROR(LOOKUP(2,1/('Weekly Tracker'!$E$2:$E$766=$A200)/('Weekly Tracker'!$J$2:$J$766&lt;&gt;""),'Weekly Tracker'!$J$2:$J$766),"")</f>
        <v/>
      </c>
      <c r="K200" s="9">
        <f>IFERROR(LOOKUP(2,1/('Weekly Tracker'!$E$2:$E$766=$A200)/('Weekly Tracker'!$N$2:$N$766&lt;&gt;""),'Weekly Tracker'!$N$2:$N$766),"")</f>
        <v/>
      </c>
      <c r="L200" s="9">
        <f>IFERROR(LOOKUP(2,1/('Weekly Tracker'!$E$2:$E$766=$A200)/('Weekly Tracker'!$O$2:$O$766&lt;&gt;""),'Weekly Tracker'!$O$2:$O$766),"")</f>
        <v/>
      </c>
    </row>
    <row r="201">
      <c r="A201" s="9" t="inlineStr">
        <is>
          <t>Muthu Kumaran FB</t>
        </is>
      </c>
      <c r="B201" s="9" t="inlineStr">
        <is>
          <t>6586227300</t>
        </is>
      </c>
      <c r="C201" s="9" t="n"/>
      <c r="D201" s="9" t="n"/>
      <c r="E201" s="9" t="n"/>
      <c r="F201" s="9">
        <f>IFERROR(LOOKUP(2,1/('Weekly Tracker'!$E$2:$E$766=$A201)/('Weekly Tracker'!$F$2:$F$766&lt;&gt;""),'Weekly Tracker'!$F$2:$F$766),"")</f>
        <v/>
      </c>
      <c r="G201" s="16">
        <f>IF(F201&lt;&gt;"",LOOKUP(2,1/('Weekly Tracker'!$E$2:$E$766=$A201)/('Weekly Tracker'!$F$2:$F$766&lt;&gt;""),'Weekly Tracker'!$G$2:$G$766),"")</f>
        <v/>
      </c>
      <c r="H201" s="9">
        <f>IFERROR(LOOKUP(2,1/('Weekly Tracker'!$E$2:$E$766=$A201)/('Weekly Tracker'!$H$2:$H$766&lt;&gt;""),'Weekly Tracker'!$H$2:$H$766),"")</f>
        <v/>
      </c>
      <c r="I201" s="16">
        <f>IF(H201&lt;&gt;"",LOOKUP(2,1/('Weekly Tracker'!$E$2:$E$766=$A201)/('Weekly Tracker'!$H$2:$H$766&lt;&gt;""),'Weekly Tracker'!$I$2:$I$766),"")</f>
        <v/>
      </c>
      <c r="J201" s="9">
        <f>IFERROR(LOOKUP(2,1/('Weekly Tracker'!$E$2:$E$766=$A201)/('Weekly Tracker'!$J$2:$J$766&lt;&gt;""),'Weekly Tracker'!$J$2:$J$766),"")</f>
        <v/>
      </c>
      <c r="K201" s="9">
        <f>IFERROR(LOOKUP(2,1/('Weekly Tracker'!$E$2:$E$766=$A201)/('Weekly Tracker'!$N$2:$N$766&lt;&gt;""),'Weekly Tracker'!$N$2:$N$766),"")</f>
        <v/>
      </c>
      <c r="L201" s="9">
        <f>IFERROR(LOOKUP(2,1/('Weekly Tracker'!$E$2:$E$766=$A201)/('Weekly Tracker'!$O$2:$O$766&lt;&gt;""),'Weekly Tracker'!$O$2:$O$766),"")</f>
        <v/>
      </c>
    </row>
    <row r="202">
      <c r="A202" s="9" t="inlineStr">
        <is>
          <t>Jamlee ECE</t>
        </is>
      </c>
      <c r="B202" s="9" t="inlineStr">
        <is>
          <t>447424262358</t>
        </is>
      </c>
      <c r="C202" s="9" t="n"/>
      <c r="D202" s="9" t="n"/>
      <c r="E202" s="9" t="n"/>
      <c r="F202" s="9">
        <f>IFERROR(LOOKUP(2,1/('Weekly Tracker'!$E$2:$E$766=$A202)/('Weekly Tracker'!$F$2:$F$766&lt;&gt;""),'Weekly Tracker'!$F$2:$F$766),"")</f>
        <v/>
      </c>
      <c r="G202" s="16">
        <f>IF(F202&lt;&gt;"",LOOKUP(2,1/('Weekly Tracker'!$E$2:$E$766=$A202)/('Weekly Tracker'!$F$2:$F$766&lt;&gt;""),'Weekly Tracker'!$G$2:$G$766),"")</f>
        <v/>
      </c>
      <c r="H202" s="9">
        <f>IFERROR(LOOKUP(2,1/('Weekly Tracker'!$E$2:$E$766=$A202)/('Weekly Tracker'!$H$2:$H$766&lt;&gt;""),'Weekly Tracker'!$H$2:$H$766),"")</f>
        <v/>
      </c>
      <c r="I202" s="16">
        <f>IF(H202&lt;&gt;"",LOOKUP(2,1/('Weekly Tracker'!$E$2:$E$766=$A202)/('Weekly Tracker'!$H$2:$H$766&lt;&gt;""),'Weekly Tracker'!$I$2:$I$766),"")</f>
        <v/>
      </c>
      <c r="J202" s="9">
        <f>IFERROR(LOOKUP(2,1/('Weekly Tracker'!$E$2:$E$766=$A202)/('Weekly Tracker'!$J$2:$J$766&lt;&gt;""),'Weekly Tracker'!$J$2:$J$766),"")</f>
        <v/>
      </c>
      <c r="K202" s="9">
        <f>IFERROR(LOOKUP(2,1/('Weekly Tracker'!$E$2:$E$766=$A202)/('Weekly Tracker'!$N$2:$N$766&lt;&gt;""),'Weekly Tracker'!$N$2:$N$766),"")</f>
        <v/>
      </c>
      <c r="L202" s="9">
        <f>IFERROR(LOOKUP(2,1/('Weekly Tracker'!$E$2:$E$766=$A202)/('Weekly Tracker'!$O$2:$O$766&lt;&gt;""),'Weekly Tracker'!$O$2:$O$766),"")</f>
        <v/>
      </c>
    </row>
    <row r="203">
      <c r="A203" s="9" t="inlineStr">
        <is>
          <t>Altren Ganthasamy FB</t>
        </is>
      </c>
      <c r="B203" s="9" t="inlineStr">
        <is>
          <t>916379245062</t>
        </is>
      </c>
      <c r="C203" s="9" t="n"/>
      <c r="D203" s="9" t="n"/>
      <c r="E203" s="9" t="n"/>
      <c r="F203" s="9">
        <f>IFERROR(LOOKUP(2,1/('Weekly Tracker'!$E$2:$E$766=$A203)/('Weekly Tracker'!$F$2:$F$766&lt;&gt;""),'Weekly Tracker'!$F$2:$F$766),"")</f>
        <v/>
      </c>
      <c r="G203" s="16">
        <f>IF(F203&lt;&gt;"",LOOKUP(2,1/('Weekly Tracker'!$E$2:$E$766=$A203)/('Weekly Tracker'!$F$2:$F$766&lt;&gt;""),'Weekly Tracker'!$G$2:$G$766),"")</f>
        <v/>
      </c>
      <c r="H203" s="9">
        <f>IFERROR(LOOKUP(2,1/('Weekly Tracker'!$E$2:$E$766=$A203)/('Weekly Tracker'!$H$2:$H$766&lt;&gt;""),'Weekly Tracker'!$H$2:$H$766),"")</f>
        <v/>
      </c>
      <c r="I203" s="16">
        <f>IF(H203&lt;&gt;"",LOOKUP(2,1/('Weekly Tracker'!$E$2:$E$766=$A203)/('Weekly Tracker'!$H$2:$H$766&lt;&gt;""),'Weekly Tracker'!$I$2:$I$766),"")</f>
        <v/>
      </c>
      <c r="J203" s="9">
        <f>IFERROR(LOOKUP(2,1/('Weekly Tracker'!$E$2:$E$766=$A203)/('Weekly Tracker'!$J$2:$J$766&lt;&gt;""),'Weekly Tracker'!$J$2:$J$766),"")</f>
        <v/>
      </c>
      <c r="K203" s="9">
        <f>IFERROR(LOOKUP(2,1/('Weekly Tracker'!$E$2:$E$766=$A203)/('Weekly Tracker'!$N$2:$N$766&lt;&gt;""),'Weekly Tracker'!$N$2:$N$766),"")</f>
        <v/>
      </c>
      <c r="L203" s="9">
        <f>IFERROR(LOOKUP(2,1/('Weekly Tracker'!$E$2:$E$766=$A203)/('Weekly Tracker'!$O$2:$O$766&lt;&gt;""),'Weekly Tracker'!$O$2:$O$766),"")</f>
        <v/>
      </c>
    </row>
    <row r="204">
      <c r="A204" s="9" t="inlineStr">
        <is>
          <t>Maris Palani Vel Fb</t>
        </is>
      </c>
      <c r="B204" s="9" t="inlineStr">
        <is>
          <t>919087331392</t>
        </is>
      </c>
      <c r="C204" s="9" t="n"/>
      <c r="D204" s="9" t="n"/>
      <c r="E204" s="9" t="n"/>
      <c r="F204" s="9">
        <f>IFERROR(LOOKUP(2,1/('Weekly Tracker'!$E$2:$E$766=$A204)/('Weekly Tracker'!$F$2:$F$766&lt;&gt;""),'Weekly Tracker'!$F$2:$F$766),"")</f>
        <v/>
      </c>
      <c r="G204" s="16">
        <f>IF(F204&lt;&gt;"",LOOKUP(2,1/('Weekly Tracker'!$E$2:$E$766=$A204)/('Weekly Tracker'!$F$2:$F$766&lt;&gt;""),'Weekly Tracker'!$G$2:$G$766),"")</f>
        <v/>
      </c>
      <c r="H204" s="9">
        <f>IFERROR(LOOKUP(2,1/('Weekly Tracker'!$E$2:$E$766=$A204)/('Weekly Tracker'!$H$2:$H$766&lt;&gt;""),'Weekly Tracker'!$H$2:$H$766),"")</f>
        <v/>
      </c>
      <c r="I204" s="16">
        <f>IF(H204&lt;&gt;"",LOOKUP(2,1/('Weekly Tracker'!$E$2:$E$766=$A204)/('Weekly Tracker'!$H$2:$H$766&lt;&gt;""),'Weekly Tracker'!$I$2:$I$766),"")</f>
        <v/>
      </c>
      <c r="J204" s="9">
        <f>IFERROR(LOOKUP(2,1/('Weekly Tracker'!$E$2:$E$766=$A204)/('Weekly Tracker'!$J$2:$J$766&lt;&gt;""),'Weekly Tracker'!$J$2:$J$766),"")</f>
        <v/>
      </c>
      <c r="K204" s="9">
        <f>IFERROR(LOOKUP(2,1/('Weekly Tracker'!$E$2:$E$766=$A204)/('Weekly Tracker'!$N$2:$N$766&lt;&gt;""),'Weekly Tracker'!$N$2:$N$766),"")</f>
        <v/>
      </c>
      <c r="L204" s="9">
        <f>IFERROR(LOOKUP(2,1/('Weekly Tracker'!$E$2:$E$766=$A204)/('Weekly Tracker'!$O$2:$O$766&lt;&gt;""),'Weekly Tracker'!$O$2:$O$766),"")</f>
        <v/>
      </c>
    </row>
    <row r="205">
      <c r="A205" s="9" t="inlineStr">
        <is>
          <t>Idea Music</t>
        </is>
      </c>
      <c r="B205" s="9" t="inlineStr">
        <is>
          <t>543-213</t>
        </is>
      </c>
      <c r="C205" s="9" t="n"/>
      <c r="D205" s="9" t="n"/>
      <c r="E205" s="9" t="n"/>
      <c r="F205" s="9">
        <f>IFERROR(LOOKUP(2,1/('Weekly Tracker'!$E$2:$E$766=$A205)/('Weekly Tracker'!$F$2:$F$766&lt;&gt;""),'Weekly Tracker'!$F$2:$F$766),"")</f>
        <v/>
      </c>
      <c r="G205" s="16">
        <f>IF(F205&lt;&gt;"",LOOKUP(2,1/('Weekly Tracker'!$E$2:$E$766=$A205)/('Weekly Tracker'!$F$2:$F$766&lt;&gt;""),'Weekly Tracker'!$G$2:$G$766),"")</f>
        <v/>
      </c>
      <c r="H205" s="9">
        <f>IFERROR(LOOKUP(2,1/('Weekly Tracker'!$E$2:$E$766=$A205)/('Weekly Tracker'!$H$2:$H$766&lt;&gt;""),'Weekly Tracker'!$H$2:$H$766),"")</f>
        <v/>
      </c>
      <c r="I205" s="16">
        <f>IF(H205&lt;&gt;"",LOOKUP(2,1/('Weekly Tracker'!$E$2:$E$766=$A205)/('Weekly Tracker'!$H$2:$H$766&lt;&gt;""),'Weekly Tracker'!$I$2:$I$766),"")</f>
        <v/>
      </c>
      <c r="J205" s="9">
        <f>IFERROR(LOOKUP(2,1/('Weekly Tracker'!$E$2:$E$766=$A205)/('Weekly Tracker'!$J$2:$J$766&lt;&gt;""),'Weekly Tracker'!$J$2:$J$766),"")</f>
        <v/>
      </c>
      <c r="K205" s="9">
        <f>IFERROR(LOOKUP(2,1/('Weekly Tracker'!$E$2:$E$766=$A205)/('Weekly Tracker'!$N$2:$N$766&lt;&gt;""),'Weekly Tracker'!$N$2:$N$766),"")</f>
        <v/>
      </c>
      <c r="L205" s="9">
        <f>IFERROR(LOOKUP(2,1/('Weekly Tracker'!$E$2:$E$766=$A205)/('Weekly Tracker'!$O$2:$O$766&lt;&gt;""),'Weekly Tracker'!$O$2:$O$766),"")</f>
        <v/>
      </c>
    </row>
    <row r="206">
      <c r="A206" s="9" t="inlineStr">
        <is>
          <t>Thangaraj Padiyan FB</t>
        </is>
      </c>
      <c r="B206" s="9" t="inlineStr">
        <is>
          <t>9500364474</t>
        </is>
      </c>
      <c r="C206" s="9" t="n"/>
      <c r="D206" s="9" t="n"/>
      <c r="E206" s="9" t="n"/>
      <c r="F206" s="9">
        <f>IFERROR(LOOKUP(2,1/('Weekly Tracker'!$E$2:$E$766=$A206)/('Weekly Tracker'!$F$2:$F$766&lt;&gt;""),'Weekly Tracker'!$F$2:$F$766),"")</f>
        <v/>
      </c>
      <c r="G206" s="16">
        <f>IF(F206&lt;&gt;"",LOOKUP(2,1/('Weekly Tracker'!$E$2:$E$766=$A206)/('Weekly Tracker'!$F$2:$F$766&lt;&gt;""),'Weekly Tracker'!$G$2:$G$766),"")</f>
        <v/>
      </c>
      <c r="H206" s="9">
        <f>IFERROR(LOOKUP(2,1/('Weekly Tracker'!$E$2:$E$766=$A206)/('Weekly Tracker'!$H$2:$H$766&lt;&gt;""),'Weekly Tracker'!$H$2:$H$766),"")</f>
        <v/>
      </c>
      <c r="I206" s="16">
        <f>IF(H206&lt;&gt;"",LOOKUP(2,1/('Weekly Tracker'!$E$2:$E$766=$A206)/('Weekly Tracker'!$H$2:$H$766&lt;&gt;""),'Weekly Tracker'!$I$2:$I$766),"")</f>
        <v/>
      </c>
      <c r="J206" s="9">
        <f>IFERROR(LOOKUP(2,1/('Weekly Tracker'!$E$2:$E$766=$A206)/('Weekly Tracker'!$J$2:$J$766&lt;&gt;""),'Weekly Tracker'!$J$2:$J$766),"")</f>
        <v/>
      </c>
      <c r="K206" s="9">
        <f>IFERROR(LOOKUP(2,1/('Weekly Tracker'!$E$2:$E$766=$A206)/('Weekly Tracker'!$N$2:$N$766&lt;&gt;""),'Weekly Tracker'!$N$2:$N$766),"")</f>
        <v/>
      </c>
      <c r="L206" s="9">
        <f>IFERROR(LOOKUP(2,1/('Weekly Tracker'!$E$2:$E$766=$A206)/('Weekly Tracker'!$O$2:$O$766&lt;&gt;""),'Weekly Tracker'!$O$2:$O$766),"")</f>
        <v/>
      </c>
    </row>
    <row r="207">
      <c r="A207" s="9" t="inlineStr">
        <is>
          <t>Padmaja@PJ LOA</t>
        </is>
      </c>
      <c r="B207" s="9" t="inlineStr">
        <is>
          <t>919003040840</t>
        </is>
      </c>
      <c r="C207" s="9" t="n"/>
      <c r="D207" s="9" t="n"/>
      <c r="E207" s="9" t="n"/>
      <c r="F207" s="9">
        <f>IFERROR(LOOKUP(2,1/('Weekly Tracker'!$E$2:$E$766=$A207)/('Weekly Tracker'!$F$2:$F$766&lt;&gt;""),'Weekly Tracker'!$F$2:$F$766),"")</f>
        <v/>
      </c>
      <c r="G207" s="16">
        <f>IF(F207&lt;&gt;"",LOOKUP(2,1/('Weekly Tracker'!$E$2:$E$766=$A207)/('Weekly Tracker'!$F$2:$F$766&lt;&gt;""),'Weekly Tracker'!$G$2:$G$766),"")</f>
        <v/>
      </c>
      <c r="H207" s="9">
        <f>IFERROR(LOOKUP(2,1/('Weekly Tracker'!$E$2:$E$766=$A207)/('Weekly Tracker'!$H$2:$H$766&lt;&gt;""),'Weekly Tracker'!$H$2:$H$766),"")</f>
        <v/>
      </c>
      <c r="I207" s="16">
        <f>IF(H207&lt;&gt;"",LOOKUP(2,1/('Weekly Tracker'!$E$2:$E$766=$A207)/('Weekly Tracker'!$H$2:$H$766&lt;&gt;""),'Weekly Tracker'!$I$2:$I$766),"")</f>
        <v/>
      </c>
      <c r="J207" s="9">
        <f>IFERROR(LOOKUP(2,1/('Weekly Tracker'!$E$2:$E$766=$A207)/('Weekly Tracker'!$J$2:$J$766&lt;&gt;""),'Weekly Tracker'!$J$2:$J$766),"")</f>
        <v/>
      </c>
      <c r="K207" s="9">
        <f>IFERROR(LOOKUP(2,1/('Weekly Tracker'!$E$2:$E$766=$A207)/('Weekly Tracker'!$N$2:$N$766&lt;&gt;""),'Weekly Tracker'!$N$2:$N$766),"")</f>
        <v/>
      </c>
      <c r="L207" s="9">
        <f>IFERROR(LOOKUP(2,1/('Weekly Tracker'!$E$2:$E$766=$A207)/('Weekly Tracker'!$O$2:$O$766&lt;&gt;""),'Weekly Tracker'!$O$2:$O$766),"")</f>
        <v/>
      </c>
    </row>
    <row r="208">
      <c r="A208" s="9" t="inlineStr">
        <is>
          <t>Veda Manikam FB</t>
        </is>
      </c>
      <c r="B208" s="9" t="inlineStr">
        <is>
          <t>9842503275</t>
        </is>
      </c>
      <c r="C208" s="9" t="n"/>
      <c r="D208" s="9" t="n"/>
      <c r="E208" s="9" t="n"/>
      <c r="F208" s="9">
        <f>IFERROR(LOOKUP(2,1/('Weekly Tracker'!$E$2:$E$766=$A208)/('Weekly Tracker'!$F$2:$F$766&lt;&gt;""),'Weekly Tracker'!$F$2:$F$766),"")</f>
        <v/>
      </c>
      <c r="G208" s="16">
        <f>IF(F208&lt;&gt;"",LOOKUP(2,1/('Weekly Tracker'!$E$2:$E$766=$A208)/('Weekly Tracker'!$F$2:$F$766&lt;&gt;""),'Weekly Tracker'!$G$2:$G$766),"")</f>
        <v/>
      </c>
      <c r="H208" s="9">
        <f>IFERROR(LOOKUP(2,1/('Weekly Tracker'!$E$2:$E$766=$A208)/('Weekly Tracker'!$H$2:$H$766&lt;&gt;""),'Weekly Tracker'!$H$2:$H$766),"")</f>
        <v/>
      </c>
      <c r="I208" s="16">
        <f>IF(H208&lt;&gt;"",LOOKUP(2,1/('Weekly Tracker'!$E$2:$E$766=$A208)/('Weekly Tracker'!$H$2:$H$766&lt;&gt;""),'Weekly Tracker'!$I$2:$I$766),"")</f>
        <v/>
      </c>
      <c r="J208" s="9">
        <f>IFERROR(LOOKUP(2,1/('Weekly Tracker'!$E$2:$E$766=$A208)/('Weekly Tracker'!$J$2:$J$766&lt;&gt;""),'Weekly Tracker'!$J$2:$J$766),"")</f>
        <v/>
      </c>
      <c r="K208" s="9">
        <f>IFERROR(LOOKUP(2,1/('Weekly Tracker'!$E$2:$E$766=$A208)/('Weekly Tracker'!$N$2:$N$766&lt;&gt;""),'Weekly Tracker'!$N$2:$N$766),"")</f>
        <v/>
      </c>
      <c r="L208" s="9">
        <f>IFERROR(LOOKUP(2,1/('Weekly Tracker'!$E$2:$E$766=$A208)/('Weekly Tracker'!$O$2:$O$766&lt;&gt;""),'Weekly Tracker'!$O$2:$O$766),"")</f>
        <v/>
      </c>
    </row>
    <row r="209">
      <c r="A209" s="9" t="inlineStr">
        <is>
          <t>Sabarash Sabari FB</t>
        </is>
      </c>
      <c r="B209" s="9" t="inlineStr">
        <is>
          <t>9080081309</t>
        </is>
      </c>
      <c r="C209" s="9" t="n"/>
      <c r="D209" s="9" t="n"/>
      <c r="E209" s="9" t="n"/>
      <c r="F209" s="9">
        <f>IFERROR(LOOKUP(2,1/('Weekly Tracker'!$E$2:$E$766=$A209)/('Weekly Tracker'!$F$2:$F$766&lt;&gt;""),'Weekly Tracker'!$F$2:$F$766),"")</f>
        <v/>
      </c>
      <c r="G209" s="16">
        <f>IF(F209&lt;&gt;"",LOOKUP(2,1/('Weekly Tracker'!$E$2:$E$766=$A209)/('Weekly Tracker'!$F$2:$F$766&lt;&gt;""),'Weekly Tracker'!$G$2:$G$766),"")</f>
        <v/>
      </c>
      <c r="H209" s="9">
        <f>IFERROR(LOOKUP(2,1/('Weekly Tracker'!$E$2:$E$766=$A209)/('Weekly Tracker'!$H$2:$H$766&lt;&gt;""),'Weekly Tracker'!$H$2:$H$766),"")</f>
        <v/>
      </c>
      <c r="I209" s="16">
        <f>IF(H209&lt;&gt;"",LOOKUP(2,1/('Weekly Tracker'!$E$2:$E$766=$A209)/('Weekly Tracker'!$H$2:$H$766&lt;&gt;""),'Weekly Tracker'!$I$2:$I$766),"")</f>
        <v/>
      </c>
      <c r="J209" s="9">
        <f>IFERROR(LOOKUP(2,1/('Weekly Tracker'!$E$2:$E$766=$A209)/('Weekly Tracker'!$J$2:$J$766&lt;&gt;""),'Weekly Tracker'!$J$2:$J$766),"")</f>
        <v/>
      </c>
      <c r="K209" s="9">
        <f>IFERROR(LOOKUP(2,1/('Weekly Tracker'!$E$2:$E$766=$A209)/('Weekly Tracker'!$N$2:$N$766&lt;&gt;""),'Weekly Tracker'!$N$2:$N$766),"")</f>
        <v/>
      </c>
      <c r="L209" s="9">
        <f>IFERROR(LOOKUP(2,1/('Weekly Tracker'!$E$2:$E$766=$A209)/('Weekly Tracker'!$O$2:$O$766&lt;&gt;""),'Weekly Tracker'!$O$2:$O$766),"")</f>
        <v/>
      </c>
    </row>
    <row r="210">
      <c r="A210" s="9" t="inlineStr">
        <is>
          <t>Hari Haran FB</t>
        </is>
      </c>
      <c r="B210" s="9" t="inlineStr">
        <is>
          <t>9597202529</t>
        </is>
      </c>
      <c r="C210" s="9" t="n"/>
      <c r="D210" s="9" t="n"/>
      <c r="E210" s="9" t="n"/>
      <c r="F210" s="9">
        <f>IFERROR(LOOKUP(2,1/('Weekly Tracker'!$E$2:$E$766=$A210)/('Weekly Tracker'!$F$2:$F$766&lt;&gt;""),'Weekly Tracker'!$F$2:$F$766),"")</f>
        <v/>
      </c>
      <c r="G210" s="16">
        <f>IF(F210&lt;&gt;"",LOOKUP(2,1/('Weekly Tracker'!$E$2:$E$766=$A210)/('Weekly Tracker'!$F$2:$F$766&lt;&gt;""),'Weekly Tracker'!$G$2:$G$766),"")</f>
        <v/>
      </c>
      <c r="H210" s="9">
        <f>IFERROR(LOOKUP(2,1/('Weekly Tracker'!$E$2:$E$766=$A210)/('Weekly Tracker'!$H$2:$H$766&lt;&gt;""),'Weekly Tracker'!$H$2:$H$766),"")</f>
        <v/>
      </c>
      <c r="I210" s="16">
        <f>IF(H210&lt;&gt;"",LOOKUP(2,1/('Weekly Tracker'!$E$2:$E$766=$A210)/('Weekly Tracker'!$H$2:$H$766&lt;&gt;""),'Weekly Tracker'!$I$2:$I$766),"")</f>
        <v/>
      </c>
      <c r="J210" s="9">
        <f>IFERROR(LOOKUP(2,1/('Weekly Tracker'!$E$2:$E$766=$A210)/('Weekly Tracker'!$J$2:$J$766&lt;&gt;""),'Weekly Tracker'!$J$2:$J$766),"")</f>
        <v/>
      </c>
      <c r="K210" s="9">
        <f>IFERROR(LOOKUP(2,1/('Weekly Tracker'!$E$2:$E$766=$A210)/('Weekly Tracker'!$N$2:$N$766&lt;&gt;""),'Weekly Tracker'!$N$2:$N$766),"")</f>
        <v/>
      </c>
      <c r="L210" s="9">
        <f>IFERROR(LOOKUP(2,1/('Weekly Tracker'!$E$2:$E$766=$A210)/('Weekly Tracker'!$O$2:$O$766&lt;&gt;""),'Weekly Tracker'!$O$2:$O$766),"")</f>
        <v/>
      </c>
    </row>
    <row r="211">
      <c r="A211" s="9" t="inlineStr">
        <is>
          <t>Anand Ucen</t>
        </is>
      </c>
      <c r="B211" s="9" t="inlineStr">
        <is>
          <t>918667427346</t>
        </is>
      </c>
      <c r="C211" s="9" t="n"/>
      <c r="D211" s="9" t="n"/>
      <c r="E211" s="9" t="n"/>
      <c r="F211" s="9">
        <f>IFERROR(LOOKUP(2,1/('Weekly Tracker'!$E$2:$E$766=$A211)/('Weekly Tracker'!$F$2:$F$766&lt;&gt;""),'Weekly Tracker'!$F$2:$F$766),"")</f>
        <v/>
      </c>
      <c r="G211" s="16">
        <f>IF(F211&lt;&gt;"",LOOKUP(2,1/('Weekly Tracker'!$E$2:$E$766=$A211)/('Weekly Tracker'!$F$2:$F$766&lt;&gt;""),'Weekly Tracker'!$G$2:$G$766),"")</f>
        <v/>
      </c>
      <c r="H211" s="9">
        <f>IFERROR(LOOKUP(2,1/('Weekly Tracker'!$E$2:$E$766=$A211)/('Weekly Tracker'!$H$2:$H$766&lt;&gt;""),'Weekly Tracker'!$H$2:$H$766),"")</f>
        <v/>
      </c>
      <c r="I211" s="16">
        <f>IF(H211&lt;&gt;"",LOOKUP(2,1/('Weekly Tracker'!$E$2:$E$766=$A211)/('Weekly Tracker'!$H$2:$H$766&lt;&gt;""),'Weekly Tracker'!$I$2:$I$766),"")</f>
        <v/>
      </c>
      <c r="J211" s="9">
        <f>IFERROR(LOOKUP(2,1/('Weekly Tracker'!$E$2:$E$766=$A211)/('Weekly Tracker'!$J$2:$J$766&lt;&gt;""),'Weekly Tracker'!$J$2:$J$766),"")</f>
        <v/>
      </c>
      <c r="K211" s="9">
        <f>IFERROR(LOOKUP(2,1/('Weekly Tracker'!$E$2:$E$766=$A211)/('Weekly Tracker'!$N$2:$N$766&lt;&gt;""),'Weekly Tracker'!$N$2:$N$766),"")</f>
        <v/>
      </c>
      <c r="L211" s="9">
        <f>IFERROR(LOOKUP(2,1/('Weekly Tracker'!$E$2:$E$766=$A211)/('Weekly Tracker'!$O$2:$O$766&lt;&gt;""),'Weekly Tracker'!$O$2:$O$766),"")</f>
        <v/>
      </c>
    </row>
    <row r="212">
      <c r="A212" s="9" t="inlineStr">
        <is>
          <t>David Idi</t>
        </is>
      </c>
      <c r="B212" s="9" t="inlineStr">
        <is>
          <t>917708223283</t>
        </is>
      </c>
      <c r="C212" s="9" t="n"/>
      <c r="D212" s="9" t="n"/>
      <c r="E212" s="9" t="n"/>
      <c r="F212" s="9">
        <f>IFERROR(LOOKUP(2,1/('Weekly Tracker'!$E$2:$E$766=$A212)/('Weekly Tracker'!$F$2:$F$766&lt;&gt;""),'Weekly Tracker'!$F$2:$F$766),"")</f>
        <v/>
      </c>
      <c r="G212" s="16">
        <f>IF(F212&lt;&gt;"",LOOKUP(2,1/('Weekly Tracker'!$E$2:$E$766=$A212)/('Weekly Tracker'!$F$2:$F$766&lt;&gt;""),'Weekly Tracker'!$G$2:$G$766),"")</f>
        <v/>
      </c>
      <c r="H212" s="9">
        <f>IFERROR(LOOKUP(2,1/('Weekly Tracker'!$E$2:$E$766=$A212)/('Weekly Tracker'!$H$2:$H$766&lt;&gt;""),'Weekly Tracker'!$H$2:$H$766),"")</f>
        <v/>
      </c>
      <c r="I212" s="16">
        <f>IF(H212&lt;&gt;"",LOOKUP(2,1/('Weekly Tracker'!$E$2:$E$766=$A212)/('Weekly Tracker'!$H$2:$H$766&lt;&gt;""),'Weekly Tracker'!$I$2:$I$766),"")</f>
        <v/>
      </c>
      <c r="J212" s="9">
        <f>IFERROR(LOOKUP(2,1/('Weekly Tracker'!$E$2:$E$766=$A212)/('Weekly Tracker'!$J$2:$J$766&lt;&gt;""),'Weekly Tracker'!$J$2:$J$766),"")</f>
        <v/>
      </c>
      <c r="K212" s="9">
        <f>IFERROR(LOOKUP(2,1/('Weekly Tracker'!$E$2:$E$766=$A212)/('Weekly Tracker'!$N$2:$N$766&lt;&gt;""),'Weekly Tracker'!$N$2:$N$766),"")</f>
        <v/>
      </c>
      <c r="L212" s="9">
        <f>IFERROR(LOOKUP(2,1/('Weekly Tracker'!$E$2:$E$766=$A212)/('Weekly Tracker'!$O$2:$O$766&lt;&gt;""),'Weekly Tracker'!$O$2:$O$766),"")</f>
        <v/>
      </c>
    </row>
    <row r="213">
      <c r="A213" s="9" t="inlineStr">
        <is>
          <t>Nidhun balaji Grp Ucen</t>
        </is>
      </c>
      <c r="B213" s="9" t="inlineStr">
        <is>
          <t>919487002651</t>
        </is>
      </c>
      <c r="C213" s="9" t="n"/>
      <c r="D213" s="9" t="n"/>
      <c r="E213" s="9" t="n"/>
      <c r="F213" s="9">
        <f>IFERROR(LOOKUP(2,1/('Weekly Tracker'!$E$2:$E$766=$A213)/('Weekly Tracker'!$F$2:$F$766&lt;&gt;""),'Weekly Tracker'!$F$2:$F$766),"")</f>
        <v/>
      </c>
      <c r="G213" s="16">
        <f>IF(F213&lt;&gt;"",LOOKUP(2,1/('Weekly Tracker'!$E$2:$E$766=$A213)/('Weekly Tracker'!$F$2:$F$766&lt;&gt;""),'Weekly Tracker'!$G$2:$G$766),"")</f>
        <v/>
      </c>
      <c r="H213" s="9">
        <f>IFERROR(LOOKUP(2,1/('Weekly Tracker'!$E$2:$E$766=$A213)/('Weekly Tracker'!$H$2:$H$766&lt;&gt;""),'Weekly Tracker'!$H$2:$H$766),"")</f>
        <v/>
      </c>
      <c r="I213" s="16">
        <f>IF(H213&lt;&gt;"",LOOKUP(2,1/('Weekly Tracker'!$E$2:$E$766=$A213)/('Weekly Tracker'!$H$2:$H$766&lt;&gt;""),'Weekly Tracker'!$I$2:$I$766),"")</f>
        <v/>
      </c>
      <c r="J213" s="9">
        <f>IFERROR(LOOKUP(2,1/('Weekly Tracker'!$E$2:$E$766=$A213)/('Weekly Tracker'!$J$2:$J$766&lt;&gt;""),'Weekly Tracker'!$J$2:$J$766),"")</f>
        <v/>
      </c>
      <c r="K213" s="9">
        <f>IFERROR(LOOKUP(2,1/('Weekly Tracker'!$E$2:$E$766=$A213)/('Weekly Tracker'!$N$2:$N$766&lt;&gt;""),'Weekly Tracker'!$N$2:$N$766),"")</f>
        <v/>
      </c>
      <c r="L213" s="9">
        <f>IFERROR(LOOKUP(2,1/('Weekly Tracker'!$E$2:$E$766=$A213)/('Weekly Tracker'!$O$2:$O$766&lt;&gt;""),'Weekly Tracker'!$O$2:$O$766),"")</f>
        <v/>
      </c>
    </row>
    <row r="214">
      <c r="A214" s="9" t="inlineStr">
        <is>
          <t>Sadagopan Sangeetha</t>
        </is>
      </c>
      <c r="B214" s="9" t="inlineStr">
        <is>
          <t>919884146973</t>
        </is>
      </c>
      <c r="C214" s="9" t="n"/>
      <c r="D214" s="9" t="n"/>
      <c r="E214" s="9" t="inlineStr">
        <is>
          <t>Chennai, India</t>
        </is>
      </c>
      <c r="F214" s="9">
        <f>IFERROR(LOOKUP(2,1/('Weekly Tracker'!$E$2:$E$766=$A214)/('Weekly Tracker'!$F$2:$F$766&lt;&gt;""),'Weekly Tracker'!$F$2:$F$766),"")</f>
        <v/>
      </c>
      <c r="G214" s="16">
        <f>IF(F214&lt;&gt;"",LOOKUP(2,1/('Weekly Tracker'!$E$2:$E$766=$A214)/('Weekly Tracker'!$F$2:$F$766&lt;&gt;""),'Weekly Tracker'!$G$2:$G$766),"")</f>
        <v/>
      </c>
      <c r="H214" s="9">
        <f>IFERROR(LOOKUP(2,1/('Weekly Tracker'!$E$2:$E$766=$A214)/('Weekly Tracker'!$H$2:$H$766&lt;&gt;""),'Weekly Tracker'!$H$2:$H$766),"")</f>
        <v/>
      </c>
      <c r="I214" s="16">
        <f>IF(H214&lt;&gt;"",LOOKUP(2,1/('Weekly Tracker'!$E$2:$E$766=$A214)/('Weekly Tracker'!$H$2:$H$766&lt;&gt;""),'Weekly Tracker'!$I$2:$I$766),"")</f>
        <v/>
      </c>
      <c r="J214" s="9">
        <f>IFERROR(LOOKUP(2,1/('Weekly Tracker'!$E$2:$E$766=$A214)/('Weekly Tracker'!$J$2:$J$766&lt;&gt;""),'Weekly Tracker'!$J$2:$J$766),"")</f>
        <v/>
      </c>
      <c r="K214" s="9">
        <f>IFERROR(LOOKUP(2,1/('Weekly Tracker'!$E$2:$E$766=$A214)/('Weekly Tracker'!$N$2:$N$766&lt;&gt;""),'Weekly Tracker'!$N$2:$N$766),"")</f>
        <v/>
      </c>
      <c r="L214" s="9">
        <f>IFERROR(LOOKUP(2,1/('Weekly Tracker'!$E$2:$E$766=$A214)/('Weekly Tracker'!$O$2:$O$766&lt;&gt;""),'Weekly Tracker'!$O$2:$O$766),"")</f>
        <v/>
      </c>
    </row>
    <row r="215">
      <c r="A215" s="9" t="inlineStr">
        <is>
          <t>Mari Raj Civil</t>
        </is>
      </c>
      <c r="B215" s="9" t="inlineStr">
        <is>
          <t>919095826287</t>
        </is>
      </c>
      <c r="C215" s="9" t="n"/>
      <c r="D215" s="9" t="n"/>
      <c r="E215" s="9" t="n"/>
      <c r="F215" s="9">
        <f>IFERROR(LOOKUP(2,1/('Weekly Tracker'!$E$2:$E$766=$A215)/('Weekly Tracker'!$F$2:$F$766&lt;&gt;""),'Weekly Tracker'!$F$2:$F$766),"")</f>
        <v/>
      </c>
      <c r="G215" s="16">
        <f>IF(F215&lt;&gt;"",LOOKUP(2,1/('Weekly Tracker'!$E$2:$E$766=$A215)/('Weekly Tracker'!$F$2:$F$766&lt;&gt;""),'Weekly Tracker'!$G$2:$G$766),"")</f>
        <v/>
      </c>
      <c r="H215" s="9">
        <f>IFERROR(LOOKUP(2,1/('Weekly Tracker'!$E$2:$E$766=$A215)/('Weekly Tracker'!$H$2:$H$766&lt;&gt;""),'Weekly Tracker'!$H$2:$H$766),"")</f>
        <v/>
      </c>
      <c r="I215" s="16">
        <f>IF(H215&lt;&gt;"",LOOKUP(2,1/('Weekly Tracker'!$E$2:$E$766=$A215)/('Weekly Tracker'!$H$2:$H$766&lt;&gt;""),'Weekly Tracker'!$I$2:$I$766),"")</f>
        <v/>
      </c>
      <c r="J215" s="9">
        <f>IFERROR(LOOKUP(2,1/('Weekly Tracker'!$E$2:$E$766=$A215)/('Weekly Tracker'!$J$2:$J$766&lt;&gt;""),'Weekly Tracker'!$J$2:$J$766),"")</f>
        <v/>
      </c>
      <c r="K215" s="9">
        <f>IFERROR(LOOKUP(2,1/('Weekly Tracker'!$E$2:$E$766=$A215)/('Weekly Tracker'!$N$2:$N$766&lt;&gt;""),'Weekly Tracker'!$N$2:$N$766),"")</f>
        <v/>
      </c>
      <c r="L215" s="9">
        <f>IFERROR(LOOKUP(2,1/('Weekly Tracker'!$E$2:$E$766=$A215)/('Weekly Tracker'!$O$2:$O$766&lt;&gt;""),'Weekly Tracker'!$O$2:$O$766),"")</f>
        <v/>
      </c>
    </row>
    <row r="216">
      <c r="A216" s="9" t="inlineStr">
        <is>
          <t>Archie</t>
        </is>
      </c>
      <c r="B216" s="9" t="inlineStr">
        <is>
          <t>+91 96324 65650</t>
        </is>
      </c>
      <c r="C216" s="9" t="n"/>
      <c r="D216" s="9" t="n"/>
      <c r="E216" s="9" t="n"/>
      <c r="F216" s="9">
        <f>IFERROR(LOOKUP(2,1/('Weekly Tracker'!$E$2:$E$766=$A216)/('Weekly Tracker'!$F$2:$F$766&lt;&gt;""),'Weekly Tracker'!$F$2:$F$766),"")</f>
        <v/>
      </c>
      <c r="G216" s="16">
        <f>IF(F216&lt;&gt;"",LOOKUP(2,1/('Weekly Tracker'!$E$2:$E$766=$A216)/('Weekly Tracker'!$F$2:$F$766&lt;&gt;""),'Weekly Tracker'!$G$2:$G$766),"")</f>
        <v/>
      </c>
      <c r="H216" s="9">
        <f>IFERROR(LOOKUP(2,1/('Weekly Tracker'!$E$2:$E$766=$A216)/('Weekly Tracker'!$H$2:$H$766&lt;&gt;""),'Weekly Tracker'!$H$2:$H$766),"")</f>
        <v/>
      </c>
      <c r="I216" s="16">
        <f>IF(H216&lt;&gt;"",LOOKUP(2,1/('Weekly Tracker'!$E$2:$E$766=$A216)/('Weekly Tracker'!$H$2:$H$766&lt;&gt;""),'Weekly Tracker'!$I$2:$I$766),"")</f>
        <v/>
      </c>
      <c r="J216" s="9">
        <f>IFERROR(LOOKUP(2,1/('Weekly Tracker'!$E$2:$E$766=$A216)/('Weekly Tracker'!$J$2:$J$766&lt;&gt;""),'Weekly Tracker'!$J$2:$J$766),"")</f>
        <v/>
      </c>
      <c r="K216" s="9">
        <f>IFERROR(LOOKUP(2,1/('Weekly Tracker'!$E$2:$E$766=$A216)/('Weekly Tracker'!$N$2:$N$766&lt;&gt;""),'Weekly Tracker'!$N$2:$N$766),"")</f>
        <v/>
      </c>
      <c r="L216" s="9">
        <f>IFERROR(LOOKUP(2,1/('Weekly Tracker'!$E$2:$E$766=$A216)/('Weekly Tracker'!$O$2:$O$766&lt;&gt;""),'Weekly Tracker'!$O$2:$O$766),"")</f>
        <v/>
      </c>
    </row>
    <row r="217">
      <c r="A217" s="9" t="inlineStr">
        <is>
          <t>Pothi Murugan Scl</t>
        </is>
      </c>
      <c r="B217" s="9" t="inlineStr">
        <is>
          <t>919095951133</t>
        </is>
      </c>
      <c r="C217" s="9" t="n"/>
      <c r="D217" s="9" t="n"/>
      <c r="E217" s="9" t="n"/>
      <c r="F217" s="9">
        <f>IFERROR(LOOKUP(2,1/('Weekly Tracker'!$E$2:$E$766=$A217)/('Weekly Tracker'!$F$2:$F$766&lt;&gt;""),'Weekly Tracker'!$F$2:$F$766),"")</f>
        <v/>
      </c>
      <c r="G217" s="16">
        <f>IF(F217&lt;&gt;"",LOOKUP(2,1/('Weekly Tracker'!$E$2:$E$766=$A217)/('Weekly Tracker'!$F$2:$F$766&lt;&gt;""),'Weekly Tracker'!$G$2:$G$766),"")</f>
        <v/>
      </c>
      <c r="H217" s="9">
        <f>IFERROR(LOOKUP(2,1/('Weekly Tracker'!$E$2:$E$766=$A217)/('Weekly Tracker'!$H$2:$H$766&lt;&gt;""),'Weekly Tracker'!$H$2:$H$766),"")</f>
        <v/>
      </c>
      <c r="I217" s="16">
        <f>IF(H217&lt;&gt;"",LOOKUP(2,1/('Weekly Tracker'!$E$2:$E$766=$A217)/('Weekly Tracker'!$H$2:$H$766&lt;&gt;""),'Weekly Tracker'!$I$2:$I$766),"")</f>
        <v/>
      </c>
      <c r="J217" s="9">
        <f>IFERROR(LOOKUP(2,1/('Weekly Tracker'!$E$2:$E$766=$A217)/('Weekly Tracker'!$J$2:$J$766&lt;&gt;""),'Weekly Tracker'!$J$2:$J$766),"")</f>
        <v/>
      </c>
      <c r="K217" s="9">
        <f>IFERROR(LOOKUP(2,1/('Weekly Tracker'!$E$2:$E$766=$A217)/('Weekly Tracker'!$N$2:$N$766&lt;&gt;""),'Weekly Tracker'!$N$2:$N$766),"")</f>
        <v/>
      </c>
      <c r="L217" s="9">
        <f>IFERROR(LOOKUP(2,1/('Weekly Tracker'!$E$2:$E$766=$A217)/('Weekly Tracker'!$O$2:$O$766&lt;&gt;""),'Weekly Tracker'!$O$2:$O$766),"")</f>
        <v/>
      </c>
    </row>
    <row r="218">
      <c r="A218" s="9" t="inlineStr">
        <is>
          <t>Karthikeya HCL</t>
        </is>
      </c>
      <c r="B218" s="9" t="inlineStr">
        <is>
          <t>9036281201</t>
        </is>
      </c>
      <c r="C218" s="9" t="n"/>
      <c r="D218" s="9" t="n"/>
      <c r="E218" s="9" t="n"/>
      <c r="F218" s="9">
        <f>IFERROR(LOOKUP(2,1/('Weekly Tracker'!$E$2:$E$766=$A218)/('Weekly Tracker'!$F$2:$F$766&lt;&gt;""),'Weekly Tracker'!$F$2:$F$766),"")</f>
        <v/>
      </c>
      <c r="G218" s="16">
        <f>IF(F218&lt;&gt;"",LOOKUP(2,1/('Weekly Tracker'!$E$2:$E$766=$A218)/('Weekly Tracker'!$F$2:$F$766&lt;&gt;""),'Weekly Tracker'!$G$2:$G$766),"")</f>
        <v/>
      </c>
      <c r="H218" s="9">
        <f>IFERROR(LOOKUP(2,1/('Weekly Tracker'!$E$2:$E$766=$A218)/('Weekly Tracker'!$H$2:$H$766&lt;&gt;""),'Weekly Tracker'!$H$2:$H$766),"")</f>
        <v/>
      </c>
      <c r="I218" s="16">
        <f>IF(H218&lt;&gt;"",LOOKUP(2,1/('Weekly Tracker'!$E$2:$E$766=$A218)/('Weekly Tracker'!$H$2:$H$766&lt;&gt;""),'Weekly Tracker'!$I$2:$I$766),"")</f>
        <v/>
      </c>
      <c r="J218" s="9">
        <f>IFERROR(LOOKUP(2,1/('Weekly Tracker'!$E$2:$E$766=$A218)/('Weekly Tracker'!$J$2:$J$766&lt;&gt;""),'Weekly Tracker'!$J$2:$J$766),"")</f>
        <v/>
      </c>
      <c r="K218" s="9">
        <f>IFERROR(LOOKUP(2,1/('Weekly Tracker'!$E$2:$E$766=$A218)/('Weekly Tracker'!$N$2:$N$766&lt;&gt;""),'Weekly Tracker'!$N$2:$N$766),"")</f>
        <v/>
      </c>
      <c r="L218" s="9">
        <f>IFERROR(LOOKUP(2,1/('Weekly Tracker'!$E$2:$E$766=$A218)/('Weekly Tracker'!$O$2:$O$766&lt;&gt;""),'Weekly Tracker'!$O$2:$O$766),"")</f>
        <v/>
      </c>
    </row>
    <row r="219">
      <c r="A219" s="9" t="inlineStr">
        <is>
          <t>Apoorva Gautam HCL</t>
        </is>
      </c>
      <c r="B219" s="9" t="inlineStr">
        <is>
          <t>7987372370</t>
        </is>
      </c>
      <c r="C219" s="9" t="n"/>
      <c r="D219" s="9" t="n"/>
      <c r="E219" s="9" t="n"/>
      <c r="F219" s="9">
        <f>IFERROR(LOOKUP(2,1/('Weekly Tracker'!$E$2:$E$766=$A219)/('Weekly Tracker'!$F$2:$F$766&lt;&gt;""),'Weekly Tracker'!$F$2:$F$766),"")</f>
        <v/>
      </c>
      <c r="G219" s="16">
        <f>IF(F219&lt;&gt;"",LOOKUP(2,1/('Weekly Tracker'!$E$2:$E$766=$A219)/('Weekly Tracker'!$F$2:$F$766&lt;&gt;""),'Weekly Tracker'!$G$2:$G$766),"")</f>
        <v/>
      </c>
      <c r="H219" s="9">
        <f>IFERROR(LOOKUP(2,1/('Weekly Tracker'!$E$2:$E$766=$A219)/('Weekly Tracker'!$H$2:$H$766&lt;&gt;""),'Weekly Tracker'!$H$2:$H$766),"")</f>
        <v/>
      </c>
      <c r="I219" s="16">
        <f>IF(H219&lt;&gt;"",LOOKUP(2,1/('Weekly Tracker'!$E$2:$E$766=$A219)/('Weekly Tracker'!$H$2:$H$766&lt;&gt;""),'Weekly Tracker'!$I$2:$I$766),"")</f>
        <v/>
      </c>
      <c r="J219" s="9">
        <f>IFERROR(LOOKUP(2,1/('Weekly Tracker'!$E$2:$E$766=$A219)/('Weekly Tracker'!$J$2:$J$766&lt;&gt;""),'Weekly Tracker'!$J$2:$J$766),"")</f>
        <v/>
      </c>
      <c r="K219" s="9">
        <f>IFERROR(LOOKUP(2,1/('Weekly Tracker'!$E$2:$E$766=$A219)/('Weekly Tracker'!$N$2:$N$766&lt;&gt;""),'Weekly Tracker'!$N$2:$N$766),"")</f>
        <v/>
      </c>
      <c r="L219" s="9">
        <f>IFERROR(LOOKUP(2,1/('Weekly Tracker'!$E$2:$E$766=$A219)/('Weekly Tracker'!$O$2:$O$766&lt;&gt;""),'Weekly Tracker'!$O$2:$O$766),"")</f>
        <v/>
      </c>
    </row>
    <row r="220">
      <c r="A220" s="9" t="inlineStr">
        <is>
          <t>Kali Raj Kprm Scl</t>
        </is>
      </c>
      <c r="B220" s="9" t="inlineStr">
        <is>
          <t>919791639126</t>
        </is>
      </c>
      <c r="C220" s="9" t="n"/>
      <c r="D220" s="9" t="n"/>
      <c r="E220" s="9" t="n"/>
      <c r="F220" s="9">
        <f>IFERROR(LOOKUP(2,1/('Weekly Tracker'!$E$2:$E$766=$A220)/('Weekly Tracker'!$F$2:$F$766&lt;&gt;""),'Weekly Tracker'!$F$2:$F$766),"")</f>
        <v/>
      </c>
      <c r="G220" s="16">
        <f>IF(F220&lt;&gt;"",LOOKUP(2,1/('Weekly Tracker'!$E$2:$E$766=$A220)/('Weekly Tracker'!$F$2:$F$766&lt;&gt;""),'Weekly Tracker'!$G$2:$G$766),"")</f>
        <v/>
      </c>
      <c r="H220" s="9">
        <f>IFERROR(LOOKUP(2,1/('Weekly Tracker'!$E$2:$E$766=$A220)/('Weekly Tracker'!$H$2:$H$766&lt;&gt;""),'Weekly Tracker'!$H$2:$H$766),"")</f>
        <v/>
      </c>
      <c r="I220" s="16">
        <f>IF(H220&lt;&gt;"",LOOKUP(2,1/('Weekly Tracker'!$E$2:$E$766=$A220)/('Weekly Tracker'!$H$2:$H$766&lt;&gt;""),'Weekly Tracker'!$I$2:$I$766),"")</f>
        <v/>
      </c>
      <c r="J220" s="9">
        <f>IFERROR(LOOKUP(2,1/('Weekly Tracker'!$E$2:$E$766=$A220)/('Weekly Tracker'!$J$2:$J$766&lt;&gt;""),'Weekly Tracker'!$J$2:$J$766),"")</f>
        <v/>
      </c>
      <c r="K220" s="9">
        <f>IFERROR(LOOKUP(2,1/('Weekly Tracker'!$E$2:$E$766=$A220)/('Weekly Tracker'!$N$2:$N$766&lt;&gt;""),'Weekly Tracker'!$N$2:$N$766),"")</f>
        <v/>
      </c>
      <c r="L220" s="9">
        <f>IFERROR(LOOKUP(2,1/('Weekly Tracker'!$E$2:$E$766=$A220)/('Weekly Tracker'!$O$2:$O$766&lt;&gt;""),'Weekly Tracker'!$O$2:$O$766),"")</f>
        <v/>
      </c>
    </row>
    <row r="221">
      <c r="A221" s="9" t="inlineStr">
        <is>
          <t>ராசா</t>
        </is>
      </c>
      <c r="B221" s="9" t="inlineStr">
        <is>
          <t>918489218328</t>
        </is>
      </c>
      <c r="C221" s="9" t="n"/>
      <c r="D221" s="9" t="n"/>
      <c r="E221" s="9" t="n"/>
      <c r="F221" s="9">
        <f>IFERROR(LOOKUP(2,1/('Weekly Tracker'!$E$2:$E$766=$A221)/('Weekly Tracker'!$F$2:$F$766&lt;&gt;""),'Weekly Tracker'!$F$2:$F$766),"")</f>
        <v/>
      </c>
      <c r="G221" s="16">
        <f>IF(F221&lt;&gt;"",LOOKUP(2,1/('Weekly Tracker'!$E$2:$E$766=$A221)/('Weekly Tracker'!$F$2:$F$766&lt;&gt;""),'Weekly Tracker'!$G$2:$G$766),"")</f>
        <v/>
      </c>
      <c r="H221" s="9">
        <f>IFERROR(LOOKUP(2,1/('Weekly Tracker'!$E$2:$E$766=$A221)/('Weekly Tracker'!$H$2:$H$766&lt;&gt;""),'Weekly Tracker'!$H$2:$H$766),"")</f>
        <v/>
      </c>
      <c r="I221" s="16">
        <f>IF(H221&lt;&gt;"",LOOKUP(2,1/('Weekly Tracker'!$E$2:$E$766=$A221)/('Weekly Tracker'!$H$2:$H$766&lt;&gt;""),'Weekly Tracker'!$I$2:$I$766),"")</f>
        <v/>
      </c>
      <c r="J221" s="9">
        <f>IFERROR(LOOKUP(2,1/('Weekly Tracker'!$E$2:$E$766=$A221)/('Weekly Tracker'!$J$2:$J$766&lt;&gt;""),'Weekly Tracker'!$J$2:$J$766),"")</f>
        <v/>
      </c>
      <c r="K221" s="9">
        <f>IFERROR(LOOKUP(2,1/('Weekly Tracker'!$E$2:$E$766=$A221)/('Weekly Tracker'!$N$2:$N$766&lt;&gt;""),'Weekly Tracker'!$N$2:$N$766),"")</f>
        <v/>
      </c>
      <c r="L221" s="9">
        <f>IFERROR(LOOKUP(2,1/('Weekly Tracker'!$E$2:$E$766=$A221)/('Weekly Tracker'!$O$2:$O$766&lt;&gt;""),'Weekly Tracker'!$O$2:$O$766),"")</f>
        <v/>
      </c>
    </row>
    <row r="222">
      <c r="A222" s="9" t="inlineStr">
        <is>
          <t>Selvin FB</t>
        </is>
      </c>
      <c r="B222" s="9" t="inlineStr">
        <is>
          <t>9944274617</t>
        </is>
      </c>
      <c r="C222" s="9" t="n"/>
      <c r="D222" s="9" t="n"/>
      <c r="E222" s="9" t="n"/>
      <c r="F222" s="9">
        <f>IFERROR(LOOKUP(2,1/('Weekly Tracker'!$E$2:$E$766=$A222)/('Weekly Tracker'!$F$2:$F$766&lt;&gt;""),'Weekly Tracker'!$F$2:$F$766),"")</f>
        <v/>
      </c>
      <c r="G222" s="16">
        <f>IF(F222&lt;&gt;"",LOOKUP(2,1/('Weekly Tracker'!$E$2:$E$766=$A222)/('Weekly Tracker'!$F$2:$F$766&lt;&gt;""),'Weekly Tracker'!$G$2:$G$766),"")</f>
        <v/>
      </c>
      <c r="H222" s="9">
        <f>IFERROR(LOOKUP(2,1/('Weekly Tracker'!$E$2:$E$766=$A222)/('Weekly Tracker'!$H$2:$H$766&lt;&gt;""),'Weekly Tracker'!$H$2:$H$766),"")</f>
        <v/>
      </c>
      <c r="I222" s="16">
        <f>IF(H222&lt;&gt;"",LOOKUP(2,1/('Weekly Tracker'!$E$2:$E$766=$A222)/('Weekly Tracker'!$H$2:$H$766&lt;&gt;""),'Weekly Tracker'!$I$2:$I$766),"")</f>
        <v/>
      </c>
      <c r="J222" s="9">
        <f>IFERROR(LOOKUP(2,1/('Weekly Tracker'!$E$2:$E$766=$A222)/('Weekly Tracker'!$J$2:$J$766&lt;&gt;""),'Weekly Tracker'!$J$2:$J$766),"")</f>
        <v/>
      </c>
      <c r="K222" s="9">
        <f>IFERROR(LOOKUP(2,1/('Weekly Tracker'!$E$2:$E$766=$A222)/('Weekly Tracker'!$N$2:$N$766&lt;&gt;""),'Weekly Tracker'!$N$2:$N$766),"")</f>
        <v/>
      </c>
      <c r="L222" s="9">
        <f>IFERROR(LOOKUP(2,1/('Weekly Tracker'!$E$2:$E$766=$A222)/('Weekly Tracker'!$O$2:$O$766&lt;&gt;""),'Weekly Tracker'!$O$2:$O$766),"")</f>
        <v/>
      </c>
    </row>
    <row r="223">
      <c r="A223" s="9" t="inlineStr">
        <is>
          <t>Jeflin Grp Ucen</t>
        </is>
      </c>
      <c r="B223" s="9" t="inlineStr">
        <is>
          <t>919597180286, 9445180980</t>
        </is>
      </c>
      <c r="C223" s="9" t="n"/>
      <c r="D223" s="9" t="n"/>
      <c r="E223" s="9" t="n"/>
      <c r="F223" s="9">
        <f>IFERROR(LOOKUP(2,1/('Weekly Tracker'!$E$2:$E$766=$A223)/('Weekly Tracker'!$F$2:$F$766&lt;&gt;""),'Weekly Tracker'!$F$2:$F$766),"")</f>
        <v/>
      </c>
      <c r="G223" s="16">
        <f>IF(F223&lt;&gt;"",LOOKUP(2,1/('Weekly Tracker'!$E$2:$E$766=$A223)/('Weekly Tracker'!$F$2:$F$766&lt;&gt;""),'Weekly Tracker'!$G$2:$G$766),"")</f>
        <v/>
      </c>
      <c r="H223" s="9">
        <f>IFERROR(LOOKUP(2,1/('Weekly Tracker'!$E$2:$E$766=$A223)/('Weekly Tracker'!$H$2:$H$766&lt;&gt;""),'Weekly Tracker'!$H$2:$H$766),"")</f>
        <v/>
      </c>
      <c r="I223" s="16">
        <f>IF(H223&lt;&gt;"",LOOKUP(2,1/('Weekly Tracker'!$E$2:$E$766=$A223)/('Weekly Tracker'!$H$2:$H$766&lt;&gt;""),'Weekly Tracker'!$I$2:$I$766),"")</f>
        <v/>
      </c>
      <c r="J223" s="9">
        <f>IFERROR(LOOKUP(2,1/('Weekly Tracker'!$E$2:$E$766=$A223)/('Weekly Tracker'!$J$2:$J$766&lt;&gt;""),'Weekly Tracker'!$J$2:$J$766),"")</f>
        <v/>
      </c>
      <c r="K223" s="9">
        <f>IFERROR(LOOKUP(2,1/('Weekly Tracker'!$E$2:$E$766=$A223)/('Weekly Tracker'!$N$2:$N$766&lt;&gt;""),'Weekly Tracker'!$N$2:$N$766),"")</f>
        <v/>
      </c>
      <c r="L223" s="9">
        <f>IFERROR(LOOKUP(2,1/('Weekly Tracker'!$E$2:$E$766=$A223)/('Weekly Tracker'!$O$2:$O$766&lt;&gt;""),'Weekly Tracker'!$O$2:$O$766),"")</f>
        <v/>
      </c>
    </row>
    <row r="224">
      <c r="A224" s="9" t="inlineStr">
        <is>
          <t>Pravin qs</t>
        </is>
      </c>
      <c r="B224" s="9" t="inlineStr">
        <is>
          <t>919840942211</t>
        </is>
      </c>
      <c r="C224" s="9" t="n"/>
      <c r="D224" s="9" t="n"/>
      <c r="E224" s="9" t="n"/>
      <c r="F224" s="9">
        <f>IFERROR(LOOKUP(2,1/('Weekly Tracker'!$E$2:$E$766=$A224)/('Weekly Tracker'!$F$2:$F$766&lt;&gt;""),'Weekly Tracker'!$F$2:$F$766),"")</f>
        <v/>
      </c>
      <c r="G224" s="16">
        <f>IF(F224&lt;&gt;"",LOOKUP(2,1/('Weekly Tracker'!$E$2:$E$766=$A224)/('Weekly Tracker'!$F$2:$F$766&lt;&gt;""),'Weekly Tracker'!$G$2:$G$766),"")</f>
        <v/>
      </c>
      <c r="H224" s="9">
        <f>IFERROR(LOOKUP(2,1/('Weekly Tracker'!$E$2:$E$766=$A224)/('Weekly Tracker'!$H$2:$H$766&lt;&gt;""),'Weekly Tracker'!$H$2:$H$766),"")</f>
        <v/>
      </c>
      <c r="I224" s="16">
        <f>IF(H224&lt;&gt;"",LOOKUP(2,1/('Weekly Tracker'!$E$2:$E$766=$A224)/('Weekly Tracker'!$H$2:$H$766&lt;&gt;""),'Weekly Tracker'!$I$2:$I$766),"")</f>
        <v/>
      </c>
      <c r="J224" s="9">
        <f>IFERROR(LOOKUP(2,1/('Weekly Tracker'!$E$2:$E$766=$A224)/('Weekly Tracker'!$J$2:$J$766&lt;&gt;""),'Weekly Tracker'!$J$2:$J$766),"")</f>
        <v/>
      </c>
      <c r="K224" s="9">
        <f>IFERROR(LOOKUP(2,1/('Weekly Tracker'!$E$2:$E$766=$A224)/('Weekly Tracker'!$N$2:$N$766&lt;&gt;""),'Weekly Tracker'!$N$2:$N$766),"")</f>
        <v/>
      </c>
      <c r="L224" s="9">
        <f>IFERROR(LOOKUP(2,1/('Weekly Tracker'!$E$2:$E$766=$A224)/('Weekly Tracker'!$O$2:$O$766&lt;&gt;""),'Weekly Tracker'!$O$2:$O$766),"")</f>
        <v/>
      </c>
    </row>
    <row r="225">
      <c r="A225" s="9" t="inlineStr">
        <is>
          <t>SamKumar HCL</t>
        </is>
      </c>
      <c r="B225" s="9" t="inlineStr">
        <is>
          <t>9176737071</t>
        </is>
      </c>
      <c r="C225" s="9" t="n"/>
      <c r="D225" s="9" t="n"/>
      <c r="E225" s="9" t="n"/>
      <c r="F225" s="9">
        <f>IFERROR(LOOKUP(2,1/('Weekly Tracker'!$E$2:$E$766=$A225)/('Weekly Tracker'!$F$2:$F$766&lt;&gt;""),'Weekly Tracker'!$F$2:$F$766),"")</f>
        <v/>
      </c>
      <c r="G225" s="16">
        <f>IF(F225&lt;&gt;"",LOOKUP(2,1/('Weekly Tracker'!$E$2:$E$766=$A225)/('Weekly Tracker'!$F$2:$F$766&lt;&gt;""),'Weekly Tracker'!$G$2:$G$766),"")</f>
        <v/>
      </c>
      <c r="H225" s="9">
        <f>IFERROR(LOOKUP(2,1/('Weekly Tracker'!$E$2:$E$766=$A225)/('Weekly Tracker'!$H$2:$H$766&lt;&gt;""),'Weekly Tracker'!$H$2:$H$766),"")</f>
        <v/>
      </c>
      <c r="I225" s="16">
        <f>IF(H225&lt;&gt;"",LOOKUP(2,1/('Weekly Tracker'!$E$2:$E$766=$A225)/('Weekly Tracker'!$H$2:$H$766&lt;&gt;""),'Weekly Tracker'!$I$2:$I$766),"")</f>
        <v/>
      </c>
      <c r="J225" s="9">
        <f>IFERROR(LOOKUP(2,1/('Weekly Tracker'!$E$2:$E$766=$A225)/('Weekly Tracker'!$J$2:$J$766&lt;&gt;""),'Weekly Tracker'!$J$2:$J$766),"")</f>
        <v/>
      </c>
      <c r="K225" s="9">
        <f>IFERROR(LOOKUP(2,1/('Weekly Tracker'!$E$2:$E$766=$A225)/('Weekly Tracker'!$N$2:$N$766&lt;&gt;""),'Weekly Tracker'!$N$2:$N$766),"")</f>
        <v/>
      </c>
      <c r="L225" s="9">
        <f>IFERROR(LOOKUP(2,1/('Weekly Tracker'!$E$2:$E$766=$A225)/('Weekly Tracker'!$O$2:$O$766&lt;&gt;""),'Weekly Tracker'!$O$2:$O$766),"")</f>
        <v/>
      </c>
    </row>
    <row r="226">
      <c r="A226" s="9" t="inlineStr">
        <is>
          <t>HarishAkhepuriya Painting Infy</t>
        </is>
      </c>
      <c r="B226" s="9" t="inlineStr">
        <is>
          <t>919716299792</t>
        </is>
      </c>
      <c r="C226" s="9" t="n"/>
      <c r="D226" s="9" t="n"/>
      <c r="E226" s="9" t="n"/>
      <c r="F226" s="9">
        <f>IFERROR(LOOKUP(2,1/('Weekly Tracker'!$E$2:$E$766=$A226)/('Weekly Tracker'!$F$2:$F$766&lt;&gt;""),'Weekly Tracker'!$F$2:$F$766),"")</f>
        <v/>
      </c>
      <c r="G226" s="16">
        <f>IF(F226&lt;&gt;"",LOOKUP(2,1/('Weekly Tracker'!$E$2:$E$766=$A226)/('Weekly Tracker'!$F$2:$F$766&lt;&gt;""),'Weekly Tracker'!$G$2:$G$766),"")</f>
        <v/>
      </c>
      <c r="H226" s="9">
        <f>IFERROR(LOOKUP(2,1/('Weekly Tracker'!$E$2:$E$766=$A226)/('Weekly Tracker'!$H$2:$H$766&lt;&gt;""),'Weekly Tracker'!$H$2:$H$766),"")</f>
        <v/>
      </c>
      <c r="I226" s="16">
        <f>IF(H226&lt;&gt;"",LOOKUP(2,1/('Weekly Tracker'!$E$2:$E$766=$A226)/('Weekly Tracker'!$H$2:$H$766&lt;&gt;""),'Weekly Tracker'!$I$2:$I$766),"")</f>
        <v/>
      </c>
      <c r="J226" s="9">
        <f>IFERROR(LOOKUP(2,1/('Weekly Tracker'!$E$2:$E$766=$A226)/('Weekly Tracker'!$J$2:$J$766&lt;&gt;""),'Weekly Tracker'!$J$2:$J$766),"")</f>
        <v/>
      </c>
      <c r="K226" s="9">
        <f>IFERROR(LOOKUP(2,1/('Weekly Tracker'!$E$2:$E$766=$A226)/('Weekly Tracker'!$N$2:$N$766&lt;&gt;""),'Weekly Tracker'!$N$2:$N$766),"")</f>
        <v/>
      </c>
      <c r="L226" s="9">
        <f>IFERROR(LOOKUP(2,1/('Weekly Tracker'!$E$2:$E$766=$A226)/('Weekly Tracker'!$O$2:$O$766&lt;&gt;""),'Weekly Tracker'!$O$2:$O$766),"")</f>
        <v/>
      </c>
    </row>
    <row r="227">
      <c r="A227" s="9" t="inlineStr">
        <is>
          <t>Manimaran Scl</t>
        </is>
      </c>
      <c r="B227" s="9" t="inlineStr">
        <is>
          <t>8248943921, 971567638390</t>
        </is>
      </c>
      <c r="C227" s="9" t="n"/>
      <c r="D227" s="9" t="n"/>
      <c r="E227" s="9" t="n"/>
      <c r="F227" s="9">
        <f>IFERROR(LOOKUP(2,1/('Weekly Tracker'!$E$2:$E$766=$A227)/('Weekly Tracker'!$F$2:$F$766&lt;&gt;""),'Weekly Tracker'!$F$2:$F$766),"")</f>
        <v/>
      </c>
      <c r="G227" s="16">
        <f>IF(F227&lt;&gt;"",LOOKUP(2,1/('Weekly Tracker'!$E$2:$E$766=$A227)/('Weekly Tracker'!$F$2:$F$766&lt;&gt;""),'Weekly Tracker'!$G$2:$G$766),"")</f>
        <v/>
      </c>
      <c r="H227" s="9">
        <f>IFERROR(LOOKUP(2,1/('Weekly Tracker'!$E$2:$E$766=$A227)/('Weekly Tracker'!$H$2:$H$766&lt;&gt;""),'Weekly Tracker'!$H$2:$H$766),"")</f>
        <v/>
      </c>
      <c r="I227" s="16">
        <f>IF(H227&lt;&gt;"",LOOKUP(2,1/('Weekly Tracker'!$E$2:$E$766=$A227)/('Weekly Tracker'!$H$2:$H$766&lt;&gt;""),'Weekly Tracker'!$I$2:$I$766),"")</f>
        <v/>
      </c>
      <c r="J227" s="9">
        <f>IFERROR(LOOKUP(2,1/('Weekly Tracker'!$E$2:$E$766=$A227)/('Weekly Tracker'!$J$2:$J$766&lt;&gt;""),'Weekly Tracker'!$J$2:$J$766),"")</f>
        <v/>
      </c>
      <c r="K227" s="9">
        <f>IFERROR(LOOKUP(2,1/('Weekly Tracker'!$E$2:$E$766=$A227)/('Weekly Tracker'!$N$2:$N$766&lt;&gt;""),'Weekly Tracker'!$N$2:$N$766),"")</f>
        <v/>
      </c>
      <c r="L227" s="9">
        <f>IFERROR(LOOKUP(2,1/('Weekly Tracker'!$E$2:$E$766=$A227)/('Weekly Tracker'!$O$2:$O$766&lt;&gt;""),'Weekly Tracker'!$O$2:$O$766),"")</f>
        <v/>
      </c>
    </row>
    <row r="228">
      <c r="A228" s="9" t="inlineStr">
        <is>
          <t>Froja Firoz Grp</t>
        </is>
      </c>
      <c r="B228" s="9" t="inlineStr">
        <is>
          <t>919994090708</t>
        </is>
      </c>
      <c r="C228" s="9" t="n"/>
      <c r="D228" s="9" t="n"/>
      <c r="E228" s="9" t="n"/>
      <c r="F228" s="9">
        <f>IFERROR(LOOKUP(2,1/('Weekly Tracker'!$E$2:$E$766=$A228)/('Weekly Tracker'!$F$2:$F$766&lt;&gt;""),'Weekly Tracker'!$F$2:$F$766),"")</f>
        <v/>
      </c>
      <c r="G228" s="16">
        <f>IF(F228&lt;&gt;"",LOOKUP(2,1/('Weekly Tracker'!$E$2:$E$766=$A228)/('Weekly Tracker'!$F$2:$F$766&lt;&gt;""),'Weekly Tracker'!$G$2:$G$766),"")</f>
        <v/>
      </c>
      <c r="H228" s="9">
        <f>IFERROR(LOOKUP(2,1/('Weekly Tracker'!$E$2:$E$766=$A228)/('Weekly Tracker'!$H$2:$H$766&lt;&gt;""),'Weekly Tracker'!$H$2:$H$766),"")</f>
        <v/>
      </c>
      <c r="I228" s="16">
        <f>IF(H228&lt;&gt;"",LOOKUP(2,1/('Weekly Tracker'!$E$2:$E$766=$A228)/('Weekly Tracker'!$H$2:$H$766&lt;&gt;""),'Weekly Tracker'!$I$2:$I$766),"")</f>
        <v/>
      </c>
      <c r="J228" s="9">
        <f>IFERROR(LOOKUP(2,1/('Weekly Tracker'!$E$2:$E$766=$A228)/('Weekly Tracker'!$J$2:$J$766&lt;&gt;""),'Weekly Tracker'!$J$2:$J$766),"")</f>
        <v/>
      </c>
      <c r="K228" s="9">
        <f>IFERROR(LOOKUP(2,1/('Weekly Tracker'!$E$2:$E$766=$A228)/('Weekly Tracker'!$N$2:$N$766&lt;&gt;""),'Weekly Tracker'!$N$2:$N$766),"")</f>
        <v/>
      </c>
      <c r="L228" s="9">
        <f>IFERROR(LOOKUP(2,1/('Weekly Tracker'!$E$2:$E$766=$A228)/('Weekly Tracker'!$O$2:$O$766&lt;&gt;""),'Weekly Tracker'!$O$2:$O$766),"")</f>
        <v/>
      </c>
    </row>
    <row r="229">
      <c r="A229" s="9" t="inlineStr">
        <is>
          <t>Omega Jayaram</t>
        </is>
      </c>
      <c r="B229" s="9" t="inlineStr">
        <is>
          <t>919840048467</t>
        </is>
      </c>
      <c r="C229" s="9" t="n"/>
      <c r="D229" s="9" t="n"/>
      <c r="E229" s="9" t="n"/>
      <c r="F229" s="9">
        <f>IFERROR(LOOKUP(2,1/('Weekly Tracker'!$E$2:$E$766=$A229)/('Weekly Tracker'!$F$2:$F$766&lt;&gt;""),'Weekly Tracker'!$F$2:$F$766),"")</f>
        <v/>
      </c>
      <c r="G229" s="16">
        <f>IF(F229&lt;&gt;"",LOOKUP(2,1/('Weekly Tracker'!$E$2:$E$766=$A229)/('Weekly Tracker'!$F$2:$F$766&lt;&gt;""),'Weekly Tracker'!$G$2:$G$766),"")</f>
        <v/>
      </c>
      <c r="H229" s="9">
        <f>IFERROR(LOOKUP(2,1/('Weekly Tracker'!$E$2:$E$766=$A229)/('Weekly Tracker'!$H$2:$H$766&lt;&gt;""),'Weekly Tracker'!$H$2:$H$766),"")</f>
        <v/>
      </c>
      <c r="I229" s="16">
        <f>IF(H229&lt;&gt;"",LOOKUP(2,1/('Weekly Tracker'!$E$2:$E$766=$A229)/('Weekly Tracker'!$H$2:$H$766&lt;&gt;""),'Weekly Tracker'!$I$2:$I$766),"")</f>
        <v/>
      </c>
      <c r="J229" s="9">
        <f>IFERROR(LOOKUP(2,1/('Weekly Tracker'!$E$2:$E$766=$A229)/('Weekly Tracker'!$J$2:$J$766&lt;&gt;""),'Weekly Tracker'!$J$2:$J$766),"")</f>
        <v/>
      </c>
      <c r="K229" s="9">
        <f>IFERROR(LOOKUP(2,1/('Weekly Tracker'!$E$2:$E$766=$A229)/('Weekly Tracker'!$N$2:$N$766&lt;&gt;""),'Weekly Tracker'!$N$2:$N$766),"")</f>
        <v/>
      </c>
      <c r="L229" s="9">
        <f>IFERROR(LOOKUP(2,1/('Weekly Tracker'!$E$2:$E$766=$A229)/('Weekly Tracker'!$O$2:$O$766&lt;&gt;""),'Weekly Tracker'!$O$2:$O$766),"")</f>
        <v/>
      </c>
    </row>
    <row r="230">
      <c r="A230" s="9" t="inlineStr">
        <is>
          <t>Abishake Thilak FB</t>
        </is>
      </c>
      <c r="B230" s="9" t="inlineStr">
        <is>
          <t>918807356494</t>
        </is>
      </c>
      <c r="C230" s="9" t="n"/>
      <c r="D230" s="9" t="n"/>
      <c r="E230" s="9" t="n"/>
      <c r="F230" s="9">
        <f>IFERROR(LOOKUP(2,1/('Weekly Tracker'!$E$2:$E$766=$A230)/('Weekly Tracker'!$F$2:$F$766&lt;&gt;""),'Weekly Tracker'!$F$2:$F$766),"")</f>
        <v/>
      </c>
      <c r="G230" s="16">
        <f>IF(F230&lt;&gt;"",LOOKUP(2,1/('Weekly Tracker'!$E$2:$E$766=$A230)/('Weekly Tracker'!$F$2:$F$766&lt;&gt;""),'Weekly Tracker'!$G$2:$G$766),"")</f>
        <v/>
      </c>
      <c r="H230" s="9">
        <f>IFERROR(LOOKUP(2,1/('Weekly Tracker'!$E$2:$E$766=$A230)/('Weekly Tracker'!$H$2:$H$766&lt;&gt;""),'Weekly Tracker'!$H$2:$H$766),"")</f>
        <v/>
      </c>
      <c r="I230" s="16">
        <f>IF(H230&lt;&gt;"",LOOKUP(2,1/('Weekly Tracker'!$E$2:$E$766=$A230)/('Weekly Tracker'!$H$2:$H$766&lt;&gt;""),'Weekly Tracker'!$I$2:$I$766),"")</f>
        <v/>
      </c>
      <c r="J230" s="9">
        <f>IFERROR(LOOKUP(2,1/('Weekly Tracker'!$E$2:$E$766=$A230)/('Weekly Tracker'!$J$2:$J$766&lt;&gt;""),'Weekly Tracker'!$J$2:$J$766),"")</f>
        <v/>
      </c>
      <c r="K230" s="9">
        <f>IFERROR(LOOKUP(2,1/('Weekly Tracker'!$E$2:$E$766=$A230)/('Weekly Tracker'!$N$2:$N$766&lt;&gt;""),'Weekly Tracker'!$N$2:$N$766),"")</f>
        <v/>
      </c>
      <c r="L230" s="9">
        <f>IFERROR(LOOKUP(2,1/('Weekly Tracker'!$E$2:$E$766=$A230)/('Weekly Tracker'!$O$2:$O$766&lt;&gt;""),'Weekly Tracker'!$O$2:$O$766),"")</f>
        <v/>
      </c>
    </row>
    <row r="231">
      <c r="A231" s="9" t="inlineStr">
        <is>
          <t>VembuRajan Kprm</t>
        </is>
      </c>
      <c r="B231" s="9" t="inlineStr">
        <is>
          <t>919566964307</t>
        </is>
      </c>
      <c r="C231" s="9" t="n"/>
      <c r="D231" s="9" t="n"/>
      <c r="E231" s="9" t="n"/>
      <c r="F231" s="9">
        <f>IFERROR(LOOKUP(2,1/('Weekly Tracker'!$E$2:$E$766=$A231)/('Weekly Tracker'!$F$2:$F$766&lt;&gt;""),'Weekly Tracker'!$F$2:$F$766),"")</f>
        <v/>
      </c>
      <c r="G231" s="16">
        <f>IF(F231&lt;&gt;"",LOOKUP(2,1/('Weekly Tracker'!$E$2:$E$766=$A231)/('Weekly Tracker'!$F$2:$F$766&lt;&gt;""),'Weekly Tracker'!$G$2:$G$766),"")</f>
        <v/>
      </c>
      <c r="H231" s="9">
        <f>IFERROR(LOOKUP(2,1/('Weekly Tracker'!$E$2:$E$766=$A231)/('Weekly Tracker'!$H$2:$H$766&lt;&gt;""),'Weekly Tracker'!$H$2:$H$766),"")</f>
        <v/>
      </c>
      <c r="I231" s="16">
        <f>IF(H231&lt;&gt;"",LOOKUP(2,1/('Weekly Tracker'!$E$2:$E$766=$A231)/('Weekly Tracker'!$H$2:$H$766&lt;&gt;""),'Weekly Tracker'!$I$2:$I$766),"")</f>
        <v/>
      </c>
      <c r="J231" s="9">
        <f>IFERROR(LOOKUP(2,1/('Weekly Tracker'!$E$2:$E$766=$A231)/('Weekly Tracker'!$J$2:$J$766&lt;&gt;""),'Weekly Tracker'!$J$2:$J$766),"")</f>
        <v/>
      </c>
      <c r="K231" s="9">
        <f>IFERROR(LOOKUP(2,1/('Weekly Tracker'!$E$2:$E$766=$A231)/('Weekly Tracker'!$N$2:$N$766&lt;&gt;""),'Weekly Tracker'!$N$2:$N$766),"")</f>
        <v/>
      </c>
      <c r="L231" s="9">
        <f>IFERROR(LOOKUP(2,1/('Weekly Tracker'!$E$2:$E$766=$A231)/('Weekly Tracker'!$O$2:$O$766&lt;&gt;""),'Weekly Tracker'!$O$2:$O$766),"")</f>
        <v/>
      </c>
    </row>
    <row r="232">
      <c r="A232" s="9" t="inlineStr">
        <is>
          <t>Ligeshwaran FB</t>
        </is>
      </c>
      <c r="B232" s="9" t="inlineStr">
        <is>
          <t>9739965150</t>
        </is>
      </c>
      <c r="C232" s="9" t="n"/>
      <c r="D232" s="9" t="n"/>
      <c r="E232" s="9" t="n"/>
      <c r="F232" s="9">
        <f>IFERROR(LOOKUP(2,1/('Weekly Tracker'!$E$2:$E$766=$A232)/('Weekly Tracker'!$F$2:$F$766&lt;&gt;""),'Weekly Tracker'!$F$2:$F$766),"")</f>
        <v/>
      </c>
      <c r="G232" s="16">
        <f>IF(F232&lt;&gt;"",LOOKUP(2,1/('Weekly Tracker'!$E$2:$E$766=$A232)/('Weekly Tracker'!$F$2:$F$766&lt;&gt;""),'Weekly Tracker'!$G$2:$G$766),"")</f>
        <v/>
      </c>
      <c r="H232" s="9">
        <f>IFERROR(LOOKUP(2,1/('Weekly Tracker'!$E$2:$E$766=$A232)/('Weekly Tracker'!$H$2:$H$766&lt;&gt;""),'Weekly Tracker'!$H$2:$H$766),"")</f>
        <v/>
      </c>
      <c r="I232" s="16">
        <f>IF(H232&lt;&gt;"",LOOKUP(2,1/('Weekly Tracker'!$E$2:$E$766=$A232)/('Weekly Tracker'!$H$2:$H$766&lt;&gt;""),'Weekly Tracker'!$I$2:$I$766),"")</f>
        <v/>
      </c>
      <c r="J232" s="9">
        <f>IFERROR(LOOKUP(2,1/('Weekly Tracker'!$E$2:$E$766=$A232)/('Weekly Tracker'!$J$2:$J$766&lt;&gt;""),'Weekly Tracker'!$J$2:$J$766),"")</f>
        <v/>
      </c>
      <c r="K232" s="9">
        <f>IFERROR(LOOKUP(2,1/('Weekly Tracker'!$E$2:$E$766=$A232)/('Weekly Tracker'!$N$2:$N$766&lt;&gt;""),'Weekly Tracker'!$N$2:$N$766),"")</f>
        <v/>
      </c>
      <c r="L232" s="9">
        <f>IFERROR(LOOKUP(2,1/('Weekly Tracker'!$E$2:$E$766=$A232)/('Weekly Tracker'!$O$2:$O$766&lt;&gt;""),'Weekly Tracker'!$O$2:$O$766),"")</f>
        <v/>
      </c>
    </row>
    <row r="233">
      <c r="A233" s="9" t="inlineStr">
        <is>
          <t>Mani Kprm Scl</t>
        </is>
      </c>
      <c r="B233" s="9" t="inlineStr">
        <is>
          <t>919655177429</t>
        </is>
      </c>
      <c r="C233" s="9" t="n"/>
      <c r="D233" s="9" t="n"/>
      <c r="E233" s="9" t="n"/>
      <c r="F233" s="9">
        <f>IFERROR(LOOKUP(2,1/('Weekly Tracker'!$E$2:$E$766=$A233)/('Weekly Tracker'!$F$2:$F$766&lt;&gt;""),'Weekly Tracker'!$F$2:$F$766),"")</f>
        <v/>
      </c>
      <c r="G233" s="16">
        <f>IF(F233&lt;&gt;"",LOOKUP(2,1/('Weekly Tracker'!$E$2:$E$766=$A233)/('Weekly Tracker'!$F$2:$F$766&lt;&gt;""),'Weekly Tracker'!$G$2:$G$766),"")</f>
        <v/>
      </c>
      <c r="H233" s="9">
        <f>IFERROR(LOOKUP(2,1/('Weekly Tracker'!$E$2:$E$766=$A233)/('Weekly Tracker'!$H$2:$H$766&lt;&gt;""),'Weekly Tracker'!$H$2:$H$766),"")</f>
        <v/>
      </c>
      <c r="I233" s="16">
        <f>IF(H233&lt;&gt;"",LOOKUP(2,1/('Weekly Tracker'!$E$2:$E$766=$A233)/('Weekly Tracker'!$H$2:$H$766&lt;&gt;""),'Weekly Tracker'!$I$2:$I$766),"")</f>
        <v/>
      </c>
      <c r="J233" s="9">
        <f>IFERROR(LOOKUP(2,1/('Weekly Tracker'!$E$2:$E$766=$A233)/('Weekly Tracker'!$J$2:$J$766&lt;&gt;""),'Weekly Tracker'!$J$2:$J$766),"")</f>
        <v/>
      </c>
      <c r="K233" s="9">
        <f>IFERROR(LOOKUP(2,1/('Weekly Tracker'!$E$2:$E$766=$A233)/('Weekly Tracker'!$N$2:$N$766&lt;&gt;""),'Weekly Tracker'!$N$2:$N$766),"")</f>
        <v/>
      </c>
      <c r="L233" s="9">
        <f>IFERROR(LOOKUP(2,1/('Weekly Tracker'!$E$2:$E$766=$A233)/('Weekly Tracker'!$O$2:$O$766&lt;&gt;""),'Weekly Tracker'!$O$2:$O$766),"")</f>
        <v/>
      </c>
    </row>
    <row r="234">
      <c r="A234" s="9" t="inlineStr">
        <is>
          <t>Jawmin Jaswa Insta</t>
        </is>
      </c>
      <c r="B234" s="9" t="inlineStr">
        <is>
          <t>9486358935</t>
        </is>
      </c>
      <c r="C234" s="9" t="n"/>
      <c r="D234" s="9" t="n"/>
      <c r="E234" s="9" t="n"/>
      <c r="F234" s="9">
        <f>IFERROR(LOOKUP(2,1/('Weekly Tracker'!$E$2:$E$766=$A234)/('Weekly Tracker'!$F$2:$F$766&lt;&gt;""),'Weekly Tracker'!$F$2:$F$766),"")</f>
        <v/>
      </c>
      <c r="G234" s="16">
        <f>IF(F234&lt;&gt;"",LOOKUP(2,1/('Weekly Tracker'!$E$2:$E$766=$A234)/('Weekly Tracker'!$F$2:$F$766&lt;&gt;""),'Weekly Tracker'!$G$2:$G$766),"")</f>
        <v/>
      </c>
      <c r="H234" s="9">
        <f>IFERROR(LOOKUP(2,1/('Weekly Tracker'!$E$2:$E$766=$A234)/('Weekly Tracker'!$H$2:$H$766&lt;&gt;""),'Weekly Tracker'!$H$2:$H$766),"")</f>
        <v/>
      </c>
      <c r="I234" s="16">
        <f>IF(H234&lt;&gt;"",LOOKUP(2,1/('Weekly Tracker'!$E$2:$E$766=$A234)/('Weekly Tracker'!$H$2:$H$766&lt;&gt;""),'Weekly Tracker'!$I$2:$I$766),"")</f>
        <v/>
      </c>
      <c r="J234" s="9">
        <f>IFERROR(LOOKUP(2,1/('Weekly Tracker'!$E$2:$E$766=$A234)/('Weekly Tracker'!$J$2:$J$766&lt;&gt;""),'Weekly Tracker'!$J$2:$J$766),"")</f>
        <v/>
      </c>
      <c r="K234" s="9">
        <f>IFERROR(LOOKUP(2,1/('Weekly Tracker'!$E$2:$E$766=$A234)/('Weekly Tracker'!$N$2:$N$766&lt;&gt;""),'Weekly Tracker'!$N$2:$N$766),"")</f>
        <v/>
      </c>
      <c r="L234" s="9">
        <f>IFERROR(LOOKUP(2,1/('Weekly Tracker'!$E$2:$E$766=$A234)/('Weekly Tracker'!$O$2:$O$766&lt;&gt;""),'Weekly Tracker'!$O$2:$O$766),"")</f>
        <v/>
      </c>
    </row>
    <row r="235">
      <c r="A235" s="9" t="inlineStr">
        <is>
          <t>Fredic Trouche</t>
        </is>
      </c>
      <c r="B235" s="9" t="inlineStr">
        <is>
          <t>+33 (0) 6 41 66 52 03</t>
        </is>
      </c>
      <c r="C235" s="9" t="n"/>
      <c r="D235" s="9" t="n"/>
      <c r="E235" s="9" t="n"/>
      <c r="F235" s="9">
        <f>IFERROR(LOOKUP(2,1/('Weekly Tracker'!$E$2:$E$766=$A235)/('Weekly Tracker'!$F$2:$F$766&lt;&gt;""),'Weekly Tracker'!$F$2:$F$766),"")</f>
        <v/>
      </c>
      <c r="G235" s="16">
        <f>IF(F235&lt;&gt;"",LOOKUP(2,1/('Weekly Tracker'!$E$2:$E$766=$A235)/('Weekly Tracker'!$F$2:$F$766&lt;&gt;""),'Weekly Tracker'!$G$2:$G$766),"")</f>
        <v/>
      </c>
      <c r="H235" s="9">
        <f>IFERROR(LOOKUP(2,1/('Weekly Tracker'!$E$2:$E$766=$A235)/('Weekly Tracker'!$H$2:$H$766&lt;&gt;""),'Weekly Tracker'!$H$2:$H$766),"")</f>
        <v/>
      </c>
      <c r="I235" s="16">
        <f>IF(H235&lt;&gt;"",LOOKUP(2,1/('Weekly Tracker'!$E$2:$E$766=$A235)/('Weekly Tracker'!$H$2:$H$766&lt;&gt;""),'Weekly Tracker'!$I$2:$I$766),"")</f>
        <v/>
      </c>
      <c r="J235" s="9">
        <f>IFERROR(LOOKUP(2,1/('Weekly Tracker'!$E$2:$E$766=$A235)/('Weekly Tracker'!$J$2:$J$766&lt;&gt;""),'Weekly Tracker'!$J$2:$J$766),"")</f>
        <v/>
      </c>
      <c r="K235" s="9">
        <f>IFERROR(LOOKUP(2,1/('Weekly Tracker'!$E$2:$E$766=$A235)/('Weekly Tracker'!$N$2:$N$766&lt;&gt;""),'Weekly Tracker'!$N$2:$N$766),"")</f>
        <v/>
      </c>
      <c r="L235" s="9">
        <f>IFERROR(LOOKUP(2,1/('Weekly Tracker'!$E$2:$E$766=$A235)/('Weekly Tracker'!$O$2:$O$766&lt;&gt;""),'Weekly Tracker'!$O$2:$O$766),"")</f>
        <v/>
      </c>
    </row>
    <row r="236">
      <c r="A236" s="9" t="inlineStr">
        <is>
          <t>Karthi Junior</t>
        </is>
      </c>
      <c r="B236" s="9" t="inlineStr">
        <is>
          <t>919994644256</t>
        </is>
      </c>
      <c r="C236" s="9" t="n"/>
      <c r="D236" s="9" t="n"/>
      <c r="E236" s="9" t="n"/>
      <c r="F236" s="9">
        <f>IFERROR(LOOKUP(2,1/('Weekly Tracker'!$E$2:$E$766=$A236)/('Weekly Tracker'!$F$2:$F$766&lt;&gt;""),'Weekly Tracker'!$F$2:$F$766),"")</f>
        <v/>
      </c>
      <c r="G236" s="16">
        <f>IF(F236&lt;&gt;"",LOOKUP(2,1/('Weekly Tracker'!$E$2:$E$766=$A236)/('Weekly Tracker'!$F$2:$F$766&lt;&gt;""),'Weekly Tracker'!$G$2:$G$766),"")</f>
        <v/>
      </c>
      <c r="H236" s="9">
        <f>IFERROR(LOOKUP(2,1/('Weekly Tracker'!$E$2:$E$766=$A236)/('Weekly Tracker'!$H$2:$H$766&lt;&gt;""),'Weekly Tracker'!$H$2:$H$766),"")</f>
        <v/>
      </c>
      <c r="I236" s="16">
        <f>IF(H236&lt;&gt;"",LOOKUP(2,1/('Weekly Tracker'!$E$2:$E$766=$A236)/('Weekly Tracker'!$H$2:$H$766&lt;&gt;""),'Weekly Tracker'!$I$2:$I$766),"")</f>
        <v/>
      </c>
      <c r="J236" s="9">
        <f>IFERROR(LOOKUP(2,1/('Weekly Tracker'!$E$2:$E$766=$A236)/('Weekly Tracker'!$J$2:$J$766&lt;&gt;""),'Weekly Tracker'!$J$2:$J$766),"")</f>
        <v/>
      </c>
      <c r="K236" s="9">
        <f>IFERROR(LOOKUP(2,1/('Weekly Tracker'!$E$2:$E$766=$A236)/('Weekly Tracker'!$N$2:$N$766&lt;&gt;""),'Weekly Tracker'!$N$2:$N$766),"")</f>
        <v/>
      </c>
      <c r="L236" s="9">
        <f>IFERROR(LOOKUP(2,1/('Weekly Tracker'!$E$2:$E$766=$A236)/('Weekly Tracker'!$O$2:$O$766&lt;&gt;""),'Weekly Tracker'!$O$2:$O$766),"")</f>
        <v/>
      </c>
    </row>
    <row r="237">
      <c r="A237" s="9" t="inlineStr">
        <is>
          <t>Ajith Kumar</t>
        </is>
      </c>
      <c r="B237" s="9" t="inlineStr">
        <is>
          <t>8939648433</t>
        </is>
      </c>
      <c r="C237" s="9" t="n"/>
      <c r="D237" s="9" t="n"/>
      <c r="E237" s="9" t="n"/>
      <c r="F237" s="9">
        <f>IFERROR(LOOKUP(2,1/('Weekly Tracker'!$E$2:$E$766=$A237)/('Weekly Tracker'!$F$2:$F$766&lt;&gt;""),'Weekly Tracker'!$F$2:$F$766),"")</f>
        <v/>
      </c>
      <c r="G237" s="16">
        <f>IF(F237&lt;&gt;"",LOOKUP(2,1/('Weekly Tracker'!$E$2:$E$766=$A237)/('Weekly Tracker'!$F$2:$F$766&lt;&gt;""),'Weekly Tracker'!$G$2:$G$766),"")</f>
        <v/>
      </c>
      <c r="H237" s="9">
        <f>IFERROR(LOOKUP(2,1/('Weekly Tracker'!$E$2:$E$766=$A237)/('Weekly Tracker'!$H$2:$H$766&lt;&gt;""),'Weekly Tracker'!$H$2:$H$766),"")</f>
        <v/>
      </c>
      <c r="I237" s="16">
        <f>IF(H237&lt;&gt;"",LOOKUP(2,1/('Weekly Tracker'!$E$2:$E$766=$A237)/('Weekly Tracker'!$H$2:$H$766&lt;&gt;""),'Weekly Tracker'!$I$2:$I$766),"")</f>
        <v/>
      </c>
      <c r="J237" s="9">
        <f>IFERROR(LOOKUP(2,1/('Weekly Tracker'!$E$2:$E$766=$A237)/('Weekly Tracker'!$J$2:$J$766&lt;&gt;""),'Weekly Tracker'!$J$2:$J$766),"")</f>
        <v/>
      </c>
      <c r="K237" s="9">
        <f>IFERROR(LOOKUP(2,1/('Weekly Tracker'!$E$2:$E$766=$A237)/('Weekly Tracker'!$N$2:$N$766&lt;&gt;""),'Weekly Tracker'!$N$2:$N$766),"")</f>
        <v/>
      </c>
      <c r="L237" s="9">
        <f>IFERROR(LOOKUP(2,1/('Weekly Tracker'!$E$2:$E$766=$A237)/('Weekly Tracker'!$O$2:$O$766&lt;&gt;""),'Weekly Tracker'!$O$2:$O$766),"")</f>
        <v/>
      </c>
    </row>
    <row r="238">
      <c r="A238" s="9" t="inlineStr">
        <is>
          <t>Muthuvel Scl</t>
        </is>
      </c>
      <c r="B238" s="9" t="inlineStr">
        <is>
          <t>9524635046</t>
        </is>
      </c>
      <c r="C238" s="9" t="n"/>
      <c r="D238" s="9" t="n"/>
      <c r="E238" s="9" t="n"/>
      <c r="F238" s="9">
        <f>IFERROR(LOOKUP(2,1/('Weekly Tracker'!$E$2:$E$766=$A238)/('Weekly Tracker'!$F$2:$F$766&lt;&gt;""),'Weekly Tracker'!$F$2:$F$766),"")</f>
        <v/>
      </c>
      <c r="G238" s="16">
        <f>IF(F238&lt;&gt;"",LOOKUP(2,1/('Weekly Tracker'!$E$2:$E$766=$A238)/('Weekly Tracker'!$F$2:$F$766&lt;&gt;""),'Weekly Tracker'!$G$2:$G$766),"")</f>
        <v/>
      </c>
      <c r="H238" s="9">
        <f>IFERROR(LOOKUP(2,1/('Weekly Tracker'!$E$2:$E$766=$A238)/('Weekly Tracker'!$H$2:$H$766&lt;&gt;""),'Weekly Tracker'!$H$2:$H$766),"")</f>
        <v/>
      </c>
      <c r="I238" s="16">
        <f>IF(H238&lt;&gt;"",LOOKUP(2,1/('Weekly Tracker'!$E$2:$E$766=$A238)/('Weekly Tracker'!$H$2:$H$766&lt;&gt;""),'Weekly Tracker'!$I$2:$I$766),"")</f>
        <v/>
      </c>
      <c r="J238" s="9">
        <f>IFERROR(LOOKUP(2,1/('Weekly Tracker'!$E$2:$E$766=$A238)/('Weekly Tracker'!$J$2:$J$766&lt;&gt;""),'Weekly Tracker'!$J$2:$J$766),"")</f>
        <v/>
      </c>
      <c r="K238" s="9">
        <f>IFERROR(LOOKUP(2,1/('Weekly Tracker'!$E$2:$E$766=$A238)/('Weekly Tracker'!$N$2:$N$766&lt;&gt;""),'Weekly Tracker'!$N$2:$N$766),"")</f>
        <v/>
      </c>
      <c r="L238" s="9">
        <f>IFERROR(LOOKUP(2,1/('Weekly Tracker'!$E$2:$E$766=$A238)/('Weekly Tracker'!$O$2:$O$766&lt;&gt;""),'Weekly Tracker'!$O$2:$O$766),"")</f>
        <v/>
      </c>
    </row>
    <row r="239">
      <c r="A239" s="9" t="inlineStr">
        <is>
          <t>Abinav Poonia BirdGraphs</t>
        </is>
      </c>
      <c r="B239" s="9" t="inlineStr">
        <is>
          <t>918882236688</t>
        </is>
      </c>
      <c r="C239" s="9" t="n"/>
      <c r="D239" s="9" t="n"/>
      <c r="E239" s="9" t="n"/>
      <c r="F239" s="9">
        <f>IFERROR(LOOKUP(2,1/('Weekly Tracker'!$E$2:$E$766=$A239)/('Weekly Tracker'!$F$2:$F$766&lt;&gt;""),'Weekly Tracker'!$F$2:$F$766),"")</f>
        <v/>
      </c>
      <c r="G239" s="16">
        <f>IF(F239&lt;&gt;"",LOOKUP(2,1/('Weekly Tracker'!$E$2:$E$766=$A239)/('Weekly Tracker'!$F$2:$F$766&lt;&gt;""),'Weekly Tracker'!$G$2:$G$766),"")</f>
        <v/>
      </c>
      <c r="H239" s="9">
        <f>IFERROR(LOOKUP(2,1/('Weekly Tracker'!$E$2:$E$766=$A239)/('Weekly Tracker'!$H$2:$H$766&lt;&gt;""),'Weekly Tracker'!$H$2:$H$766),"")</f>
        <v/>
      </c>
      <c r="I239" s="16">
        <f>IF(H239&lt;&gt;"",LOOKUP(2,1/('Weekly Tracker'!$E$2:$E$766=$A239)/('Weekly Tracker'!$H$2:$H$766&lt;&gt;""),'Weekly Tracker'!$I$2:$I$766),"")</f>
        <v/>
      </c>
      <c r="J239" s="9">
        <f>IFERROR(LOOKUP(2,1/('Weekly Tracker'!$E$2:$E$766=$A239)/('Weekly Tracker'!$J$2:$J$766&lt;&gt;""),'Weekly Tracker'!$J$2:$J$766),"")</f>
        <v/>
      </c>
      <c r="K239" s="9">
        <f>IFERROR(LOOKUP(2,1/('Weekly Tracker'!$E$2:$E$766=$A239)/('Weekly Tracker'!$N$2:$N$766&lt;&gt;""),'Weekly Tracker'!$N$2:$N$766),"")</f>
        <v/>
      </c>
      <c r="L239" s="9">
        <f>IFERROR(LOOKUP(2,1/('Weekly Tracker'!$E$2:$E$766=$A239)/('Weekly Tracker'!$O$2:$O$766&lt;&gt;""),'Weekly Tracker'!$O$2:$O$766),"")</f>
        <v/>
      </c>
    </row>
    <row r="240">
      <c r="A240" s="9" t="inlineStr">
        <is>
          <t>SHOURYA B Tech SMEC VIT</t>
        </is>
      </c>
      <c r="B240" s="9" t="inlineStr">
        <is>
          <t>919869780729</t>
        </is>
      </c>
      <c r="C240" s="9" t="n"/>
      <c r="D240" s="9" t="n"/>
      <c r="E240" s="9" t="n"/>
      <c r="F240" s="9">
        <f>IFERROR(LOOKUP(2,1/('Weekly Tracker'!$E$2:$E$766=$A240)/('Weekly Tracker'!$F$2:$F$766&lt;&gt;""),'Weekly Tracker'!$F$2:$F$766),"")</f>
        <v/>
      </c>
      <c r="G240" s="16">
        <f>IF(F240&lt;&gt;"",LOOKUP(2,1/('Weekly Tracker'!$E$2:$E$766=$A240)/('Weekly Tracker'!$F$2:$F$766&lt;&gt;""),'Weekly Tracker'!$G$2:$G$766),"")</f>
        <v/>
      </c>
      <c r="H240" s="9">
        <f>IFERROR(LOOKUP(2,1/('Weekly Tracker'!$E$2:$E$766=$A240)/('Weekly Tracker'!$H$2:$H$766&lt;&gt;""),'Weekly Tracker'!$H$2:$H$766),"")</f>
        <v/>
      </c>
      <c r="I240" s="16">
        <f>IF(H240&lt;&gt;"",LOOKUP(2,1/('Weekly Tracker'!$E$2:$E$766=$A240)/('Weekly Tracker'!$H$2:$H$766&lt;&gt;""),'Weekly Tracker'!$I$2:$I$766),"")</f>
        <v/>
      </c>
      <c r="J240" s="9">
        <f>IFERROR(LOOKUP(2,1/('Weekly Tracker'!$E$2:$E$766=$A240)/('Weekly Tracker'!$J$2:$J$766&lt;&gt;""),'Weekly Tracker'!$J$2:$J$766),"")</f>
        <v/>
      </c>
      <c r="K240" s="9">
        <f>IFERROR(LOOKUP(2,1/('Weekly Tracker'!$E$2:$E$766=$A240)/('Weekly Tracker'!$N$2:$N$766&lt;&gt;""),'Weekly Tracker'!$N$2:$N$766),"")</f>
        <v/>
      </c>
      <c r="L240" s="9">
        <f>IFERROR(LOOKUP(2,1/('Weekly Tracker'!$E$2:$E$766=$A240)/('Weekly Tracker'!$O$2:$O$766&lt;&gt;""),'Weekly Tracker'!$O$2:$O$766),"")</f>
        <v/>
      </c>
    </row>
    <row r="241">
      <c r="A241" s="9" t="inlineStr">
        <is>
          <t>Gopz Urja</t>
        </is>
      </c>
      <c r="B241" s="9" t="inlineStr">
        <is>
          <t>919884870330</t>
        </is>
      </c>
      <c r="C241" s="9" t="n"/>
      <c r="D241" s="9" t="n"/>
      <c r="E241" s="9" t="n"/>
      <c r="F241" s="9">
        <f>IFERROR(LOOKUP(2,1/('Weekly Tracker'!$E$2:$E$766=$A241)/('Weekly Tracker'!$F$2:$F$766&lt;&gt;""),'Weekly Tracker'!$F$2:$F$766),"")</f>
        <v/>
      </c>
      <c r="G241" s="16">
        <f>IF(F241&lt;&gt;"",LOOKUP(2,1/('Weekly Tracker'!$E$2:$E$766=$A241)/('Weekly Tracker'!$F$2:$F$766&lt;&gt;""),'Weekly Tracker'!$G$2:$G$766),"")</f>
        <v/>
      </c>
      <c r="H241" s="9">
        <f>IFERROR(LOOKUP(2,1/('Weekly Tracker'!$E$2:$E$766=$A241)/('Weekly Tracker'!$H$2:$H$766&lt;&gt;""),'Weekly Tracker'!$H$2:$H$766),"")</f>
        <v/>
      </c>
      <c r="I241" s="16">
        <f>IF(H241&lt;&gt;"",LOOKUP(2,1/('Weekly Tracker'!$E$2:$E$766=$A241)/('Weekly Tracker'!$H$2:$H$766&lt;&gt;""),'Weekly Tracker'!$I$2:$I$766),"")</f>
        <v/>
      </c>
      <c r="J241" s="9">
        <f>IFERROR(LOOKUP(2,1/('Weekly Tracker'!$E$2:$E$766=$A241)/('Weekly Tracker'!$J$2:$J$766&lt;&gt;""),'Weekly Tracker'!$J$2:$J$766),"")</f>
        <v/>
      </c>
      <c r="K241" s="9">
        <f>IFERROR(LOOKUP(2,1/('Weekly Tracker'!$E$2:$E$766=$A241)/('Weekly Tracker'!$N$2:$N$766&lt;&gt;""),'Weekly Tracker'!$N$2:$N$766),"")</f>
        <v/>
      </c>
      <c r="L241" s="9">
        <f>IFERROR(LOOKUP(2,1/('Weekly Tracker'!$E$2:$E$766=$A241)/('Weekly Tracker'!$O$2:$O$766&lt;&gt;""),'Weekly Tracker'!$O$2:$O$766),"")</f>
        <v/>
      </c>
    </row>
    <row r="242">
      <c r="A242" s="9" t="inlineStr">
        <is>
          <t>Manjunauh qs</t>
        </is>
      </c>
      <c r="B242" s="9" t="inlineStr">
        <is>
          <t>919840274453</t>
        </is>
      </c>
      <c r="C242" s="9" t="n"/>
      <c r="D242" s="9" t="n"/>
      <c r="E242" s="9" t="n"/>
      <c r="F242" s="9">
        <f>IFERROR(LOOKUP(2,1/('Weekly Tracker'!$E$2:$E$766=$A242)/('Weekly Tracker'!$F$2:$F$766&lt;&gt;""),'Weekly Tracker'!$F$2:$F$766),"")</f>
        <v/>
      </c>
      <c r="G242" s="16">
        <f>IF(F242&lt;&gt;"",LOOKUP(2,1/('Weekly Tracker'!$E$2:$E$766=$A242)/('Weekly Tracker'!$F$2:$F$766&lt;&gt;""),'Weekly Tracker'!$G$2:$G$766),"")</f>
        <v/>
      </c>
      <c r="H242" s="9">
        <f>IFERROR(LOOKUP(2,1/('Weekly Tracker'!$E$2:$E$766=$A242)/('Weekly Tracker'!$H$2:$H$766&lt;&gt;""),'Weekly Tracker'!$H$2:$H$766),"")</f>
        <v/>
      </c>
      <c r="I242" s="16">
        <f>IF(H242&lt;&gt;"",LOOKUP(2,1/('Weekly Tracker'!$E$2:$E$766=$A242)/('Weekly Tracker'!$H$2:$H$766&lt;&gt;""),'Weekly Tracker'!$I$2:$I$766),"")</f>
        <v/>
      </c>
      <c r="J242" s="9">
        <f>IFERROR(LOOKUP(2,1/('Weekly Tracker'!$E$2:$E$766=$A242)/('Weekly Tracker'!$J$2:$J$766&lt;&gt;""),'Weekly Tracker'!$J$2:$J$766),"")</f>
        <v/>
      </c>
      <c r="K242" s="9">
        <f>IFERROR(LOOKUP(2,1/('Weekly Tracker'!$E$2:$E$766=$A242)/('Weekly Tracker'!$N$2:$N$766&lt;&gt;""),'Weekly Tracker'!$N$2:$N$766),"")</f>
        <v/>
      </c>
      <c r="L242" s="9">
        <f>IFERROR(LOOKUP(2,1/('Weekly Tracker'!$E$2:$E$766=$A242)/('Weekly Tracker'!$O$2:$O$766&lt;&gt;""),'Weekly Tracker'!$O$2:$O$766),"")</f>
        <v/>
      </c>
    </row>
    <row r="243">
      <c r="A243" s="9" t="inlineStr">
        <is>
          <t>Snehalatha Urja</t>
        </is>
      </c>
      <c r="B243" s="9" t="inlineStr">
        <is>
          <t>919566253044</t>
        </is>
      </c>
      <c r="C243" s="9" t="n"/>
      <c r="D243" s="9" t="n"/>
      <c r="E243" s="9" t="n"/>
      <c r="F243" s="9">
        <f>IFERROR(LOOKUP(2,1/('Weekly Tracker'!$E$2:$E$766=$A243)/('Weekly Tracker'!$F$2:$F$766&lt;&gt;""),'Weekly Tracker'!$F$2:$F$766),"")</f>
        <v/>
      </c>
      <c r="G243" s="16">
        <f>IF(F243&lt;&gt;"",LOOKUP(2,1/('Weekly Tracker'!$E$2:$E$766=$A243)/('Weekly Tracker'!$F$2:$F$766&lt;&gt;""),'Weekly Tracker'!$G$2:$G$766),"")</f>
        <v/>
      </c>
      <c r="H243" s="9">
        <f>IFERROR(LOOKUP(2,1/('Weekly Tracker'!$E$2:$E$766=$A243)/('Weekly Tracker'!$H$2:$H$766&lt;&gt;""),'Weekly Tracker'!$H$2:$H$766),"")</f>
        <v/>
      </c>
      <c r="I243" s="16">
        <f>IF(H243&lt;&gt;"",LOOKUP(2,1/('Weekly Tracker'!$E$2:$E$766=$A243)/('Weekly Tracker'!$H$2:$H$766&lt;&gt;""),'Weekly Tracker'!$I$2:$I$766),"")</f>
        <v/>
      </c>
      <c r="J243" s="9">
        <f>IFERROR(LOOKUP(2,1/('Weekly Tracker'!$E$2:$E$766=$A243)/('Weekly Tracker'!$J$2:$J$766&lt;&gt;""),'Weekly Tracker'!$J$2:$J$766),"")</f>
        <v/>
      </c>
      <c r="K243" s="9">
        <f>IFERROR(LOOKUP(2,1/('Weekly Tracker'!$E$2:$E$766=$A243)/('Weekly Tracker'!$N$2:$N$766&lt;&gt;""),'Weekly Tracker'!$N$2:$N$766),"")</f>
        <v/>
      </c>
      <c r="L243" s="9">
        <f>IFERROR(LOOKUP(2,1/('Weekly Tracker'!$E$2:$E$766=$A243)/('Weekly Tracker'!$O$2:$O$766&lt;&gt;""),'Weekly Tracker'!$O$2:$O$766),"")</f>
        <v/>
      </c>
    </row>
    <row r="244">
      <c r="A244" s="9" t="inlineStr">
        <is>
          <t>Devi Rajan</t>
        </is>
      </c>
      <c r="B244" s="9" t="inlineStr">
        <is>
          <t>919137423016</t>
        </is>
      </c>
      <c r="C244" s="9" t="n"/>
      <c r="D244" s="9" t="n"/>
      <c r="E244" s="9" t="n"/>
      <c r="F244" s="9">
        <f>IFERROR(LOOKUP(2,1/('Weekly Tracker'!$E$2:$E$766=$A244)/('Weekly Tracker'!$F$2:$F$766&lt;&gt;""),'Weekly Tracker'!$F$2:$F$766),"")</f>
        <v/>
      </c>
      <c r="G244" s="16">
        <f>IF(F244&lt;&gt;"",LOOKUP(2,1/('Weekly Tracker'!$E$2:$E$766=$A244)/('Weekly Tracker'!$F$2:$F$766&lt;&gt;""),'Weekly Tracker'!$G$2:$G$766),"")</f>
        <v/>
      </c>
      <c r="H244" s="9">
        <f>IFERROR(LOOKUP(2,1/('Weekly Tracker'!$E$2:$E$766=$A244)/('Weekly Tracker'!$H$2:$H$766&lt;&gt;""),'Weekly Tracker'!$H$2:$H$766),"")</f>
        <v/>
      </c>
      <c r="I244" s="16">
        <f>IF(H244&lt;&gt;"",LOOKUP(2,1/('Weekly Tracker'!$E$2:$E$766=$A244)/('Weekly Tracker'!$H$2:$H$766&lt;&gt;""),'Weekly Tracker'!$I$2:$I$766),"")</f>
        <v/>
      </c>
      <c r="J244" s="9">
        <f>IFERROR(LOOKUP(2,1/('Weekly Tracker'!$E$2:$E$766=$A244)/('Weekly Tracker'!$J$2:$J$766&lt;&gt;""),'Weekly Tracker'!$J$2:$J$766),"")</f>
        <v/>
      </c>
      <c r="K244" s="9">
        <f>IFERROR(LOOKUP(2,1/('Weekly Tracker'!$E$2:$E$766=$A244)/('Weekly Tracker'!$N$2:$N$766&lt;&gt;""),'Weekly Tracker'!$N$2:$N$766),"")</f>
        <v/>
      </c>
      <c r="L244" s="9">
        <f>IFERROR(LOOKUP(2,1/('Weekly Tracker'!$E$2:$E$766=$A244)/('Weekly Tracker'!$O$2:$O$766&lt;&gt;""),'Weekly Tracker'!$O$2:$O$766),"")</f>
        <v/>
      </c>
    </row>
    <row r="245">
      <c r="A245" s="9" t="inlineStr">
        <is>
          <t>Jaga Urja</t>
        </is>
      </c>
      <c r="B245" s="9" t="inlineStr">
        <is>
          <t>919500580465</t>
        </is>
      </c>
      <c r="C245" s="9" t="n"/>
      <c r="D245" s="9" t="n"/>
      <c r="E245" s="9" t="n"/>
      <c r="F245" s="9">
        <f>IFERROR(LOOKUP(2,1/('Weekly Tracker'!$E$2:$E$766=$A245)/('Weekly Tracker'!$F$2:$F$766&lt;&gt;""),'Weekly Tracker'!$F$2:$F$766),"")</f>
        <v/>
      </c>
      <c r="G245" s="16">
        <f>IF(F245&lt;&gt;"",LOOKUP(2,1/('Weekly Tracker'!$E$2:$E$766=$A245)/('Weekly Tracker'!$F$2:$F$766&lt;&gt;""),'Weekly Tracker'!$G$2:$G$766),"")</f>
        <v/>
      </c>
      <c r="H245" s="9">
        <f>IFERROR(LOOKUP(2,1/('Weekly Tracker'!$E$2:$E$766=$A245)/('Weekly Tracker'!$H$2:$H$766&lt;&gt;""),'Weekly Tracker'!$H$2:$H$766),"")</f>
        <v/>
      </c>
      <c r="I245" s="16">
        <f>IF(H245&lt;&gt;"",LOOKUP(2,1/('Weekly Tracker'!$E$2:$E$766=$A245)/('Weekly Tracker'!$H$2:$H$766&lt;&gt;""),'Weekly Tracker'!$I$2:$I$766),"")</f>
        <v/>
      </c>
      <c r="J245" s="9">
        <f>IFERROR(LOOKUP(2,1/('Weekly Tracker'!$E$2:$E$766=$A245)/('Weekly Tracker'!$J$2:$J$766&lt;&gt;""),'Weekly Tracker'!$J$2:$J$766),"")</f>
        <v/>
      </c>
      <c r="K245" s="9">
        <f>IFERROR(LOOKUP(2,1/('Weekly Tracker'!$E$2:$E$766=$A245)/('Weekly Tracker'!$N$2:$N$766&lt;&gt;""),'Weekly Tracker'!$N$2:$N$766),"")</f>
        <v/>
      </c>
      <c r="L245" s="9">
        <f>IFERROR(LOOKUP(2,1/('Weekly Tracker'!$E$2:$E$766=$A245)/('Weekly Tracker'!$O$2:$O$766&lt;&gt;""),'Weekly Tracker'!$O$2:$O$766),"")</f>
        <v/>
      </c>
    </row>
    <row r="246">
      <c r="A246" s="9" t="inlineStr">
        <is>
          <t>Vigneshwaran Urja</t>
        </is>
      </c>
      <c r="B246" s="9" t="inlineStr">
        <is>
          <t>9597676248</t>
        </is>
      </c>
      <c r="C246" s="9" t="n"/>
      <c r="D246" s="9" t="n"/>
      <c r="E246" s="9" t="n"/>
      <c r="F246" s="9">
        <f>IFERROR(LOOKUP(2,1/('Weekly Tracker'!$E$2:$E$766=$A246)/('Weekly Tracker'!$F$2:$F$766&lt;&gt;""),'Weekly Tracker'!$F$2:$F$766),"")</f>
        <v/>
      </c>
      <c r="G246" s="16">
        <f>IF(F246&lt;&gt;"",LOOKUP(2,1/('Weekly Tracker'!$E$2:$E$766=$A246)/('Weekly Tracker'!$F$2:$F$766&lt;&gt;""),'Weekly Tracker'!$G$2:$G$766),"")</f>
        <v/>
      </c>
      <c r="H246" s="9">
        <f>IFERROR(LOOKUP(2,1/('Weekly Tracker'!$E$2:$E$766=$A246)/('Weekly Tracker'!$H$2:$H$766&lt;&gt;""),'Weekly Tracker'!$H$2:$H$766),"")</f>
        <v/>
      </c>
      <c r="I246" s="16">
        <f>IF(H246&lt;&gt;"",LOOKUP(2,1/('Weekly Tracker'!$E$2:$E$766=$A246)/('Weekly Tracker'!$H$2:$H$766&lt;&gt;""),'Weekly Tracker'!$I$2:$I$766),"")</f>
        <v/>
      </c>
      <c r="J246" s="9">
        <f>IFERROR(LOOKUP(2,1/('Weekly Tracker'!$E$2:$E$766=$A246)/('Weekly Tracker'!$J$2:$J$766&lt;&gt;""),'Weekly Tracker'!$J$2:$J$766),"")</f>
        <v/>
      </c>
      <c r="K246" s="9">
        <f>IFERROR(LOOKUP(2,1/('Weekly Tracker'!$E$2:$E$766=$A246)/('Weekly Tracker'!$N$2:$N$766&lt;&gt;""),'Weekly Tracker'!$N$2:$N$766),"")</f>
        <v/>
      </c>
      <c r="L246" s="9">
        <f>IFERROR(LOOKUP(2,1/('Weekly Tracker'!$E$2:$E$766=$A246)/('Weekly Tracker'!$O$2:$O$766&lt;&gt;""),'Weekly Tracker'!$O$2:$O$766),"")</f>
        <v/>
      </c>
    </row>
    <row r="247">
      <c r="A247" s="9" t="inlineStr">
        <is>
          <t>Vicky Grp Ucen</t>
        </is>
      </c>
      <c r="B247" s="9" t="inlineStr">
        <is>
          <t>9042111263, 971545469681</t>
        </is>
      </c>
      <c r="C247" s="9" t="n"/>
      <c r="D247" s="9" t="n"/>
      <c r="E247" s="9" t="n"/>
      <c r="F247" s="9">
        <f>IFERROR(LOOKUP(2,1/('Weekly Tracker'!$E$2:$E$766=$A247)/('Weekly Tracker'!$F$2:$F$766&lt;&gt;""),'Weekly Tracker'!$F$2:$F$766),"")</f>
        <v/>
      </c>
      <c r="G247" s="16">
        <f>IF(F247&lt;&gt;"",LOOKUP(2,1/('Weekly Tracker'!$E$2:$E$766=$A247)/('Weekly Tracker'!$F$2:$F$766&lt;&gt;""),'Weekly Tracker'!$G$2:$G$766),"")</f>
        <v/>
      </c>
      <c r="H247" s="9">
        <f>IFERROR(LOOKUP(2,1/('Weekly Tracker'!$E$2:$E$766=$A247)/('Weekly Tracker'!$H$2:$H$766&lt;&gt;""),'Weekly Tracker'!$H$2:$H$766),"")</f>
        <v/>
      </c>
      <c r="I247" s="16">
        <f>IF(H247&lt;&gt;"",LOOKUP(2,1/('Weekly Tracker'!$E$2:$E$766=$A247)/('Weekly Tracker'!$H$2:$H$766&lt;&gt;""),'Weekly Tracker'!$I$2:$I$766),"")</f>
        <v/>
      </c>
      <c r="J247" s="9">
        <f>IFERROR(LOOKUP(2,1/('Weekly Tracker'!$E$2:$E$766=$A247)/('Weekly Tracker'!$J$2:$J$766&lt;&gt;""),'Weekly Tracker'!$J$2:$J$766),"")</f>
        <v/>
      </c>
      <c r="K247" s="9">
        <f>IFERROR(LOOKUP(2,1/('Weekly Tracker'!$E$2:$E$766=$A247)/('Weekly Tracker'!$N$2:$N$766&lt;&gt;""),'Weekly Tracker'!$N$2:$N$766),"")</f>
        <v/>
      </c>
      <c r="L247" s="9">
        <f>IFERROR(LOOKUP(2,1/('Weekly Tracker'!$E$2:$E$766=$A247)/('Weekly Tracker'!$O$2:$O$766&lt;&gt;""),'Weekly Tracker'!$O$2:$O$766),"")</f>
        <v/>
      </c>
    </row>
    <row r="248">
      <c r="A248" s="9" t="inlineStr">
        <is>
          <t>Subath Kumar FB</t>
        </is>
      </c>
      <c r="B248" s="9" t="inlineStr">
        <is>
          <t>918015673618</t>
        </is>
      </c>
      <c r="C248" s="9" t="n"/>
      <c r="D248" s="9" t="n"/>
      <c r="E248" s="9" t="n"/>
      <c r="F248" s="9">
        <f>IFERROR(LOOKUP(2,1/('Weekly Tracker'!$E$2:$E$766=$A248)/('Weekly Tracker'!$F$2:$F$766&lt;&gt;""),'Weekly Tracker'!$F$2:$F$766),"")</f>
        <v/>
      </c>
      <c r="G248" s="16">
        <f>IF(F248&lt;&gt;"",LOOKUP(2,1/('Weekly Tracker'!$E$2:$E$766=$A248)/('Weekly Tracker'!$F$2:$F$766&lt;&gt;""),'Weekly Tracker'!$G$2:$G$766),"")</f>
        <v/>
      </c>
      <c r="H248" s="9">
        <f>IFERROR(LOOKUP(2,1/('Weekly Tracker'!$E$2:$E$766=$A248)/('Weekly Tracker'!$H$2:$H$766&lt;&gt;""),'Weekly Tracker'!$H$2:$H$766),"")</f>
        <v/>
      </c>
      <c r="I248" s="16">
        <f>IF(H248&lt;&gt;"",LOOKUP(2,1/('Weekly Tracker'!$E$2:$E$766=$A248)/('Weekly Tracker'!$H$2:$H$766&lt;&gt;""),'Weekly Tracker'!$I$2:$I$766),"")</f>
        <v/>
      </c>
      <c r="J248" s="9">
        <f>IFERROR(LOOKUP(2,1/('Weekly Tracker'!$E$2:$E$766=$A248)/('Weekly Tracker'!$J$2:$J$766&lt;&gt;""),'Weekly Tracker'!$J$2:$J$766),"")</f>
        <v/>
      </c>
      <c r="K248" s="9">
        <f>IFERROR(LOOKUP(2,1/('Weekly Tracker'!$E$2:$E$766=$A248)/('Weekly Tracker'!$N$2:$N$766&lt;&gt;""),'Weekly Tracker'!$N$2:$N$766),"")</f>
        <v/>
      </c>
      <c r="L248" s="9">
        <f>IFERROR(LOOKUP(2,1/('Weekly Tracker'!$E$2:$E$766=$A248)/('Weekly Tracker'!$O$2:$O$766&lt;&gt;""),'Weekly Tracker'!$O$2:$O$766),"")</f>
        <v/>
      </c>
    </row>
    <row r="249">
      <c r="A249" s="9" t="inlineStr">
        <is>
          <t>Lakshmi Manikandan FB</t>
        </is>
      </c>
      <c r="B249" s="9" t="inlineStr">
        <is>
          <t>7397507079</t>
        </is>
      </c>
      <c r="C249" s="9" t="n"/>
      <c r="D249" s="9" t="n"/>
      <c r="E249" s="9" t="n"/>
      <c r="F249" s="9">
        <f>IFERROR(LOOKUP(2,1/('Weekly Tracker'!$E$2:$E$766=$A249)/('Weekly Tracker'!$F$2:$F$766&lt;&gt;""),'Weekly Tracker'!$F$2:$F$766),"")</f>
        <v/>
      </c>
      <c r="G249" s="16">
        <f>IF(F249&lt;&gt;"",LOOKUP(2,1/('Weekly Tracker'!$E$2:$E$766=$A249)/('Weekly Tracker'!$F$2:$F$766&lt;&gt;""),'Weekly Tracker'!$G$2:$G$766),"")</f>
        <v/>
      </c>
      <c r="H249" s="9">
        <f>IFERROR(LOOKUP(2,1/('Weekly Tracker'!$E$2:$E$766=$A249)/('Weekly Tracker'!$H$2:$H$766&lt;&gt;""),'Weekly Tracker'!$H$2:$H$766),"")</f>
        <v/>
      </c>
      <c r="I249" s="16">
        <f>IF(H249&lt;&gt;"",LOOKUP(2,1/('Weekly Tracker'!$E$2:$E$766=$A249)/('Weekly Tracker'!$H$2:$H$766&lt;&gt;""),'Weekly Tracker'!$I$2:$I$766),"")</f>
        <v/>
      </c>
      <c r="J249" s="9">
        <f>IFERROR(LOOKUP(2,1/('Weekly Tracker'!$E$2:$E$766=$A249)/('Weekly Tracker'!$J$2:$J$766&lt;&gt;""),'Weekly Tracker'!$J$2:$J$766),"")</f>
        <v/>
      </c>
      <c r="K249" s="9">
        <f>IFERROR(LOOKUP(2,1/('Weekly Tracker'!$E$2:$E$766=$A249)/('Weekly Tracker'!$N$2:$N$766&lt;&gt;""),'Weekly Tracker'!$N$2:$N$766),"")</f>
        <v/>
      </c>
      <c r="L249" s="9">
        <f>IFERROR(LOOKUP(2,1/('Weekly Tracker'!$E$2:$E$766=$A249)/('Weekly Tracker'!$O$2:$O$766&lt;&gt;""),'Weekly Tracker'!$O$2:$O$766),"")</f>
        <v/>
      </c>
    </row>
    <row r="250">
      <c r="A250" s="9" t="inlineStr">
        <is>
          <t>UdayKumar Infy</t>
        </is>
      </c>
      <c r="B250" s="9" t="inlineStr">
        <is>
          <t>919566353102</t>
        </is>
      </c>
      <c r="C250" s="9" t="n"/>
      <c r="D250" s="9" t="n"/>
      <c r="E250" s="9" t="n"/>
      <c r="F250" s="9">
        <f>IFERROR(LOOKUP(2,1/('Weekly Tracker'!$E$2:$E$766=$A250)/('Weekly Tracker'!$F$2:$F$766&lt;&gt;""),'Weekly Tracker'!$F$2:$F$766),"")</f>
        <v/>
      </c>
      <c r="G250" s="16">
        <f>IF(F250&lt;&gt;"",LOOKUP(2,1/('Weekly Tracker'!$E$2:$E$766=$A250)/('Weekly Tracker'!$F$2:$F$766&lt;&gt;""),'Weekly Tracker'!$G$2:$G$766),"")</f>
        <v/>
      </c>
      <c r="H250" s="9">
        <f>IFERROR(LOOKUP(2,1/('Weekly Tracker'!$E$2:$E$766=$A250)/('Weekly Tracker'!$H$2:$H$766&lt;&gt;""),'Weekly Tracker'!$H$2:$H$766),"")</f>
        <v/>
      </c>
      <c r="I250" s="16">
        <f>IF(H250&lt;&gt;"",LOOKUP(2,1/('Weekly Tracker'!$E$2:$E$766=$A250)/('Weekly Tracker'!$H$2:$H$766&lt;&gt;""),'Weekly Tracker'!$I$2:$I$766),"")</f>
        <v/>
      </c>
      <c r="J250" s="9">
        <f>IFERROR(LOOKUP(2,1/('Weekly Tracker'!$E$2:$E$766=$A250)/('Weekly Tracker'!$J$2:$J$766&lt;&gt;""),'Weekly Tracker'!$J$2:$J$766),"")</f>
        <v/>
      </c>
      <c r="K250" s="9">
        <f>IFERROR(LOOKUP(2,1/('Weekly Tracker'!$E$2:$E$766=$A250)/('Weekly Tracker'!$N$2:$N$766&lt;&gt;""),'Weekly Tracker'!$N$2:$N$766),"")</f>
        <v/>
      </c>
      <c r="L250" s="9">
        <f>IFERROR(LOOKUP(2,1/('Weekly Tracker'!$E$2:$E$766=$A250)/('Weekly Tracker'!$O$2:$O$766&lt;&gt;""),'Weekly Tracker'!$O$2:$O$766),"")</f>
        <v/>
      </c>
    </row>
    <row r="251">
      <c r="A251" s="9" t="inlineStr">
        <is>
          <t>Prabhu ER FB</t>
        </is>
      </c>
      <c r="B251" s="9" t="inlineStr">
        <is>
          <t>8807586842</t>
        </is>
      </c>
      <c r="C251" s="9" t="n"/>
      <c r="D251" s="9" t="n"/>
      <c r="E251" s="9" t="n"/>
      <c r="F251" s="9">
        <f>IFERROR(LOOKUP(2,1/('Weekly Tracker'!$E$2:$E$766=$A251)/('Weekly Tracker'!$F$2:$F$766&lt;&gt;""),'Weekly Tracker'!$F$2:$F$766),"")</f>
        <v/>
      </c>
      <c r="G251" s="16">
        <f>IF(F251&lt;&gt;"",LOOKUP(2,1/('Weekly Tracker'!$E$2:$E$766=$A251)/('Weekly Tracker'!$F$2:$F$766&lt;&gt;""),'Weekly Tracker'!$G$2:$G$766),"")</f>
        <v/>
      </c>
      <c r="H251" s="9">
        <f>IFERROR(LOOKUP(2,1/('Weekly Tracker'!$E$2:$E$766=$A251)/('Weekly Tracker'!$H$2:$H$766&lt;&gt;""),'Weekly Tracker'!$H$2:$H$766),"")</f>
        <v/>
      </c>
      <c r="I251" s="16">
        <f>IF(H251&lt;&gt;"",LOOKUP(2,1/('Weekly Tracker'!$E$2:$E$766=$A251)/('Weekly Tracker'!$H$2:$H$766&lt;&gt;""),'Weekly Tracker'!$I$2:$I$766),"")</f>
        <v/>
      </c>
      <c r="J251" s="9">
        <f>IFERROR(LOOKUP(2,1/('Weekly Tracker'!$E$2:$E$766=$A251)/('Weekly Tracker'!$J$2:$J$766&lt;&gt;""),'Weekly Tracker'!$J$2:$J$766),"")</f>
        <v/>
      </c>
      <c r="K251" s="9">
        <f>IFERROR(LOOKUP(2,1/('Weekly Tracker'!$E$2:$E$766=$A251)/('Weekly Tracker'!$N$2:$N$766&lt;&gt;""),'Weekly Tracker'!$N$2:$N$766),"")</f>
        <v/>
      </c>
      <c r="L251" s="9">
        <f>IFERROR(LOOKUP(2,1/('Weekly Tracker'!$E$2:$E$766=$A251)/('Weekly Tracker'!$O$2:$O$766&lt;&gt;""),'Weekly Tracker'!$O$2:$O$766),"")</f>
        <v/>
      </c>
    </row>
    <row r="252">
      <c r="A252" s="9" t="inlineStr">
        <is>
          <t>Danesh Civil</t>
        </is>
      </c>
      <c r="B252" s="9" t="inlineStr">
        <is>
          <t>917200756850</t>
        </is>
      </c>
      <c r="C252" s="9" t="n"/>
      <c r="D252" s="9" t="n"/>
      <c r="E252" s="9" t="n"/>
      <c r="F252" s="9">
        <f>IFERROR(LOOKUP(2,1/('Weekly Tracker'!$E$2:$E$766=$A252)/('Weekly Tracker'!$F$2:$F$766&lt;&gt;""),'Weekly Tracker'!$F$2:$F$766),"")</f>
        <v/>
      </c>
      <c r="G252" s="16">
        <f>IF(F252&lt;&gt;"",LOOKUP(2,1/('Weekly Tracker'!$E$2:$E$766=$A252)/('Weekly Tracker'!$F$2:$F$766&lt;&gt;""),'Weekly Tracker'!$G$2:$G$766),"")</f>
        <v/>
      </c>
      <c r="H252" s="9">
        <f>IFERROR(LOOKUP(2,1/('Weekly Tracker'!$E$2:$E$766=$A252)/('Weekly Tracker'!$H$2:$H$766&lt;&gt;""),'Weekly Tracker'!$H$2:$H$766),"")</f>
        <v/>
      </c>
      <c r="I252" s="16">
        <f>IF(H252&lt;&gt;"",LOOKUP(2,1/('Weekly Tracker'!$E$2:$E$766=$A252)/('Weekly Tracker'!$H$2:$H$766&lt;&gt;""),'Weekly Tracker'!$I$2:$I$766),"")</f>
        <v/>
      </c>
      <c r="J252" s="9">
        <f>IFERROR(LOOKUP(2,1/('Weekly Tracker'!$E$2:$E$766=$A252)/('Weekly Tracker'!$J$2:$J$766&lt;&gt;""),'Weekly Tracker'!$J$2:$J$766),"")</f>
        <v/>
      </c>
      <c r="K252" s="9">
        <f>IFERROR(LOOKUP(2,1/('Weekly Tracker'!$E$2:$E$766=$A252)/('Weekly Tracker'!$N$2:$N$766&lt;&gt;""),'Weekly Tracker'!$N$2:$N$766),"")</f>
        <v/>
      </c>
      <c r="L252" s="9">
        <f>IFERROR(LOOKUP(2,1/('Weekly Tracker'!$E$2:$E$766=$A252)/('Weekly Tracker'!$O$2:$O$766&lt;&gt;""),'Weekly Tracker'!$O$2:$O$766),"")</f>
        <v/>
      </c>
    </row>
    <row r="253">
      <c r="A253" s="9" t="inlineStr">
        <is>
          <t>Bose Scl</t>
        </is>
      </c>
      <c r="B253" s="9" t="inlineStr">
        <is>
          <t>918124283399</t>
        </is>
      </c>
      <c r="C253" s="9" t="n"/>
      <c r="D253" s="9" t="n"/>
      <c r="E253" s="9" t="n"/>
      <c r="F253" s="9">
        <f>IFERROR(LOOKUP(2,1/('Weekly Tracker'!$E$2:$E$766=$A253)/('Weekly Tracker'!$F$2:$F$766&lt;&gt;""),'Weekly Tracker'!$F$2:$F$766),"")</f>
        <v/>
      </c>
      <c r="G253" s="16">
        <f>IF(F253&lt;&gt;"",LOOKUP(2,1/('Weekly Tracker'!$E$2:$E$766=$A253)/('Weekly Tracker'!$F$2:$F$766&lt;&gt;""),'Weekly Tracker'!$G$2:$G$766),"")</f>
        <v/>
      </c>
      <c r="H253" s="9">
        <f>IFERROR(LOOKUP(2,1/('Weekly Tracker'!$E$2:$E$766=$A253)/('Weekly Tracker'!$H$2:$H$766&lt;&gt;""),'Weekly Tracker'!$H$2:$H$766),"")</f>
        <v/>
      </c>
      <c r="I253" s="16">
        <f>IF(H253&lt;&gt;"",LOOKUP(2,1/('Weekly Tracker'!$E$2:$E$766=$A253)/('Weekly Tracker'!$H$2:$H$766&lt;&gt;""),'Weekly Tracker'!$I$2:$I$766),"")</f>
        <v/>
      </c>
      <c r="J253" s="9">
        <f>IFERROR(LOOKUP(2,1/('Weekly Tracker'!$E$2:$E$766=$A253)/('Weekly Tracker'!$J$2:$J$766&lt;&gt;""),'Weekly Tracker'!$J$2:$J$766),"")</f>
        <v/>
      </c>
      <c r="K253" s="9">
        <f>IFERROR(LOOKUP(2,1/('Weekly Tracker'!$E$2:$E$766=$A253)/('Weekly Tracker'!$N$2:$N$766&lt;&gt;""),'Weekly Tracker'!$N$2:$N$766),"")</f>
        <v/>
      </c>
      <c r="L253" s="9">
        <f>IFERROR(LOOKUP(2,1/('Weekly Tracker'!$E$2:$E$766=$A253)/('Weekly Tracker'!$O$2:$O$766&lt;&gt;""),'Weekly Tracker'!$O$2:$O$766),"")</f>
        <v/>
      </c>
    </row>
    <row r="254">
      <c r="A254" s="9" t="inlineStr">
        <is>
          <t>Arun CSE FB</t>
        </is>
      </c>
      <c r="B254" s="9" t="inlineStr">
        <is>
          <t>9488731705</t>
        </is>
      </c>
      <c r="C254" s="9" t="n"/>
      <c r="D254" s="9" t="n"/>
      <c r="E254" s="9" t="n"/>
      <c r="F254" s="9">
        <f>IFERROR(LOOKUP(2,1/('Weekly Tracker'!$E$2:$E$766=$A254)/('Weekly Tracker'!$F$2:$F$766&lt;&gt;""),'Weekly Tracker'!$F$2:$F$766),"")</f>
        <v/>
      </c>
      <c r="G254" s="16">
        <f>IF(F254&lt;&gt;"",LOOKUP(2,1/('Weekly Tracker'!$E$2:$E$766=$A254)/('Weekly Tracker'!$F$2:$F$766&lt;&gt;""),'Weekly Tracker'!$G$2:$G$766),"")</f>
        <v/>
      </c>
      <c r="H254" s="9">
        <f>IFERROR(LOOKUP(2,1/('Weekly Tracker'!$E$2:$E$766=$A254)/('Weekly Tracker'!$H$2:$H$766&lt;&gt;""),'Weekly Tracker'!$H$2:$H$766),"")</f>
        <v/>
      </c>
      <c r="I254" s="16">
        <f>IF(H254&lt;&gt;"",LOOKUP(2,1/('Weekly Tracker'!$E$2:$E$766=$A254)/('Weekly Tracker'!$H$2:$H$766&lt;&gt;""),'Weekly Tracker'!$I$2:$I$766),"")</f>
        <v/>
      </c>
      <c r="J254" s="9">
        <f>IFERROR(LOOKUP(2,1/('Weekly Tracker'!$E$2:$E$766=$A254)/('Weekly Tracker'!$J$2:$J$766&lt;&gt;""),'Weekly Tracker'!$J$2:$J$766),"")</f>
        <v/>
      </c>
      <c r="K254" s="9">
        <f>IFERROR(LOOKUP(2,1/('Weekly Tracker'!$E$2:$E$766=$A254)/('Weekly Tracker'!$N$2:$N$766&lt;&gt;""),'Weekly Tracker'!$N$2:$N$766),"")</f>
        <v/>
      </c>
      <c r="L254" s="9">
        <f>IFERROR(LOOKUP(2,1/('Weekly Tracker'!$E$2:$E$766=$A254)/('Weekly Tracker'!$O$2:$O$766&lt;&gt;""),'Weekly Tracker'!$O$2:$O$766),"")</f>
        <v/>
      </c>
    </row>
    <row r="255">
      <c r="A255" s="9" t="inlineStr">
        <is>
          <t>Hdfc Helpline Chn-net bank</t>
        </is>
      </c>
      <c r="B255" s="9" t="inlineStr">
        <is>
          <t>044 6160 6161</t>
        </is>
      </c>
      <c r="C255" s="9" t="n"/>
      <c r="D255" s="9" t="n"/>
      <c r="E255" s="9" t="n"/>
      <c r="F255" s="9">
        <f>IFERROR(LOOKUP(2,1/('Weekly Tracker'!$E$2:$E$766=$A255)/('Weekly Tracker'!$F$2:$F$766&lt;&gt;""),'Weekly Tracker'!$F$2:$F$766),"")</f>
        <v/>
      </c>
      <c r="G255" s="16">
        <f>IF(F255&lt;&gt;"",LOOKUP(2,1/('Weekly Tracker'!$E$2:$E$766=$A255)/('Weekly Tracker'!$F$2:$F$766&lt;&gt;""),'Weekly Tracker'!$G$2:$G$766),"")</f>
        <v/>
      </c>
      <c r="H255" s="9">
        <f>IFERROR(LOOKUP(2,1/('Weekly Tracker'!$E$2:$E$766=$A255)/('Weekly Tracker'!$H$2:$H$766&lt;&gt;""),'Weekly Tracker'!$H$2:$H$766),"")</f>
        <v/>
      </c>
      <c r="I255" s="16">
        <f>IF(H255&lt;&gt;"",LOOKUP(2,1/('Weekly Tracker'!$E$2:$E$766=$A255)/('Weekly Tracker'!$H$2:$H$766&lt;&gt;""),'Weekly Tracker'!$I$2:$I$766),"")</f>
        <v/>
      </c>
      <c r="J255" s="9">
        <f>IFERROR(LOOKUP(2,1/('Weekly Tracker'!$E$2:$E$766=$A255)/('Weekly Tracker'!$J$2:$J$766&lt;&gt;""),'Weekly Tracker'!$J$2:$J$766),"")</f>
        <v/>
      </c>
      <c r="K255" s="9">
        <f>IFERROR(LOOKUP(2,1/('Weekly Tracker'!$E$2:$E$766=$A255)/('Weekly Tracker'!$N$2:$N$766&lt;&gt;""),'Weekly Tracker'!$N$2:$N$766),"")</f>
        <v/>
      </c>
      <c r="L255" s="9">
        <f>IFERROR(LOOKUP(2,1/('Weekly Tracker'!$E$2:$E$766=$A255)/('Weekly Tracker'!$O$2:$O$766&lt;&gt;""),'Weekly Tracker'!$O$2:$O$766),"")</f>
        <v/>
      </c>
    </row>
    <row r="256">
      <c r="A256" s="9" t="inlineStr">
        <is>
          <t>Thina Karan FB</t>
        </is>
      </c>
      <c r="B256" s="9" t="inlineStr">
        <is>
          <t>7200607428</t>
        </is>
      </c>
      <c r="C256" s="9" t="n"/>
      <c r="D256" s="9" t="n"/>
      <c r="E256" s="9" t="n"/>
      <c r="F256" s="9">
        <f>IFERROR(LOOKUP(2,1/('Weekly Tracker'!$E$2:$E$766=$A256)/('Weekly Tracker'!$F$2:$F$766&lt;&gt;""),'Weekly Tracker'!$F$2:$F$766),"")</f>
        <v/>
      </c>
      <c r="G256" s="16">
        <f>IF(F256&lt;&gt;"",LOOKUP(2,1/('Weekly Tracker'!$E$2:$E$766=$A256)/('Weekly Tracker'!$F$2:$F$766&lt;&gt;""),'Weekly Tracker'!$G$2:$G$766),"")</f>
        <v/>
      </c>
      <c r="H256" s="9">
        <f>IFERROR(LOOKUP(2,1/('Weekly Tracker'!$E$2:$E$766=$A256)/('Weekly Tracker'!$H$2:$H$766&lt;&gt;""),'Weekly Tracker'!$H$2:$H$766),"")</f>
        <v/>
      </c>
      <c r="I256" s="16">
        <f>IF(H256&lt;&gt;"",LOOKUP(2,1/('Weekly Tracker'!$E$2:$E$766=$A256)/('Weekly Tracker'!$H$2:$H$766&lt;&gt;""),'Weekly Tracker'!$I$2:$I$766),"")</f>
        <v/>
      </c>
      <c r="J256" s="9">
        <f>IFERROR(LOOKUP(2,1/('Weekly Tracker'!$E$2:$E$766=$A256)/('Weekly Tracker'!$J$2:$J$766&lt;&gt;""),'Weekly Tracker'!$J$2:$J$766),"")</f>
        <v/>
      </c>
      <c r="K256" s="9">
        <f>IFERROR(LOOKUP(2,1/('Weekly Tracker'!$E$2:$E$766=$A256)/('Weekly Tracker'!$N$2:$N$766&lt;&gt;""),'Weekly Tracker'!$N$2:$N$766),"")</f>
        <v/>
      </c>
      <c r="L256" s="9">
        <f>IFERROR(LOOKUP(2,1/('Weekly Tracker'!$E$2:$E$766=$A256)/('Weekly Tracker'!$O$2:$O$766&lt;&gt;""),'Weekly Tracker'!$O$2:$O$766),"")</f>
        <v/>
      </c>
    </row>
    <row r="257">
      <c r="A257" s="9" t="inlineStr">
        <is>
          <t>Lingeshwaran FB</t>
        </is>
      </c>
      <c r="B257" s="9" t="inlineStr">
        <is>
          <t>7200100738</t>
        </is>
      </c>
      <c r="C257" s="9" t="n"/>
      <c r="D257" s="9" t="n"/>
      <c r="E257" s="9" t="n"/>
      <c r="F257" s="9">
        <f>IFERROR(LOOKUP(2,1/('Weekly Tracker'!$E$2:$E$766=$A257)/('Weekly Tracker'!$F$2:$F$766&lt;&gt;""),'Weekly Tracker'!$F$2:$F$766),"")</f>
        <v/>
      </c>
      <c r="G257" s="16">
        <f>IF(F257&lt;&gt;"",LOOKUP(2,1/('Weekly Tracker'!$E$2:$E$766=$A257)/('Weekly Tracker'!$F$2:$F$766&lt;&gt;""),'Weekly Tracker'!$G$2:$G$766),"")</f>
        <v/>
      </c>
      <c r="H257" s="9">
        <f>IFERROR(LOOKUP(2,1/('Weekly Tracker'!$E$2:$E$766=$A257)/('Weekly Tracker'!$H$2:$H$766&lt;&gt;""),'Weekly Tracker'!$H$2:$H$766),"")</f>
        <v/>
      </c>
      <c r="I257" s="16">
        <f>IF(H257&lt;&gt;"",LOOKUP(2,1/('Weekly Tracker'!$E$2:$E$766=$A257)/('Weekly Tracker'!$H$2:$H$766&lt;&gt;""),'Weekly Tracker'!$I$2:$I$766),"")</f>
        <v/>
      </c>
      <c r="J257" s="9">
        <f>IFERROR(LOOKUP(2,1/('Weekly Tracker'!$E$2:$E$766=$A257)/('Weekly Tracker'!$J$2:$J$766&lt;&gt;""),'Weekly Tracker'!$J$2:$J$766),"")</f>
        <v/>
      </c>
      <c r="K257" s="9">
        <f>IFERROR(LOOKUP(2,1/('Weekly Tracker'!$E$2:$E$766=$A257)/('Weekly Tracker'!$N$2:$N$766&lt;&gt;""),'Weekly Tracker'!$N$2:$N$766),"")</f>
        <v/>
      </c>
      <c r="L257" s="9">
        <f>IFERROR(LOOKUP(2,1/('Weekly Tracker'!$E$2:$E$766=$A257)/('Weekly Tracker'!$O$2:$O$766&lt;&gt;""),'Weekly Tracker'!$O$2:$O$766),"")</f>
        <v/>
      </c>
    </row>
    <row r="258">
      <c r="A258" s="9" t="inlineStr">
        <is>
          <t>Selvam Mechanic Kund</t>
        </is>
      </c>
      <c r="B258" s="9" t="inlineStr">
        <is>
          <t>919176387281</t>
        </is>
      </c>
      <c r="C258" s="9" t="n"/>
      <c r="D258" s="9" t="n"/>
      <c r="E258" s="9" t="n"/>
      <c r="F258" s="9">
        <f>IFERROR(LOOKUP(2,1/('Weekly Tracker'!$E$2:$E$766=$A258)/('Weekly Tracker'!$F$2:$F$766&lt;&gt;""),'Weekly Tracker'!$F$2:$F$766),"")</f>
        <v/>
      </c>
      <c r="G258" s="16">
        <f>IF(F258&lt;&gt;"",LOOKUP(2,1/('Weekly Tracker'!$E$2:$E$766=$A258)/('Weekly Tracker'!$F$2:$F$766&lt;&gt;""),'Weekly Tracker'!$G$2:$G$766),"")</f>
        <v/>
      </c>
      <c r="H258" s="9">
        <f>IFERROR(LOOKUP(2,1/('Weekly Tracker'!$E$2:$E$766=$A258)/('Weekly Tracker'!$H$2:$H$766&lt;&gt;""),'Weekly Tracker'!$H$2:$H$766),"")</f>
        <v/>
      </c>
      <c r="I258" s="16">
        <f>IF(H258&lt;&gt;"",LOOKUP(2,1/('Weekly Tracker'!$E$2:$E$766=$A258)/('Weekly Tracker'!$H$2:$H$766&lt;&gt;""),'Weekly Tracker'!$I$2:$I$766),"")</f>
        <v/>
      </c>
      <c r="J258" s="9">
        <f>IFERROR(LOOKUP(2,1/('Weekly Tracker'!$E$2:$E$766=$A258)/('Weekly Tracker'!$J$2:$J$766&lt;&gt;""),'Weekly Tracker'!$J$2:$J$766),"")</f>
        <v/>
      </c>
      <c r="K258" s="9">
        <f>IFERROR(LOOKUP(2,1/('Weekly Tracker'!$E$2:$E$766=$A258)/('Weekly Tracker'!$N$2:$N$766&lt;&gt;""),'Weekly Tracker'!$N$2:$N$766),"")</f>
        <v/>
      </c>
      <c r="L258" s="9">
        <f>IFERROR(LOOKUP(2,1/('Weekly Tracker'!$E$2:$E$766=$A258)/('Weekly Tracker'!$O$2:$O$766&lt;&gt;""),'Weekly Tracker'!$O$2:$O$766),"")</f>
        <v/>
      </c>
    </row>
    <row r="259">
      <c r="A259" s="9" t="inlineStr">
        <is>
          <t>Purijaganath Scl</t>
        </is>
      </c>
      <c r="B259" s="9" t="inlineStr">
        <is>
          <t>917200399707</t>
        </is>
      </c>
      <c r="C259" s="9" t="n"/>
      <c r="D259" s="9" t="n"/>
      <c r="E259" s="9" t="n"/>
      <c r="F259" s="9">
        <f>IFERROR(LOOKUP(2,1/('Weekly Tracker'!$E$2:$E$766=$A259)/('Weekly Tracker'!$F$2:$F$766&lt;&gt;""),'Weekly Tracker'!$F$2:$F$766),"")</f>
        <v/>
      </c>
      <c r="G259" s="16">
        <f>IF(F259&lt;&gt;"",LOOKUP(2,1/('Weekly Tracker'!$E$2:$E$766=$A259)/('Weekly Tracker'!$F$2:$F$766&lt;&gt;""),'Weekly Tracker'!$G$2:$G$766),"")</f>
        <v/>
      </c>
      <c r="H259" s="9">
        <f>IFERROR(LOOKUP(2,1/('Weekly Tracker'!$E$2:$E$766=$A259)/('Weekly Tracker'!$H$2:$H$766&lt;&gt;""),'Weekly Tracker'!$H$2:$H$766),"")</f>
        <v/>
      </c>
      <c r="I259" s="16">
        <f>IF(H259&lt;&gt;"",LOOKUP(2,1/('Weekly Tracker'!$E$2:$E$766=$A259)/('Weekly Tracker'!$H$2:$H$766&lt;&gt;""),'Weekly Tracker'!$I$2:$I$766),"")</f>
        <v/>
      </c>
      <c r="J259" s="9">
        <f>IFERROR(LOOKUP(2,1/('Weekly Tracker'!$E$2:$E$766=$A259)/('Weekly Tracker'!$J$2:$J$766&lt;&gt;""),'Weekly Tracker'!$J$2:$J$766),"")</f>
        <v/>
      </c>
      <c r="K259" s="9">
        <f>IFERROR(LOOKUP(2,1/('Weekly Tracker'!$E$2:$E$766=$A259)/('Weekly Tracker'!$N$2:$N$766&lt;&gt;""),'Weekly Tracker'!$N$2:$N$766),"")</f>
        <v/>
      </c>
      <c r="L259" s="9">
        <f>IFERROR(LOOKUP(2,1/('Weekly Tracker'!$E$2:$E$766=$A259)/('Weekly Tracker'!$O$2:$O$766&lt;&gt;""),'Weekly Tracker'!$O$2:$O$766),"")</f>
        <v/>
      </c>
    </row>
    <row r="260">
      <c r="A260" s="9" t="inlineStr">
        <is>
          <t>Sharan Urja</t>
        </is>
      </c>
      <c r="B260" s="9" t="inlineStr">
        <is>
          <t>918122100423</t>
        </is>
      </c>
      <c r="C260" s="9" t="n"/>
      <c r="D260" s="9" t="n"/>
      <c r="E260" s="9" t="n"/>
      <c r="F260" s="9">
        <f>IFERROR(LOOKUP(2,1/('Weekly Tracker'!$E$2:$E$766=$A260)/('Weekly Tracker'!$F$2:$F$766&lt;&gt;""),'Weekly Tracker'!$F$2:$F$766),"")</f>
        <v/>
      </c>
      <c r="G260" s="16">
        <f>IF(F260&lt;&gt;"",LOOKUP(2,1/('Weekly Tracker'!$E$2:$E$766=$A260)/('Weekly Tracker'!$F$2:$F$766&lt;&gt;""),'Weekly Tracker'!$G$2:$G$766),"")</f>
        <v/>
      </c>
      <c r="H260" s="9">
        <f>IFERROR(LOOKUP(2,1/('Weekly Tracker'!$E$2:$E$766=$A260)/('Weekly Tracker'!$H$2:$H$766&lt;&gt;""),'Weekly Tracker'!$H$2:$H$766),"")</f>
        <v/>
      </c>
      <c r="I260" s="16">
        <f>IF(H260&lt;&gt;"",LOOKUP(2,1/('Weekly Tracker'!$E$2:$E$766=$A260)/('Weekly Tracker'!$H$2:$H$766&lt;&gt;""),'Weekly Tracker'!$I$2:$I$766),"")</f>
        <v/>
      </c>
      <c r="J260" s="9">
        <f>IFERROR(LOOKUP(2,1/('Weekly Tracker'!$E$2:$E$766=$A260)/('Weekly Tracker'!$J$2:$J$766&lt;&gt;""),'Weekly Tracker'!$J$2:$J$766),"")</f>
        <v/>
      </c>
      <c r="K260" s="9">
        <f>IFERROR(LOOKUP(2,1/('Weekly Tracker'!$E$2:$E$766=$A260)/('Weekly Tracker'!$N$2:$N$766&lt;&gt;""),'Weekly Tracker'!$N$2:$N$766),"")</f>
        <v/>
      </c>
      <c r="L260" s="9">
        <f>IFERROR(LOOKUP(2,1/('Weekly Tracker'!$E$2:$E$766=$A260)/('Weekly Tracker'!$O$2:$O$766&lt;&gt;""),'Weekly Tracker'!$O$2:$O$766),"")</f>
        <v/>
      </c>
    </row>
    <row r="261">
      <c r="A261" s="9" t="inlineStr">
        <is>
          <t>Selvaseelan Scl</t>
        </is>
      </c>
      <c r="B261" s="9" t="inlineStr">
        <is>
          <t>916382094279, 919677463795</t>
        </is>
      </c>
      <c r="C261" s="9" t="n"/>
      <c r="D261" s="9" t="n"/>
      <c r="E261" s="9" t="n"/>
      <c r="F261" s="9">
        <f>IFERROR(LOOKUP(2,1/('Weekly Tracker'!$E$2:$E$766=$A261)/('Weekly Tracker'!$F$2:$F$766&lt;&gt;""),'Weekly Tracker'!$F$2:$F$766),"")</f>
        <v/>
      </c>
      <c r="G261" s="16">
        <f>IF(F261&lt;&gt;"",LOOKUP(2,1/('Weekly Tracker'!$E$2:$E$766=$A261)/('Weekly Tracker'!$F$2:$F$766&lt;&gt;""),'Weekly Tracker'!$G$2:$G$766),"")</f>
        <v/>
      </c>
      <c r="H261" s="9">
        <f>IFERROR(LOOKUP(2,1/('Weekly Tracker'!$E$2:$E$766=$A261)/('Weekly Tracker'!$H$2:$H$766&lt;&gt;""),'Weekly Tracker'!$H$2:$H$766),"")</f>
        <v/>
      </c>
      <c r="I261" s="16">
        <f>IF(H261&lt;&gt;"",LOOKUP(2,1/('Weekly Tracker'!$E$2:$E$766=$A261)/('Weekly Tracker'!$H$2:$H$766&lt;&gt;""),'Weekly Tracker'!$I$2:$I$766),"")</f>
        <v/>
      </c>
      <c r="J261" s="9">
        <f>IFERROR(LOOKUP(2,1/('Weekly Tracker'!$E$2:$E$766=$A261)/('Weekly Tracker'!$J$2:$J$766&lt;&gt;""),'Weekly Tracker'!$J$2:$J$766),"")</f>
        <v/>
      </c>
      <c r="K261" s="9">
        <f>IFERROR(LOOKUP(2,1/('Weekly Tracker'!$E$2:$E$766=$A261)/('Weekly Tracker'!$N$2:$N$766&lt;&gt;""),'Weekly Tracker'!$N$2:$N$766),"")</f>
        <v/>
      </c>
      <c r="L261" s="9">
        <f>IFERROR(LOOKUP(2,1/('Weekly Tracker'!$E$2:$E$766=$A261)/('Weekly Tracker'!$O$2:$O$766&lt;&gt;""),'Weekly Tracker'!$O$2:$O$766),"")</f>
        <v/>
      </c>
    </row>
    <row r="262">
      <c r="A262" s="9" t="inlineStr">
        <is>
          <t>Manjunath FB</t>
        </is>
      </c>
      <c r="B262" s="9" t="inlineStr">
        <is>
          <t>9500140197</t>
        </is>
      </c>
      <c r="C262" s="9" t="n"/>
      <c r="D262" s="9" t="n"/>
      <c r="E262" s="9" t="n"/>
      <c r="F262" s="9">
        <f>IFERROR(LOOKUP(2,1/('Weekly Tracker'!$E$2:$E$766=$A262)/('Weekly Tracker'!$F$2:$F$766&lt;&gt;""),'Weekly Tracker'!$F$2:$F$766),"")</f>
        <v/>
      </c>
      <c r="G262" s="16">
        <f>IF(F262&lt;&gt;"",LOOKUP(2,1/('Weekly Tracker'!$E$2:$E$766=$A262)/('Weekly Tracker'!$F$2:$F$766&lt;&gt;""),'Weekly Tracker'!$G$2:$G$766),"")</f>
        <v/>
      </c>
      <c r="H262" s="9">
        <f>IFERROR(LOOKUP(2,1/('Weekly Tracker'!$E$2:$E$766=$A262)/('Weekly Tracker'!$H$2:$H$766&lt;&gt;""),'Weekly Tracker'!$H$2:$H$766),"")</f>
        <v/>
      </c>
      <c r="I262" s="16">
        <f>IF(H262&lt;&gt;"",LOOKUP(2,1/('Weekly Tracker'!$E$2:$E$766=$A262)/('Weekly Tracker'!$H$2:$H$766&lt;&gt;""),'Weekly Tracker'!$I$2:$I$766),"")</f>
        <v/>
      </c>
      <c r="J262" s="9">
        <f>IFERROR(LOOKUP(2,1/('Weekly Tracker'!$E$2:$E$766=$A262)/('Weekly Tracker'!$J$2:$J$766&lt;&gt;""),'Weekly Tracker'!$J$2:$J$766),"")</f>
        <v/>
      </c>
      <c r="K262" s="9">
        <f>IFERROR(LOOKUP(2,1/('Weekly Tracker'!$E$2:$E$766=$A262)/('Weekly Tracker'!$N$2:$N$766&lt;&gt;""),'Weekly Tracker'!$N$2:$N$766),"")</f>
        <v/>
      </c>
      <c r="L262" s="9">
        <f>IFERROR(LOOKUP(2,1/('Weekly Tracker'!$E$2:$E$766=$A262)/('Weekly Tracker'!$O$2:$O$766&lt;&gt;""),'Weekly Tracker'!$O$2:$O$766),"")</f>
        <v/>
      </c>
    </row>
    <row r="263">
      <c r="A263" s="9" t="inlineStr">
        <is>
          <t>Manish Kumar Umakant HCL</t>
        </is>
      </c>
      <c r="B263" s="9" t="inlineStr">
        <is>
          <t>9725735257</t>
        </is>
      </c>
      <c r="C263" s="9" t="n"/>
      <c r="D263" s="9" t="n"/>
      <c r="E263" s="9" t="n"/>
      <c r="F263" s="9">
        <f>IFERROR(LOOKUP(2,1/('Weekly Tracker'!$E$2:$E$766=$A263)/('Weekly Tracker'!$F$2:$F$766&lt;&gt;""),'Weekly Tracker'!$F$2:$F$766),"")</f>
        <v/>
      </c>
      <c r="G263" s="16">
        <f>IF(F263&lt;&gt;"",LOOKUP(2,1/('Weekly Tracker'!$E$2:$E$766=$A263)/('Weekly Tracker'!$F$2:$F$766&lt;&gt;""),'Weekly Tracker'!$G$2:$G$766),"")</f>
        <v/>
      </c>
      <c r="H263" s="9">
        <f>IFERROR(LOOKUP(2,1/('Weekly Tracker'!$E$2:$E$766=$A263)/('Weekly Tracker'!$H$2:$H$766&lt;&gt;""),'Weekly Tracker'!$H$2:$H$766),"")</f>
        <v/>
      </c>
      <c r="I263" s="16">
        <f>IF(H263&lt;&gt;"",LOOKUP(2,1/('Weekly Tracker'!$E$2:$E$766=$A263)/('Weekly Tracker'!$H$2:$H$766&lt;&gt;""),'Weekly Tracker'!$I$2:$I$766),"")</f>
        <v/>
      </c>
      <c r="J263" s="9">
        <f>IFERROR(LOOKUP(2,1/('Weekly Tracker'!$E$2:$E$766=$A263)/('Weekly Tracker'!$J$2:$J$766&lt;&gt;""),'Weekly Tracker'!$J$2:$J$766),"")</f>
        <v/>
      </c>
      <c r="K263" s="9">
        <f>IFERROR(LOOKUP(2,1/('Weekly Tracker'!$E$2:$E$766=$A263)/('Weekly Tracker'!$N$2:$N$766&lt;&gt;""),'Weekly Tracker'!$N$2:$N$766),"")</f>
        <v/>
      </c>
      <c r="L263" s="9">
        <f>IFERROR(LOOKUP(2,1/('Weekly Tracker'!$E$2:$E$766=$A263)/('Weekly Tracker'!$O$2:$O$766&lt;&gt;""),'Weekly Tracker'!$O$2:$O$766),"")</f>
        <v/>
      </c>
    </row>
    <row r="264">
      <c r="A264" s="9" t="inlineStr">
        <is>
          <t>John Sandy</t>
        </is>
      </c>
      <c r="B264" s="9" t="inlineStr">
        <is>
          <t>917639222684</t>
        </is>
      </c>
      <c r="C264" s="9" t="n"/>
      <c r="D264" s="9" t="n"/>
      <c r="E264" s="9" t="n"/>
      <c r="F264" s="9">
        <f>IFERROR(LOOKUP(2,1/('Weekly Tracker'!$E$2:$E$766=$A264)/('Weekly Tracker'!$F$2:$F$766&lt;&gt;""),'Weekly Tracker'!$F$2:$F$766),"")</f>
        <v/>
      </c>
      <c r="G264" s="16">
        <f>IF(F264&lt;&gt;"",LOOKUP(2,1/('Weekly Tracker'!$E$2:$E$766=$A264)/('Weekly Tracker'!$F$2:$F$766&lt;&gt;""),'Weekly Tracker'!$G$2:$G$766),"")</f>
        <v/>
      </c>
      <c r="H264" s="9">
        <f>IFERROR(LOOKUP(2,1/('Weekly Tracker'!$E$2:$E$766=$A264)/('Weekly Tracker'!$H$2:$H$766&lt;&gt;""),'Weekly Tracker'!$H$2:$H$766),"")</f>
        <v/>
      </c>
      <c r="I264" s="16">
        <f>IF(H264&lt;&gt;"",LOOKUP(2,1/('Weekly Tracker'!$E$2:$E$766=$A264)/('Weekly Tracker'!$H$2:$H$766&lt;&gt;""),'Weekly Tracker'!$I$2:$I$766),"")</f>
        <v/>
      </c>
      <c r="J264" s="9">
        <f>IFERROR(LOOKUP(2,1/('Weekly Tracker'!$E$2:$E$766=$A264)/('Weekly Tracker'!$J$2:$J$766&lt;&gt;""),'Weekly Tracker'!$J$2:$J$766),"")</f>
        <v/>
      </c>
      <c r="K264" s="9">
        <f>IFERROR(LOOKUP(2,1/('Weekly Tracker'!$E$2:$E$766=$A264)/('Weekly Tracker'!$N$2:$N$766&lt;&gt;""),'Weekly Tracker'!$N$2:$N$766),"")</f>
        <v/>
      </c>
      <c r="L264" s="9">
        <f>IFERROR(LOOKUP(2,1/('Weekly Tracker'!$E$2:$E$766=$A264)/('Weekly Tracker'!$O$2:$O$766&lt;&gt;""),'Weekly Tracker'!$O$2:$O$766),"")</f>
        <v/>
      </c>
    </row>
    <row r="265">
      <c r="A265" s="9" t="inlineStr">
        <is>
          <t>Siva ranjini Urja</t>
        </is>
      </c>
      <c r="B265" s="9" t="inlineStr">
        <is>
          <t>9514370904</t>
        </is>
      </c>
      <c r="C265" s="9" t="n"/>
      <c r="D265" s="9" t="n"/>
      <c r="E265" s="9" t="n"/>
      <c r="F265" s="9">
        <f>IFERROR(LOOKUP(2,1/('Weekly Tracker'!$E$2:$E$766=$A265)/('Weekly Tracker'!$F$2:$F$766&lt;&gt;""),'Weekly Tracker'!$F$2:$F$766),"")</f>
        <v/>
      </c>
      <c r="G265" s="16">
        <f>IF(F265&lt;&gt;"",LOOKUP(2,1/('Weekly Tracker'!$E$2:$E$766=$A265)/('Weekly Tracker'!$F$2:$F$766&lt;&gt;""),'Weekly Tracker'!$G$2:$G$766),"")</f>
        <v/>
      </c>
      <c r="H265" s="9">
        <f>IFERROR(LOOKUP(2,1/('Weekly Tracker'!$E$2:$E$766=$A265)/('Weekly Tracker'!$H$2:$H$766&lt;&gt;""),'Weekly Tracker'!$H$2:$H$766),"")</f>
        <v/>
      </c>
      <c r="I265" s="16">
        <f>IF(H265&lt;&gt;"",LOOKUP(2,1/('Weekly Tracker'!$E$2:$E$766=$A265)/('Weekly Tracker'!$H$2:$H$766&lt;&gt;""),'Weekly Tracker'!$I$2:$I$766),"")</f>
        <v/>
      </c>
      <c r="J265" s="9">
        <f>IFERROR(LOOKUP(2,1/('Weekly Tracker'!$E$2:$E$766=$A265)/('Weekly Tracker'!$J$2:$J$766&lt;&gt;""),'Weekly Tracker'!$J$2:$J$766),"")</f>
        <v/>
      </c>
      <c r="K265" s="9">
        <f>IFERROR(LOOKUP(2,1/('Weekly Tracker'!$E$2:$E$766=$A265)/('Weekly Tracker'!$N$2:$N$766&lt;&gt;""),'Weekly Tracker'!$N$2:$N$766),"")</f>
        <v/>
      </c>
      <c r="L265" s="9">
        <f>IFERROR(LOOKUP(2,1/('Weekly Tracker'!$E$2:$E$766=$A265)/('Weekly Tracker'!$O$2:$O$766&lt;&gt;""),'Weekly Tracker'!$O$2:$O$766),"")</f>
        <v/>
      </c>
    </row>
    <row r="266">
      <c r="A266" s="9" t="inlineStr">
        <is>
          <t>Tamilselvan Grp Alumini</t>
        </is>
      </c>
      <c r="B266" s="9" t="inlineStr">
        <is>
          <t>919600470127</t>
        </is>
      </c>
      <c r="C266" s="9" t="n"/>
      <c r="D266" s="9" t="n"/>
      <c r="E266" s="9" t="n"/>
      <c r="F266" s="9">
        <f>IFERROR(LOOKUP(2,1/('Weekly Tracker'!$E$2:$E$766=$A266)/('Weekly Tracker'!$F$2:$F$766&lt;&gt;""),'Weekly Tracker'!$F$2:$F$766),"")</f>
        <v/>
      </c>
      <c r="G266" s="16">
        <f>IF(F266&lt;&gt;"",LOOKUP(2,1/('Weekly Tracker'!$E$2:$E$766=$A266)/('Weekly Tracker'!$F$2:$F$766&lt;&gt;""),'Weekly Tracker'!$G$2:$G$766),"")</f>
        <v/>
      </c>
      <c r="H266" s="9">
        <f>IFERROR(LOOKUP(2,1/('Weekly Tracker'!$E$2:$E$766=$A266)/('Weekly Tracker'!$H$2:$H$766&lt;&gt;""),'Weekly Tracker'!$H$2:$H$766),"")</f>
        <v/>
      </c>
      <c r="I266" s="16">
        <f>IF(H266&lt;&gt;"",LOOKUP(2,1/('Weekly Tracker'!$E$2:$E$766=$A266)/('Weekly Tracker'!$H$2:$H$766&lt;&gt;""),'Weekly Tracker'!$I$2:$I$766),"")</f>
        <v/>
      </c>
      <c r="J266" s="9">
        <f>IFERROR(LOOKUP(2,1/('Weekly Tracker'!$E$2:$E$766=$A266)/('Weekly Tracker'!$J$2:$J$766&lt;&gt;""),'Weekly Tracker'!$J$2:$J$766),"")</f>
        <v/>
      </c>
      <c r="K266" s="9">
        <f>IFERROR(LOOKUP(2,1/('Weekly Tracker'!$E$2:$E$766=$A266)/('Weekly Tracker'!$N$2:$N$766&lt;&gt;""),'Weekly Tracker'!$N$2:$N$766),"")</f>
        <v/>
      </c>
      <c r="L266" s="9">
        <f>IFERROR(LOOKUP(2,1/('Weekly Tracker'!$E$2:$E$766=$A266)/('Weekly Tracker'!$O$2:$O$766&lt;&gt;""),'Weekly Tracker'!$O$2:$O$766),"")</f>
        <v/>
      </c>
    </row>
    <row r="267">
      <c r="A267" s="9" t="inlineStr">
        <is>
          <t>Kottur Samy FB</t>
        </is>
      </c>
      <c r="B267" s="9" t="inlineStr">
        <is>
          <t>562524815</t>
        </is>
      </c>
      <c r="C267" s="9" t="n"/>
      <c r="D267" s="9" t="n"/>
      <c r="E267" s="9" t="n"/>
      <c r="F267" s="9">
        <f>IFERROR(LOOKUP(2,1/('Weekly Tracker'!$E$2:$E$766=$A267)/('Weekly Tracker'!$F$2:$F$766&lt;&gt;""),'Weekly Tracker'!$F$2:$F$766),"")</f>
        <v/>
      </c>
      <c r="G267" s="16">
        <f>IF(F267&lt;&gt;"",LOOKUP(2,1/('Weekly Tracker'!$E$2:$E$766=$A267)/('Weekly Tracker'!$F$2:$F$766&lt;&gt;""),'Weekly Tracker'!$G$2:$G$766),"")</f>
        <v/>
      </c>
      <c r="H267" s="9">
        <f>IFERROR(LOOKUP(2,1/('Weekly Tracker'!$E$2:$E$766=$A267)/('Weekly Tracker'!$H$2:$H$766&lt;&gt;""),'Weekly Tracker'!$H$2:$H$766),"")</f>
        <v/>
      </c>
      <c r="I267" s="16">
        <f>IF(H267&lt;&gt;"",LOOKUP(2,1/('Weekly Tracker'!$E$2:$E$766=$A267)/('Weekly Tracker'!$H$2:$H$766&lt;&gt;""),'Weekly Tracker'!$I$2:$I$766),"")</f>
        <v/>
      </c>
      <c r="J267" s="9">
        <f>IFERROR(LOOKUP(2,1/('Weekly Tracker'!$E$2:$E$766=$A267)/('Weekly Tracker'!$J$2:$J$766&lt;&gt;""),'Weekly Tracker'!$J$2:$J$766),"")</f>
        <v/>
      </c>
      <c r="K267" s="9">
        <f>IFERROR(LOOKUP(2,1/('Weekly Tracker'!$E$2:$E$766=$A267)/('Weekly Tracker'!$N$2:$N$766&lt;&gt;""),'Weekly Tracker'!$N$2:$N$766),"")</f>
        <v/>
      </c>
      <c r="L267" s="9">
        <f>IFERROR(LOOKUP(2,1/('Weekly Tracker'!$E$2:$E$766=$A267)/('Weekly Tracker'!$O$2:$O$766&lt;&gt;""),'Weekly Tracker'!$O$2:$O$766),"")</f>
        <v/>
      </c>
    </row>
    <row r="268">
      <c r="A268" s="9" t="inlineStr">
        <is>
          <t>Sivaguru qs. ev</t>
        </is>
      </c>
      <c r="B268" s="9" t="inlineStr">
        <is>
          <t>917299572128</t>
        </is>
      </c>
      <c r="C268" s="9" t="n"/>
      <c r="D268" s="9" t="n"/>
      <c r="E268" s="9" t="n"/>
      <c r="F268" s="9">
        <f>IFERROR(LOOKUP(2,1/('Weekly Tracker'!$E$2:$E$766=$A268)/('Weekly Tracker'!$F$2:$F$766&lt;&gt;""),'Weekly Tracker'!$F$2:$F$766),"")</f>
        <v/>
      </c>
      <c r="G268" s="16">
        <f>IF(F268&lt;&gt;"",LOOKUP(2,1/('Weekly Tracker'!$E$2:$E$766=$A268)/('Weekly Tracker'!$F$2:$F$766&lt;&gt;""),'Weekly Tracker'!$G$2:$G$766),"")</f>
        <v/>
      </c>
      <c r="H268" s="9">
        <f>IFERROR(LOOKUP(2,1/('Weekly Tracker'!$E$2:$E$766=$A268)/('Weekly Tracker'!$H$2:$H$766&lt;&gt;""),'Weekly Tracker'!$H$2:$H$766),"")</f>
        <v/>
      </c>
      <c r="I268" s="16">
        <f>IF(H268&lt;&gt;"",LOOKUP(2,1/('Weekly Tracker'!$E$2:$E$766=$A268)/('Weekly Tracker'!$H$2:$H$766&lt;&gt;""),'Weekly Tracker'!$I$2:$I$766),"")</f>
        <v/>
      </c>
      <c r="J268" s="9">
        <f>IFERROR(LOOKUP(2,1/('Weekly Tracker'!$E$2:$E$766=$A268)/('Weekly Tracker'!$J$2:$J$766&lt;&gt;""),'Weekly Tracker'!$J$2:$J$766),"")</f>
        <v/>
      </c>
      <c r="K268" s="9">
        <f>IFERROR(LOOKUP(2,1/('Weekly Tracker'!$E$2:$E$766=$A268)/('Weekly Tracker'!$N$2:$N$766&lt;&gt;""),'Weekly Tracker'!$N$2:$N$766),"")</f>
        <v/>
      </c>
      <c r="L268" s="9">
        <f>IFERROR(LOOKUP(2,1/('Weekly Tracker'!$E$2:$E$766=$A268)/('Weekly Tracker'!$O$2:$O$766&lt;&gt;""),'Weekly Tracker'!$O$2:$O$766),"")</f>
        <v/>
      </c>
    </row>
    <row r="269">
      <c r="A269" s="9" t="inlineStr">
        <is>
          <t>Nancy LOA</t>
        </is>
      </c>
      <c r="B269" s="9" t="inlineStr">
        <is>
          <t>919789140347</t>
        </is>
      </c>
      <c r="C269" s="9" t="n"/>
      <c r="D269" s="9" t="n"/>
      <c r="E269" s="9" t="n"/>
      <c r="F269" s="9">
        <f>IFERROR(LOOKUP(2,1/('Weekly Tracker'!$E$2:$E$766=$A269)/('Weekly Tracker'!$F$2:$F$766&lt;&gt;""),'Weekly Tracker'!$F$2:$F$766),"")</f>
        <v/>
      </c>
      <c r="G269" s="16">
        <f>IF(F269&lt;&gt;"",LOOKUP(2,1/('Weekly Tracker'!$E$2:$E$766=$A269)/('Weekly Tracker'!$F$2:$F$766&lt;&gt;""),'Weekly Tracker'!$G$2:$G$766),"")</f>
        <v/>
      </c>
      <c r="H269" s="9">
        <f>IFERROR(LOOKUP(2,1/('Weekly Tracker'!$E$2:$E$766=$A269)/('Weekly Tracker'!$H$2:$H$766&lt;&gt;""),'Weekly Tracker'!$H$2:$H$766),"")</f>
        <v/>
      </c>
      <c r="I269" s="16">
        <f>IF(H269&lt;&gt;"",LOOKUP(2,1/('Weekly Tracker'!$E$2:$E$766=$A269)/('Weekly Tracker'!$H$2:$H$766&lt;&gt;""),'Weekly Tracker'!$I$2:$I$766),"")</f>
        <v/>
      </c>
      <c r="J269" s="9">
        <f>IFERROR(LOOKUP(2,1/('Weekly Tracker'!$E$2:$E$766=$A269)/('Weekly Tracker'!$J$2:$J$766&lt;&gt;""),'Weekly Tracker'!$J$2:$J$766),"")</f>
        <v/>
      </c>
      <c r="K269" s="9">
        <f>IFERROR(LOOKUP(2,1/('Weekly Tracker'!$E$2:$E$766=$A269)/('Weekly Tracker'!$N$2:$N$766&lt;&gt;""),'Weekly Tracker'!$N$2:$N$766),"")</f>
        <v/>
      </c>
      <c r="L269" s="9">
        <f>IFERROR(LOOKUP(2,1/('Weekly Tracker'!$E$2:$E$766=$A269)/('Weekly Tracker'!$O$2:$O$766&lt;&gt;""),'Weekly Tracker'!$O$2:$O$766),"")</f>
        <v/>
      </c>
    </row>
    <row r="270">
      <c r="A270" s="9" t="inlineStr">
        <is>
          <t>Свеет Сутха🌻</t>
        </is>
      </c>
      <c r="B270" s="9" t="inlineStr">
        <is>
          <t>918056586173</t>
        </is>
      </c>
      <c r="C270" s="9" t="n"/>
      <c r="D270" s="9" t="n"/>
      <c r="E270" s="9" t="n"/>
      <c r="F270" s="9">
        <f>IFERROR(LOOKUP(2,1/('Weekly Tracker'!$E$2:$E$766=$A270)/('Weekly Tracker'!$F$2:$F$766&lt;&gt;""),'Weekly Tracker'!$F$2:$F$766),"")</f>
        <v/>
      </c>
      <c r="G270" s="16">
        <f>IF(F270&lt;&gt;"",LOOKUP(2,1/('Weekly Tracker'!$E$2:$E$766=$A270)/('Weekly Tracker'!$F$2:$F$766&lt;&gt;""),'Weekly Tracker'!$G$2:$G$766),"")</f>
        <v/>
      </c>
      <c r="H270" s="9">
        <f>IFERROR(LOOKUP(2,1/('Weekly Tracker'!$E$2:$E$766=$A270)/('Weekly Tracker'!$H$2:$H$766&lt;&gt;""),'Weekly Tracker'!$H$2:$H$766),"")</f>
        <v/>
      </c>
      <c r="I270" s="16">
        <f>IF(H270&lt;&gt;"",LOOKUP(2,1/('Weekly Tracker'!$E$2:$E$766=$A270)/('Weekly Tracker'!$H$2:$H$766&lt;&gt;""),'Weekly Tracker'!$I$2:$I$766),"")</f>
        <v/>
      </c>
      <c r="J270" s="9">
        <f>IFERROR(LOOKUP(2,1/('Weekly Tracker'!$E$2:$E$766=$A270)/('Weekly Tracker'!$J$2:$J$766&lt;&gt;""),'Weekly Tracker'!$J$2:$J$766),"")</f>
        <v/>
      </c>
      <c r="K270" s="9">
        <f>IFERROR(LOOKUP(2,1/('Weekly Tracker'!$E$2:$E$766=$A270)/('Weekly Tracker'!$N$2:$N$766&lt;&gt;""),'Weekly Tracker'!$N$2:$N$766),"")</f>
        <v/>
      </c>
      <c r="L270" s="9">
        <f>IFERROR(LOOKUP(2,1/('Weekly Tracker'!$E$2:$E$766=$A270)/('Weekly Tracker'!$O$2:$O$766&lt;&gt;""),'Weekly Tracker'!$O$2:$O$766),"")</f>
        <v/>
      </c>
    </row>
    <row r="271">
      <c r="A271" s="9" t="inlineStr">
        <is>
          <t>Vishal FB</t>
        </is>
      </c>
      <c r="B271" s="9" t="inlineStr">
        <is>
          <t>919566219474</t>
        </is>
      </c>
      <c r="C271" s="9" t="n"/>
      <c r="D271" s="9" t="n"/>
      <c r="E271" s="9" t="n"/>
      <c r="F271" s="9">
        <f>IFERROR(LOOKUP(2,1/('Weekly Tracker'!$E$2:$E$766=$A271)/('Weekly Tracker'!$F$2:$F$766&lt;&gt;""),'Weekly Tracker'!$F$2:$F$766),"")</f>
        <v/>
      </c>
      <c r="G271" s="16">
        <f>IF(F271&lt;&gt;"",LOOKUP(2,1/('Weekly Tracker'!$E$2:$E$766=$A271)/('Weekly Tracker'!$F$2:$F$766&lt;&gt;""),'Weekly Tracker'!$G$2:$G$766),"")</f>
        <v/>
      </c>
      <c r="H271" s="9">
        <f>IFERROR(LOOKUP(2,1/('Weekly Tracker'!$E$2:$E$766=$A271)/('Weekly Tracker'!$H$2:$H$766&lt;&gt;""),'Weekly Tracker'!$H$2:$H$766),"")</f>
        <v/>
      </c>
      <c r="I271" s="16">
        <f>IF(H271&lt;&gt;"",LOOKUP(2,1/('Weekly Tracker'!$E$2:$E$766=$A271)/('Weekly Tracker'!$H$2:$H$766&lt;&gt;""),'Weekly Tracker'!$I$2:$I$766),"")</f>
        <v/>
      </c>
      <c r="J271" s="9">
        <f>IFERROR(LOOKUP(2,1/('Weekly Tracker'!$E$2:$E$766=$A271)/('Weekly Tracker'!$J$2:$J$766&lt;&gt;""),'Weekly Tracker'!$J$2:$J$766),"")</f>
        <v/>
      </c>
      <c r="K271" s="9">
        <f>IFERROR(LOOKUP(2,1/('Weekly Tracker'!$E$2:$E$766=$A271)/('Weekly Tracker'!$N$2:$N$766&lt;&gt;""),'Weekly Tracker'!$N$2:$N$766),"")</f>
        <v/>
      </c>
      <c r="L271" s="9">
        <f>IFERROR(LOOKUP(2,1/('Weekly Tracker'!$E$2:$E$766=$A271)/('Weekly Tracker'!$O$2:$O$766&lt;&gt;""),'Weekly Tracker'!$O$2:$O$766),"")</f>
        <v/>
      </c>
    </row>
    <row r="272">
      <c r="A272" s="9" t="inlineStr">
        <is>
          <t>Mridul Kumar Ford</t>
        </is>
      </c>
      <c r="B272" s="9" t="inlineStr">
        <is>
          <t>919626111910</t>
        </is>
      </c>
      <c r="C272" s="9" t="n"/>
      <c r="D272" s="9" t="n"/>
      <c r="E272" s="9" t="n"/>
      <c r="F272" s="9">
        <f>IFERROR(LOOKUP(2,1/('Weekly Tracker'!$E$2:$E$766=$A272)/('Weekly Tracker'!$F$2:$F$766&lt;&gt;""),'Weekly Tracker'!$F$2:$F$766),"")</f>
        <v/>
      </c>
      <c r="G272" s="16">
        <f>IF(F272&lt;&gt;"",LOOKUP(2,1/('Weekly Tracker'!$E$2:$E$766=$A272)/('Weekly Tracker'!$F$2:$F$766&lt;&gt;""),'Weekly Tracker'!$G$2:$G$766),"")</f>
        <v/>
      </c>
      <c r="H272" s="9">
        <f>IFERROR(LOOKUP(2,1/('Weekly Tracker'!$E$2:$E$766=$A272)/('Weekly Tracker'!$H$2:$H$766&lt;&gt;""),'Weekly Tracker'!$H$2:$H$766),"")</f>
        <v/>
      </c>
      <c r="I272" s="16">
        <f>IF(H272&lt;&gt;"",LOOKUP(2,1/('Weekly Tracker'!$E$2:$E$766=$A272)/('Weekly Tracker'!$H$2:$H$766&lt;&gt;""),'Weekly Tracker'!$I$2:$I$766),"")</f>
        <v/>
      </c>
      <c r="J272" s="9">
        <f>IFERROR(LOOKUP(2,1/('Weekly Tracker'!$E$2:$E$766=$A272)/('Weekly Tracker'!$J$2:$J$766&lt;&gt;""),'Weekly Tracker'!$J$2:$J$766),"")</f>
        <v/>
      </c>
      <c r="K272" s="9">
        <f>IFERROR(LOOKUP(2,1/('Weekly Tracker'!$E$2:$E$766=$A272)/('Weekly Tracker'!$N$2:$N$766&lt;&gt;""),'Weekly Tracker'!$N$2:$N$766),"")</f>
        <v/>
      </c>
      <c r="L272" s="9">
        <f>IFERROR(LOOKUP(2,1/('Weekly Tracker'!$E$2:$E$766=$A272)/('Weekly Tracker'!$O$2:$O$766&lt;&gt;""),'Weekly Tracker'!$O$2:$O$766),"")</f>
        <v/>
      </c>
    </row>
    <row r="273">
      <c r="A273" s="9" t="inlineStr">
        <is>
          <t>Venkatesh.G Scl</t>
        </is>
      </c>
      <c r="B273" s="9" t="inlineStr">
        <is>
          <t>918939617975, 919025717945</t>
        </is>
      </c>
      <c r="C273" s="9" t="n"/>
      <c r="D273" s="9" t="n"/>
      <c r="E273" s="9" t="n"/>
      <c r="F273" s="9">
        <f>IFERROR(LOOKUP(2,1/('Weekly Tracker'!$E$2:$E$766=$A273)/('Weekly Tracker'!$F$2:$F$766&lt;&gt;""),'Weekly Tracker'!$F$2:$F$766),"")</f>
        <v/>
      </c>
      <c r="G273" s="16">
        <f>IF(F273&lt;&gt;"",LOOKUP(2,1/('Weekly Tracker'!$E$2:$E$766=$A273)/('Weekly Tracker'!$F$2:$F$766&lt;&gt;""),'Weekly Tracker'!$G$2:$G$766),"")</f>
        <v/>
      </c>
      <c r="H273" s="9">
        <f>IFERROR(LOOKUP(2,1/('Weekly Tracker'!$E$2:$E$766=$A273)/('Weekly Tracker'!$H$2:$H$766&lt;&gt;""),'Weekly Tracker'!$H$2:$H$766),"")</f>
        <v/>
      </c>
      <c r="I273" s="16">
        <f>IF(H273&lt;&gt;"",LOOKUP(2,1/('Weekly Tracker'!$E$2:$E$766=$A273)/('Weekly Tracker'!$H$2:$H$766&lt;&gt;""),'Weekly Tracker'!$I$2:$I$766),"")</f>
        <v/>
      </c>
      <c r="J273" s="9">
        <f>IFERROR(LOOKUP(2,1/('Weekly Tracker'!$E$2:$E$766=$A273)/('Weekly Tracker'!$J$2:$J$766&lt;&gt;""),'Weekly Tracker'!$J$2:$J$766),"")</f>
        <v/>
      </c>
      <c r="K273" s="9">
        <f>IFERROR(LOOKUP(2,1/('Weekly Tracker'!$E$2:$E$766=$A273)/('Weekly Tracker'!$N$2:$N$766&lt;&gt;""),'Weekly Tracker'!$N$2:$N$766),"")</f>
        <v/>
      </c>
      <c r="L273" s="9">
        <f>IFERROR(LOOKUP(2,1/('Weekly Tracker'!$E$2:$E$766=$A273)/('Weekly Tracker'!$O$2:$O$766&lt;&gt;""),'Weekly Tracker'!$O$2:$O$766),"")</f>
        <v/>
      </c>
    </row>
    <row r="274">
      <c r="A274" s="9" t="inlineStr">
        <is>
          <t>Beller Min FB</t>
        </is>
      </c>
      <c r="B274" s="9" t="inlineStr">
        <is>
          <t>7418552004</t>
        </is>
      </c>
      <c r="C274" s="9" t="n"/>
      <c r="D274" s="9" t="n"/>
      <c r="E274" s="9" t="n"/>
      <c r="F274" s="9">
        <f>IFERROR(LOOKUP(2,1/('Weekly Tracker'!$E$2:$E$766=$A274)/('Weekly Tracker'!$F$2:$F$766&lt;&gt;""),'Weekly Tracker'!$F$2:$F$766),"")</f>
        <v/>
      </c>
      <c r="G274" s="16">
        <f>IF(F274&lt;&gt;"",LOOKUP(2,1/('Weekly Tracker'!$E$2:$E$766=$A274)/('Weekly Tracker'!$F$2:$F$766&lt;&gt;""),'Weekly Tracker'!$G$2:$G$766),"")</f>
        <v/>
      </c>
      <c r="H274" s="9">
        <f>IFERROR(LOOKUP(2,1/('Weekly Tracker'!$E$2:$E$766=$A274)/('Weekly Tracker'!$H$2:$H$766&lt;&gt;""),'Weekly Tracker'!$H$2:$H$766),"")</f>
        <v/>
      </c>
      <c r="I274" s="16">
        <f>IF(H274&lt;&gt;"",LOOKUP(2,1/('Weekly Tracker'!$E$2:$E$766=$A274)/('Weekly Tracker'!$H$2:$H$766&lt;&gt;""),'Weekly Tracker'!$I$2:$I$766),"")</f>
        <v/>
      </c>
      <c r="J274" s="9">
        <f>IFERROR(LOOKUP(2,1/('Weekly Tracker'!$E$2:$E$766=$A274)/('Weekly Tracker'!$J$2:$J$766&lt;&gt;""),'Weekly Tracker'!$J$2:$J$766),"")</f>
        <v/>
      </c>
      <c r="K274" s="9">
        <f>IFERROR(LOOKUP(2,1/('Weekly Tracker'!$E$2:$E$766=$A274)/('Weekly Tracker'!$N$2:$N$766&lt;&gt;""),'Weekly Tracker'!$N$2:$N$766),"")</f>
        <v/>
      </c>
      <c r="L274" s="9">
        <f>IFERROR(LOOKUP(2,1/('Weekly Tracker'!$E$2:$E$766=$A274)/('Weekly Tracker'!$O$2:$O$766&lt;&gt;""),'Weekly Tracker'!$O$2:$O$766),"")</f>
        <v/>
      </c>
    </row>
    <row r="275">
      <c r="A275" s="9" t="inlineStr">
        <is>
          <t>Rethen Rethen FB</t>
        </is>
      </c>
      <c r="B275" s="9" t="inlineStr">
        <is>
          <t>917548898713</t>
        </is>
      </c>
      <c r="C275" s="9" t="n"/>
      <c r="D275" s="9" t="n"/>
      <c r="E275" s="9" t="n"/>
      <c r="F275" s="9">
        <f>IFERROR(LOOKUP(2,1/('Weekly Tracker'!$E$2:$E$766=$A275)/('Weekly Tracker'!$F$2:$F$766&lt;&gt;""),'Weekly Tracker'!$F$2:$F$766),"")</f>
        <v/>
      </c>
      <c r="G275" s="16">
        <f>IF(F275&lt;&gt;"",LOOKUP(2,1/('Weekly Tracker'!$E$2:$E$766=$A275)/('Weekly Tracker'!$F$2:$F$766&lt;&gt;""),'Weekly Tracker'!$G$2:$G$766),"")</f>
        <v/>
      </c>
      <c r="H275" s="9">
        <f>IFERROR(LOOKUP(2,1/('Weekly Tracker'!$E$2:$E$766=$A275)/('Weekly Tracker'!$H$2:$H$766&lt;&gt;""),'Weekly Tracker'!$H$2:$H$766),"")</f>
        <v/>
      </c>
      <c r="I275" s="16">
        <f>IF(H275&lt;&gt;"",LOOKUP(2,1/('Weekly Tracker'!$E$2:$E$766=$A275)/('Weekly Tracker'!$H$2:$H$766&lt;&gt;""),'Weekly Tracker'!$I$2:$I$766),"")</f>
        <v/>
      </c>
      <c r="J275" s="9">
        <f>IFERROR(LOOKUP(2,1/('Weekly Tracker'!$E$2:$E$766=$A275)/('Weekly Tracker'!$J$2:$J$766&lt;&gt;""),'Weekly Tracker'!$J$2:$J$766),"")</f>
        <v/>
      </c>
      <c r="K275" s="9">
        <f>IFERROR(LOOKUP(2,1/('Weekly Tracker'!$E$2:$E$766=$A275)/('Weekly Tracker'!$N$2:$N$766&lt;&gt;""),'Weekly Tracker'!$N$2:$N$766),"")</f>
        <v/>
      </c>
      <c r="L275" s="9">
        <f>IFERROR(LOOKUP(2,1/('Weekly Tracker'!$E$2:$E$766=$A275)/('Weekly Tracker'!$O$2:$O$766&lt;&gt;""),'Weekly Tracker'!$O$2:$O$766),"")</f>
        <v/>
      </c>
    </row>
    <row r="276">
      <c r="A276" s="9" t="inlineStr">
        <is>
          <t>Gowtham Hit Urja</t>
        </is>
      </c>
      <c r="B276" s="9" t="inlineStr">
        <is>
          <t>9790375443</t>
        </is>
      </c>
      <c r="C276" s="9" t="n"/>
      <c r="D276" s="9" t="n"/>
      <c r="E276" s="9" t="n"/>
      <c r="F276" s="9">
        <f>IFERROR(LOOKUP(2,1/('Weekly Tracker'!$E$2:$E$766=$A276)/('Weekly Tracker'!$F$2:$F$766&lt;&gt;""),'Weekly Tracker'!$F$2:$F$766),"")</f>
        <v/>
      </c>
      <c r="G276" s="16">
        <f>IF(F276&lt;&gt;"",LOOKUP(2,1/('Weekly Tracker'!$E$2:$E$766=$A276)/('Weekly Tracker'!$F$2:$F$766&lt;&gt;""),'Weekly Tracker'!$G$2:$G$766),"")</f>
        <v/>
      </c>
      <c r="H276" s="9">
        <f>IFERROR(LOOKUP(2,1/('Weekly Tracker'!$E$2:$E$766=$A276)/('Weekly Tracker'!$H$2:$H$766&lt;&gt;""),'Weekly Tracker'!$H$2:$H$766),"")</f>
        <v/>
      </c>
      <c r="I276" s="16">
        <f>IF(H276&lt;&gt;"",LOOKUP(2,1/('Weekly Tracker'!$E$2:$E$766=$A276)/('Weekly Tracker'!$H$2:$H$766&lt;&gt;""),'Weekly Tracker'!$I$2:$I$766),"")</f>
        <v/>
      </c>
      <c r="J276" s="9">
        <f>IFERROR(LOOKUP(2,1/('Weekly Tracker'!$E$2:$E$766=$A276)/('Weekly Tracker'!$J$2:$J$766&lt;&gt;""),'Weekly Tracker'!$J$2:$J$766),"")</f>
        <v/>
      </c>
      <c r="K276" s="9">
        <f>IFERROR(LOOKUP(2,1/('Weekly Tracker'!$E$2:$E$766=$A276)/('Weekly Tracker'!$N$2:$N$766&lt;&gt;""),'Weekly Tracker'!$N$2:$N$766),"")</f>
        <v/>
      </c>
      <c r="L276" s="9">
        <f>IFERROR(LOOKUP(2,1/('Weekly Tracker'!$E$2:$E$766=$A276)/('Weekly Tracker'!$O$2:$O$766&lt;&gt;""),'Weekly Tracker'!$O$2:$O$766),"")</f>
        <v/>
      </c>
    </row>
    <row r="277">
      <c r="A277" s="9" t="inlineStr">
        <is>
          <t>Sivan athan</t>
        </is>
      </c>
      <c r="B277" s="9" t="inlineStr">
        <is>
          <t>+91 94441 21737</t>
        </is>
      </c>
      <c r="C277" s="9" t="n"/>
      <c r="D277" s="9" t="n"/>
      <c r="E277" s="9" t="n"/>
      <c r="F277" s="9">
        <f>IFERROR(LOOKUP(2,1/('Weekly Tracker'!$E$2:$E$766=$A277)/('Weekly Tracker'!$F$2:$F$766&lt;&gt;""),'Weekly Tracker'!$F$2:$F$766),"")</f>
        <v/>
      </c>
      <c r="G277" s="16">
        <f>IF(F277&lt;&gt;"",LOOKUP(2,1/('Weekly Tracker'!$E$2:$E$766=$A277)/('Weekly Tracker'!$F$2:$F$766&lt;&gt;""),'Weekly Tracker'!$G$2:$G$766),"")</f>
        <v/>
      </c>
      <c r="H277" s="9">
        <f>IFERROR(LOOKUP(2,1/('Weekly Tracker'!$E$2:$E$766=$A277)/('Weekly Tracker'!$H$2:$H$766&lt;&gt;""),'Weekly Tracker'!$H$2:$H$766),"")</f>
        <v/>
      </c>
      <c r="I277" s="16">
        <f>IF(H277&lt;&gt;"",LOOKUP(2,1/('Weekly Tracker'!$E$2:$E$766=$A277)/('Weekly Tracker'!$H$2:$H$766&lt;&gt;""),'Weekly Tracker'!$I$2:$I$766),"")</f>
        <v/>
      </c>
      <c r="J277" s="9">
        <f>IFERROR(LOOKUP(2,1/('Weekly Tracker'!$E$2:$E$766=$A277)/('Weekly Tracker'!$J$2:$J$766&lt;&gt;""),'Weekly Tracker'!$J$2:$J$766),"")</f>
        <v/>
      </c>
      <c r="K277" s="9">
        <f>IFERROR(LOOKUP(2,1/('Weekly Tracker'!$E$2:$E$766=$A277)/('Weekly Tracker'!$N$2:$N$766&lt;&gt;""),'Weekly Tracker'!$N$2:$N$766),"")</f>
        <v/>
      </c>
      <c r="L277" s="9">
        <f>IFERROR(LOOKUP(2,1/('Weekly Tracker'!$E$2:$E$766=$A277)/('Weekly Tracker'!$O$2:$O$766&lt;&gt;""),'Weekly Tracker'!$O$2:$O$766),"")</f>
        <v/>
      </c>
    </row>
    <row r="278">
      <c r="A278" s="9" t="inlineStr">
        <is>
          <t>Padmanabhan Urja</t>
        </is>
      </c>
      <c r="B278" s="9" t="inlineStr">
        <is>
          <t>919994913492</t>
        </is>
      </c>
      <c r="C278" s="9" t="n"/>
      <c r="D278" s="9" t="n"/>
      <c r="E278" s="9" t="n"/>
      <c r="F278" s="9">
        <f>IFERROR(LOOKUP(2,1/('Weekly Tracker'!$E$2:$E$766=$A278)/('Weekly Tracker'!$F$2:$F$766&lt;&gt;""),'Weekly Tracker'!$F$2:$F$766),"")</f>
        <v/>
      </c>
      <c r="G278" s="16">
        <f>IF(F278&lt;&gt;"",LOOKUP(2,1/('Weekly Tracker'!$E$2:$E$766=$A278)/('Weekly Tracker'!$F$2:$F$766&lt;&gt;""),'Weekly Tracker'!$G$2:$G$766),"")</f>
        <v/>
      </c>
      <c r="H278" s="9">
        <f>IFERROR(LOOKUP(2,1/('Weekly Tracker'!$E$2:$E$766=$A278)/('Weekly Tracker'!$H$2:$H$766&lt;&gt;""),'Weekly Tracker'!$H$2:$H$766),"")</f>
        <v/>
      </c>
      <c r="I278" s="16">
        <f>IF(H278&lt;&gt;"",LOOKUP(2,1/('Weekly Tracker'!$E$2:$E$766=$A278)/('Weekly Tracker'!$H$2:$H$766&lt;&gt;""),'Weekly Tracker'!$I$2:$I$766),"")</f>
        <v/>
      </c>
      <c r="J278" s="9">
        <f>IFERROR(LOOKUP(2,1/('Weekly Tracker'!$E$2:$E$766=$A278)/('Weekly Tracker'!$J$2:$J$766&lt;&gt;""),'Weekly Tracker'!$J$2:$J$766),"")</f>
        <v/>
      </c>
      <c r="K278" s="9">
        <f>IFERROR(LOOKUP(2,1/('Weekly Tracker'!$E$2:$E$766=$A278)/('Weekly Tracker'!$N$2:$N$766&lt;&gt;""),'Weekly Tracker'!$N$2:$N$766),"")</f>
        <v/>
      </c>
      <c r="L278" s="9">
        <f>IFERROR(LOOKUP(2,1/('Weekly Tracker'!$E$2:$E$766=$A278)/('Weekly Tracker'!$O$2:$O$766&lt;&gt;""),'Weekly Tracker'!$O$2:$O$766),"")</f>
        <v/>
      </c>
    </row>
    <row r="279">
      <c r="A279" s="9" t="inlineStr">
        <is>
          <t>Prakash Divya PL</t>
        </is>
      </c>
      <c r="B279" s="9" t="inlineStr">
        <is>
          <t>919840921591</t>
        </is>
      </c>
      <c r="C279" s="9" t="n"/>
      <c r="D279" s="9" t="n"/>
      <c r="E279" s="9" t="n"/>
      <c r="F279" s="9">
        <f>IFERROR(LOOKUP(2,1/('Weekly Tracker'!$E$2:$E$766=$A279)/('Weekly Tracker'!$F$2:$F$766&lt;&gt;""),'Weekly Tracker'!$F$2:$F$766),"")</f>
        <v/>
      </c>
      <c r="G279" s="16">
        <f>IF(F279&lt;&gt;"",LOOKUP(2,1/('Weekly Tracker'!$E$2:$E$766=$A279)/('Weekly Tracker'!$F$2:$F$766&lt;&gt;""),'Weekly Tracker'!$G$2:$G$766),"")</f>
        <v/>
      </c>
      <c r="H279" s="9">
        <f>IFERROR(LOOKUP(2,1/('Weekly Tracker'!$E$2:$E$766=$A279)/('Weekly Tracker'!$H$2:$H$766&lt;&gt;""),'Weekly Tracker'!$H$2:$H$766),"")</f>
        <v/>
      </c>
      <c r="I279" s="16">
        <f>IF(H279&lt;&gt;"",LOOKUP(2,1/('Weekly Tracker'!$E$2:$E$766=$A279)/('Weekly Tracker'!$H$2:$H$766&lt;&gt;""),'Weekly Tracker'!$I$2:$I$766),"")</f>
        <v/>
      </c>
      <c r="J279" s="9">
        <f>IFERROR(LOOKUP(2,1/('Weekly Tracker'!$E$2:$E$766=$A279)/('Weekly Tracker'!$J$2:$J$766&lt;&gt;""),'Weekly Tracker'!$J$2:$J$766),"")</f>
        <v/>
      </c>
      <c r="K279" s="9">
        <f>IFERROR(LOOKUP(2,1/('Weekly Tracker'!$E$2:$E$766=$A279)/('Weekly Tracker'!$N$2:$N$766&lt;&gt;""),'Weekly Tracker'!$N$2:$N$766),"")</f>
        <v/>
      </c>
      <c r="L279" s="9">
        <f>IFERROR(LOOKUP(2,1/('Weekly Tracker'!$E$2:$E$766=$A279)/('Weekly Tracker'!$O$2:$O$766&lt;&gt;""),'Weekly Tracker'!$O$2:$O$766),"")</f>
        <v/>
      </c>
    </row>
    <row r="280">
      <c r="A280" s="9" t="inlineStr">
        <is>
          <t>Sujay Sankar FB</t>
        </is>
      </c>
      <c r="B280" s="9" t="inlineStr">
        <is>
          <t>917708415191</t>
        </is>
      </c>
      <c r="C280" s="9" t="n"/>
      <c r="D280" s="9" t="n"/>
      <c r="E280" s="9" t="n"/>
      <c r="F280" s="9">
        <f>IFERROR(LOOKUP(2,1/('Weekly Tracker'!$E$2:$E$766=$A280)/('Weekly Tracker'!$F$2:$F$766&lt;&gt;""),'Weekly Tracker'!$F$2:$F$766),"")</f>
        <v/>
      </c>
      <c r="G280" s="16">
        <f>IF(F280&lt;&gt;"",LOOKUP(2,1/('Weekly Tracker'!$E$2:$E$766=$A280)/('Weekly Tracker'!$F$2:$F$766&lt;&gt;""),'Weekly Tracker'!$G$2:$G$766),"")</f>
        <v/>
      </c>
      <c r="H280" s="9">
        <f>IFERROR(LOOKUP(2,1/('Weekly Tracker'!$E$2:$E$766=$A280)/('Weekly Tracker'!$H$2:$H$766&lt;&gt;""),'Weekly Tracker'!$H$2:$H$766),"")</f>
        <v/>
      </c>
      <c r="I280" s="16">
        <f>IF(H280&lt;&gt;"",LOOKUP(2,1/('Weekly Tracker'!$E$2:$E$766=$A280)/('Weekly Tracker'!$H$2:$H$766&lt;&gt;""),'Weekly Tracker'!$I$2:$I$766),"")</f>
        <v/>
      </c>
      <c r="J280" s="9">
        <f>IFERROR(LOOKUP(2,1/('Weekly Tracker'!$E$2:$E$766=$A280)/('Weekly Tracker'!$J$2:$J$766&lt;&gt;""),'Weekly Tracker'!$J$2:$J$766),"")</f>
        <v/>
      </c>
      <c r="K280" s="9">
        <f>IFERROR(LOOKUP(2,1/('Weekly Tracker'!$E$2:$E$766=$A280)/('Weekly Tracker'!$N$2:$N$766&lt;&gt;""),'Weekly Tracker'!$N$2:$N$766),"")</f>
        <v/>
      </c>
      <c r="L280" s="9">
        <f>IFERROR(LOOKUP(2,1/('Weekly Tracker'!$E$2:$E$766=$A280)/('Weekly Tracker'!$O$2:$O$766&lt;&gt;""),'Weekly Tracker'!$O$2:$O$766),"")</f>
        <v/>
      </c>
    </row>
    <row r="281">
      <c r="A281" s="9" t="inlineStr">
        <is>
          <t>Muthukumar Civil</t>
        </is>
      </c>
      <c r="B281" s="9" t="inlineStr">
        <is>
          <t>919003391952</t>
        </is>
      </c>
      <c r="C281" s="9" t="n"/>
      <c r="D281" s="9" t="n"/>
      <c r="E281" s="9" t="n"/>
      <c r="F281" s="9">
        <f>IFERROR(LOOKUP(2,1/('Weekly Tracker'!$E$2:$E$766=$A281)/('Weekly Tracker'!$F$2:$F$766&lt;&gt;""),'Weekly Tracker'!$F$2:$F$766),"")</f>
        <v/>
      </c>
      <c r="G281" s="16">
        <f>IF(F281&lt;&gt;"",LOOKUP(2,1/('Weekly Tracker'!$E$2:$E$766=$A281)/('Weekly Tracker'!$F$2:$F$766&lt;&gt;""),'Weekly Tracker'!$G$2:$G$766),"")</f>
        <v/>
      </c>
      <c r="H281" s="9">
        <f>IFERROR(LOOKUP(2,1/('Weekly Tracker'!$E$2:$E$766=$A281)/('Weekly Tracker'!$H$2:$H$766&lt;&gt;""),'Weekly Tracker'!$H$2:$H$766),"")</f>
        <v/>
      </c>
      <c r="I281" s="16">
        <f>IF(H281&lt;&gt;"",LOOKUP(2,1/('Weekly Tracker'!$E$2:$E$766=$A281)/('Weekly Tracker'!$H$2:$H$766&lt;&gt;""),'Weekly Tracker'!$I$2:$I$766),"")</f>
        <v/>
      </c>
      <c r="J281" s="9">
        <f>IFERROR(LOOKUP(2,1/('Weekly Tracker'!$E$2:$E$766=$A281)/('Weekly Tracker'!$J$2:$J$766&lt;&gt;""),'Weekly Tracker'!$J$2:$J$766),"")</f>
        <v/>
      </c>
      <c r="K281" s="9">
        <f>IFERROR(LOOKUP(2,1/('Weekly Tracker'!$E$2:$E$766=$A281)/('Weekly Tracker'!$N$2:$N$766&lt;&gt;""),'Weekly Tracker'!$N$2:$N$766),"")</f>
        <v/>
      </c>
      <c r="L281" s="9">
        <f>IFERROR(LOOKUP(2,1/('Weekly Tracker'!$E$2:$E$766=$A281)/('Weekly Tracker'!$O$2:$O$766&lt;&gt;""),'Weekly Tracker'!$O$2:$O$766),"")</f>
        <v/>
      </c>
    </row>
    <row r="282">
      <c r="A282" s="9" t="inlineStr">
        <is>
          <t>Jeya Pradeep Urja</t>
        </is>
      </c>
      <c r="B282" s="9" t="inlineStr">
        <is>
          <t>9944956522</t>
        </is>
      </c>
      <c r="C282" s="9" t="n"/>
      <c r="D282" s="9" t="n"/>
      <c r="E282" s="9" t="n"/>
      <c r="F282" s="9">
        <f>IFERROR(LOOKUP(2,1/('Weekly Tracker'!$E$2:$E$766=$A282)/('Weekly Tracker'!$F$2:$F$766&lt;&gt;""),'Weekly Tracker'!$F$2:$F$766),"")</f>
        <v/>
      </c>
      <c r="G282" s="16">
        <f>IF(F282&lt;&gt;"",LOOKUP(2,1/('Weekly Tracker'!$E$2:$E$766=$A282)/('Weekly Tracker'!$F$2:$F$766&lt;&gt;""),'Weekly Tracker'!$G$2:$G$766),"")</f>
        <v/>
      </c>
      <c r="H282" s="9">
        <f>IFERROR(LOOKUP(2,1/('Weekly Tracker'!$E$2:$E$766=$A282)/('Weekly Tracker'!$H$2:$H$766&lt;&gt;""),'Weekly Tracker'!$H$2:$H$766),"")</f>
        <v/>
      </c>
      <c r="I282" s="16">
        <f>IF(H282&lt;&gt;"",LOOKUP(2,1/('Weekly Tracker'!$E$2:$E$766=$A282)/('Weekly Tracker'!$H$2:$H$766&lt;&gt;""),'Weekly Tracker'!$I$2:$I$766),"")</f>
        <v/>
      </c>
      <c r="J282" s="9">
        <f>IFERROR(LOOKUP(2,1/('Weekly Tracker'!$E$2:$E$766=$A282)/('Weekly Tracker'!$J$2:$J$766&lt;&gt;""),'Weekly Tracker'!$J$2:$J$766),"")</f>
        <v/>
      </c>
      <c r="K282" s="9">
        <f>IFERROR(LOOKUP(2,1/('Weekly Tracker'!$E$2:$E$766=$A282)/('Weekly Tracker'!$N$2:$N$766&lt;&gt;""),'Weekly Tracker'!$N$2:$N$766),"")</f>
        <v/>
      </c>
      <c r="L282" s="9">
        <f>IFERROR(LOOKUP(2,1/('Weekly Tracker'!$E$2:$E$766=$A282)/('Weekly Tracker'!$O$2:$O$766&lt;&gt;""),'Weekly Tracker'!$O$2:$O$766),"")</f>
        <v/>
      </c>
    </row>
    <row r="283">
      <c r="A283" s="9" t="inlineStr">
        <is>
          <t>Kiruba Subramaniyan Insta</t>
        </is>
      </c>
      <c r="B283" s="9" t="inlineStr">
        <is>
          <t>919095356736</t>
        </is>
      </c>
      <c r="C283" s="9" t="n"/>
      <c r="D283" s="9" t="n"/>
      <c r="E283" s="9" t="n"/>
      <c r="F283" s="9">
        <f>IFERROR(LOOKUP(2,1/('Weekly Tracker'!$E$2:$E$766=$A283)/('Weekly Tracker'!$F$2:$F$766&lt;&gt;""),'Weekly Tracker'!$F$2:$F$766),"")</f>
        <v/>
      </c>
      <c r="G283" s="16">
        <f>IF(F283&lt;&gt;"",LOOKUP(2,1/('Weekly Tracker'!$E$2:$E$766=$A283)/('Weekly Tracker'!$F$2:$F$766&lt;&gt;""),'Weekly Tracker'!$G$2:$G$766),"")</f>
        <v/>
      </c>
      <c r="H283" s="9">
        <f>IFERROR(LOOKUP(2,1/('Weekly Tracker'!$E$2:$E$766=$A283)/('Weekly Tracker'!$H$2:$H$766&lt;&gt;""),'Weekly Tracker'!$H$2:$H$766),"")</f>
        <v/>
      </c>
      <c r="I283" s="16">
        <f>IF(H283&lt;&gt;"",LOOKUP(2,1/('Weekly Tracker'!$E$2:$E$766=$A283)/('Weekly Tracker'!$H$2:$H$766&lt;&gt;""),'Weekly Tracker'!$I$2:$I$766),"")</f>
        <v/>
      </c>
      <c r="J283" s="9">
        <f>IFERROR(LOOKUP(2,1/('Weekly Tracker'!$E$2:$E$766=$A283)/('Weekly Tracker'!$J$2:$J$766&lt;&gt;""),'Weekly Tracker'!$J$2:$J$766),"")</f>
        <v/>
      </c>
      <c r="K283" s="9">
        <f>IFERROR(LOOKUP(2,1/('Weekly Tracker'!$E$2:$E$766=$A283)/('Weekly Tracker'!$N$2:$N$766&lt;&gt;""),'Weekly Tracker'!$N$2:$N$766),"")</f>
        <v/>
      </c>
      <c r="L283" s="9">
        <f>IFERROR(LOOKUP(2,1/('Weekly Tracker'!$E$2:$E$766=$A283)/('Weekly Tracker'!$O$2:$O$766&lt;&gt;""),'Weekly Tracker'!$O$2:$O$766),"")</f>
        <v/>
      </c>
    </row>
    <row r="284">
      <c r="A284" s="9" t="inlineStr">
        <is>
          <t>Harihara Sudhan FB</t>
        </is>
      </c>
      <c r="B284" s="9" t="inlineStr">
        <is>
          <t>8610273667</t>
        </is>
      </c>
      <c r="C284" s="9" t="n"/>
      <c r="D284" s="9" t="n"/>
      <c r="E284" s="9" t="n"/>
      <c r="F284" s="9">
        <f>IFERROR(LOOKUP(2,1/('Weekly Tracker'!$E$2:$E$766=$A284)/('Weekly Tracker'!$F$2:$F$766&lt;&gt;""),'Weekly Tracker'!$F$2:$F$766),"")</f>
        <v/>
      </c>
      <c r="G284" s="16">
        <f>IF(F284&lt;&gt;"",LOOKUP(2,1/('Weekly Tracker'!$E$2:$E$766=$A284)/('Weekly Tracker'!$F$2:$F$766&lt;&gt;""),'Weekly Tracker'!$G$2:$G$766),"")</f>
        <v/>
      </c>
      <c r="H284" s="9">
        <f>IFERROR(LOOKUP(2,1/('Weekly Tracker'!$E$2:$E$766=$A284)/('Weekly Tracker'!$H$2:$H$766&lt;&gt;""),'Weekly Tracker'!$H$2:$H$766),"")</f>
        <v/>
      </c>
      <c r="I284" s="16">
        <f>IF(H284&lt;&gt;"",LOOKUP(2,1/('Weekly Tracker'!$E$2:$E$766=$A284)/('Weekly Tracker'!$H$2:$H$766&lt;&gt;""),'Weekly Tracker'!$I$2:$I$766),"")</f>
        <v/>
      </c>
      <c r="J284" s="9">
        <f>IFERROR(LOOKUP(2,1/('Weekly Tracker'!$E$2:$E$766=$A284)/('Weekly Tracker'!$J$2:$J$766&lt;&gt;""),'Weekly Tracker'!$J$2:$J$766),"")</f>
        <v/>
      </c>
      <c r="K284" s="9">
        <f>IFERROR(LOOKUP(2,1/('Weekly Tracker'!$E$2:$E$766=$A284)/('Weekly Tracker'!$N$2:$N$766&lt;&gt;""),'Weekly Tracker'!$N$2:$N$766),"")</f>
        <v/>
      </c>
      <c r="L284" s="9">
        <f>IFERROR(LOOKUP(2,1/('Weekly Tracker'!$E$2:$E$766=$A284)/('Weekly Tracker'!$O$2:$O$766&lt;&gt;""),'Weekly Tracker'!$O$2:$O$766),"")</f>
        <v/>
      </c>
    </row>
    <row r="285">
      <c r="A285" s="9" t="inlineStr">
        <is>
          <t>Mathi 3yr</t>
        </is>
      </c>
      <c r="B285" s="9" t="inlineStr">
        <is>
          <t>919688285228</t>
        </is>
      </c>
      <c r="C285" s="9" t="n"/>
      <c r="D285" s="9" t="n"/>
      <c r="E285" s="9" t="n"/>
      <c r="F285" s="9">
        <f>IFERROR(LOOKUP(2,1/('Weekly Tracker'!$E$2:$E$766=$A285)/('Weekly Tracker'!$F$2:$F$766&lt;&gt;""),'Weekly Tracker'!$F$2:$F$766),"")</f>
        <v/>
      </c>
      <c r="G285" s="16">
        <f>IF(F285&lt;&gt;"",LOOKUP(2,1/('Weekly Tracker'!$E$2:$E$766=$A285)/('Weekly Tracker'!$F$2:$F$766&lt;&gt;""),'Weekly Tracker'!$G$2:$G$766),"")</f>
        <v/>
      </c>
      <c r="H285" s="9">
        <f>IFERROR(LOOKUP(2,1/('Weekly Tracker'!$E$2:$E$766=$A285)/('Weekly Tracker'!$H$2:$H$766&lt;&gt;""),'Weekly Tracker'!$H$2:$H$766),"")</f>
        <v/>
      </c>
      <c r="I285" s="16">
        <f>IF(H285&lt;&gt;"",LOOKUP(2,1/('Weekly Tracker'!$E$2:$E$766=$A285)/('Weekly Tracker'!$H$2:$H$766&lt;&gt;""),'Weekly Tracker'!$I$2:$I$766),"")</f>
        <v/>
      </c>
      <c r="J285" s="9">
        <f>IFERROR(LOOKUP(2,1/('Weekly Tracker'!$E$2:$E$766=$A285)/('Weekly Tracker'!$J$2:$J$766&lt;&gt;""),'Weekly Tracker'!$J$2:$J$766),"")</f>
        <v/>
      </c>
      <c r="K285" s="9">
        <f>IFERROR(LOOKUP(2,1/('Weekly Tracker'!$E$2:$E$766=$A285)/('Weekly Tracker'!$N$2:$N$766&lt;&gt;""),'Weekly Tracker'!$N$2:$N$766),"")</f>
        <v/>
      </c>
      <c r="L285" s="9">
        <f>IFERROR(LOOKUP(2,1/('Weekly Tracker'!$E$2:$E$766=$A285)/('Weekly Tracker'!$O$2:$O$766&lt;&gt;""),'Weekly Tracker'!$O$2:$O$766),"")</f>
        <v/>
      </c>
    </row>
    <row r="286">
      <c r="A286" s="9" t="inlineStr">
        <is>
          <t>Vignesh ECE</t>
        </is>
      </c>
      <c r="B286" s="9" t="inlineStr">
        <is>
          <t>919600802449</t>
        </is>
      </c>
      <c r="C286" s="9" t="n"/>
      <c r="D286" s="9" t="n"/>
      <c r="E286" s="9" t="n"/>
      <c r="F286" s="9">
        <f>IFERROR(LOOKUP(2,1/('Weekly Tracker'!$E$2:$E$766=$A286)/('Weekly Tracker'!$F$2:$F$766&lt;&gt;""),'Weekly Tracker'!$F$2:$F$766),"")</f>
        <v/>
      </c>
      <c r="G286" s="16">
        <f>IF(F286&lt;&gt;"",LOOKUP(2,1/('Weekly Tracker'!$E$2:$E$766=$A286)/('Weekly Tracker'!$F$2:$F$766&lt;&gt;""),'Weekly Tracker'!$G$2:$G$766),"")</f>
        <v/>
      </c>
      <c r="H286" s="9">
        <f>IFERROR(LOOKUP(2,1/('Weekly Tracker'!$E$2:$E$766=$A286)/('Weekly Tracker'!$H$2:$H$766&lt;&gt;""),'Weekly Tracker'!$H$2:$H$766),"")</f>
        <v/>
      </c>
      <c r="I286" s="16">
        <f>IF(H286&lt;&gt;"",LOOKUP(2,1/('Weekly Tracker'!$E$2:$E$766=$A286)/('Weekly Tracker'!$H$2:$H$766&lt;&gt;""),'Weekly Tracker'!$I$2:$I$766),"")</f>
        <v/>
      </c>
      <c r="J286" s="9">
        <f>IFERROR(LOOKUP(2,1/('Weekly Tracker'!$E$2:$E$766=$A286)/('Weekly Tracker'!$J$2:$J$766&lt;&gt;""),'Weekly Tracker'!$J$2:$J$766),"")</f>
        <v/>
      </c>
      <c r="K286" s="9">
        <f>IFERROR(LOOKUP(2,1/('Weekly Tracker'!$E$2:$E$766=$A286)/('Weekly Tracker'!$N$2:$N$766&lt;&gt;""),'Weekly Tracker'!$N$2:$N$766),"")</f>
        <v/>
      </c>
      <c r="L286" s="9">
        <f>IFERROR(LOOKUP(2,1/('Weekly Tracker'!$E$2:$E$766=$A286)/('Weekly Tracker'!$O$2:$O$766&lt;&gt;""),'Weekly Tracker'!$O$2:$O$766),"")</f>
        <v/>
      </c>
    </row>
    <row r="287">
      <c r="A287" s="9" t="inlineStr">
        <is>
          <t>Dinesh C FB</t>
        </is>
      </c>
      <c r="B287" s="9" t="inlineStr">
        <is>
          <t>9865888773</t>
        </is>
      </c>
      <c r="C287" s="9" t="n"/>
      <c r="D287" s="9" t="n"/>
      <c r="E287" s="9" t="n"/>
      <c r="F287" s="9">
        <f>IFERROR(LOOKUP(2,1/('Weekly Tracker'!$E$2:$E$766=$A287)/('Weekly Tracker'!$F$2:$F$766&lt;&gt;""),'Weekly Tracker'!$F$2:$F$766),"")</f>
        <v/>
      </c>
      <c r="G287" s="16">
        <f>IF(F287&lt;&gt;"",LOOKUP(2,1/('Weekly Tracker'!$E$2:$E$766=$A287)/('Weekly Tracker'!$F$2:$F$766&lt;&gt;""),'Weekly Tracker'!$G$2:$G$766),"")</f>
        <v/>
      </c>
      <c r="H287" s="9">
        <f>IFERROR(LOOKUP(2,1/('Weekly Tracker'!$E$2:$E$766=$A287)/('Weekly Tracker'!$H$2:$H$766&lt;&gt;""),'Weekly Tracker'!$H$2:$H$766),"")</f>
        <v/>
      </c>
      <c r="I287" s="16">
        <f>IF(H287&lt;&gt;"",LOOKUP(2,1/('Weekly Tracker'!$E$2:$E$766=$A287)/('Weekly Tracker'!$H$2:$H$766&lt;&gt;""),'Weekly Tracker'!$I$2:$I$766),"")</f>
        <v/>
      </c>
      <c r="J287" s="9">
        <f>IFERROR(LOOKUP(2,1/('Weekly Tracker'!$E$2:$E$766=$A287)/('Weekly Tracker'!$J$2:$J$766&lt;&gt;""),'Weekly Tracker'!$J$2:$J$766),"")</f>
        <v/>
      </c>
      <c r="K287" s="9">
        <f>IFERROR(LOOKUP(2,1/('Weekly Tracker'!$E$2:$E$766=$A287)/('Weekly Tracker'!$N$2:$N$766&lt;&gt;""),'Weekly Tracker'!$N$2:$N$766),"")</f>
        <v/>
      </c>
      <c r="L287" s="9">
        <f>IFERROR(LOOKUP(2,1/('Weekly Tracker'!$E$2:$E$766=$A287)/('Weekly Tracker'!$O$2:$O$766&lt;&gt;""),'Weekly Tracker'!$O$2:$O$766),"")</f>
        <v/>
      </c>
    </row>
    <row r="288">
      <c r="A288" s="9" t="inlineStr">
        <is>
          <t>Thirunavukkarasu Urja</t>
        </is>
      </c>
      <c r="B288" s="9" t="inlineStr">
        <is>
          <t>919944337580</t>
        </is>
      </c>
      <c r="C288" s="9" t="n"/>
      <c r="D288" s="9" t="n"/>
      <c r="E288" s="9" t="n"/>
      <c r="F288" s="9">
        <f>IFERROR(LOOKUP(2,1/('Weekly Tracker'!$E$2:$E$766=$A288)/('Weekly Tracker'!$F$2:$F$766&lt;&gt;""),'Weekly Tracker'!$F$2:$F$766),"")</f>
        <v/>
      </c>
      <c r="G288" s="16">
        <f>IF(F288&lt;&gt;"",LOOKUP(2,1/('Weekly Tracker'!$E$2:$E$766=$A288)/('Weekly Tracker'!$F$2:$F$766&lt;&gt;""),'Weekly Tracker'!$G$2:$G$766),"")</f>
        <v/>
      </c>
      <c r="H288" s="9">
        <f>IFERROR(LOOKUP(2,1/('Weekly Tracker'!$E$2:$E$766=$A288)/('Weekly Tracker'!$H$2:$H$766&lt;&gt;""),'Weekly Tracker'!$H$2:$H$766),"")</f>
        <v/>
      </c>
      <c r="I288" s="16">
        <f>IF(H288&lt;&gt;"",LOOKUP(2,1/('Weekly Tracker'!$E$2:$E$766=$A288)/('Weekly Tracker'!$H$2:$H$766&lt;&gt;""),'Weekly Tracker'!$I$2:$I$766),"")</f>
        <v/>
      </c>
      <c r="J288" s="9">
        <f>IFERROR(LOOKUP(2,1/('Weekly Tracker'!$E$2:$E$766=$A288)/('Weekly Tracker'!$J$2:$J$766&lt;&gt;""),'Weekly Tracker'!$J$2:$J$766),"")</f>
        <v/>
      </c>
      <c r="K288" s="9">
        <f>IFERROR(LOOKUP(2,1/('Weekly Tracker'!$E$2:$E$766=$A288)/('Weekly Tracker'!$N$2:$N$766&lt;&gt;""),'Weekly Tracker'!$N$2:$N$766),"")</f>
        <v/>
      </c>
      <c r="L288" s="9">
        <f>IFERROR(LOOKUP(2,1/('Weekly Tracker'!$E$2:$E$766=$A288)/('Weekly Tracker'!$O$2:$O$766&lt;&gt;""),'Weekly Tracker'!$O$2:$O$766),"")</f>
        <v/>
      </c>
    </row>
    <row r="289">
      <c r="A289" s="9" t="inlineStr">
        <is>
          <t>Mohana Infy</t>
        </is>
      </c>
      <c r="B289" s="9" t="inlineStr">
        <is>
          <t>919677954845</t>
        </is>
      </c>
      <c r="C289" s="9" t="n"/>
      <c r="D289" s="9" t="n"/>
      <c r="E289" s="9" t="n"/>
      <c r="F289" s="9">
        <f>IFERROR(LOOKUP(2,1/('Weekly Tracker'!$E$2:$E$766=$A289)/('Weekly Tracker'!$F$2:$F$766&lt;&gt;""),'Weekly Tracker'!$F$2:$F$766),"")</f>
        <v/>
      </c>
      <c r="G289" s="16">
        <f>IF(F289&lt;&gt;"",LOOKUP(2,1/('Weekly Tracker'!$E$2:$E$766=$A289)/('Weekly Tracker'!$F$2:$F$766&lt;&gt;""),'Weekly Tracker'!$G$2:$G$766),"")</f>
        <v/>
      </c>
      <c r="H289" s="9">
        <f>IFERROR(LOOKUP(2,1/('Weekly Tracker'!$E$2:$E$766=$A289)/('Weekly Tracker'!$H$2:$H$766&lt;&gt;""),'Weekly Tracker'!$H$2:$H$766),"")</f>
        <v/>
      </c>
      <c r="I289" s="16">
        <f>IF(H289&lt;&gt;"",LOOKUP(2,1/('Weekly Tracker'!$E$2:$E$766=$A289)/('Weekly Tracker'!$H$2:$H$766&lt;&gt;""),'Weekly Tracker'!$I$2:$I$766),"")</f>
        <v/>
      </c>
      <c r="J289" s="9">
        <f>IFERROR(LOOKUP(2,1/('Weekly Tracker'!$E$2:$E$766=$A289)/('Weekly Tracker'!$J$2:$J$766&lt;&gt;""),'Weekly Tracker'!$J$2:$J$766),"")</f>
        <v/>
      </c>
      <c r="K289" s="9">
        <f>IFERROR(LOOKUP(2,1/('Weekly Tracker'!$E$2:$E$766=$A289)/('Weekly Tracker'!$N$2:$N$766&lt;&gt;""),'Weekly Tracker'!$N$2:$N$766),"")</f>
        <v/>
      </c>
      <c r="L289" s="9">
        <f>IFERROR(LOOKUP(2,1/('Weekly Tracker'!$E$2:$E$766=$A289)/('Weekly Tracker'!$O$2:$O$766&lt;&gt;""),'Weekly Tracker'!$O$2:$O$766),"")</f>
        <v/>
      </c>
    </row>
    <row r="290">
      <c r="A290" s="9" t="inlineStr">
        <is>
          <t>Nalla Thambi Local</t>
        </is>
      </c>
      <c r="B290" s="9" t="inlineStr">
        <is>
          <t>919500305841</t>
        </is>
      </c>
      <c r="C290" s="9" t="n"/>
      <c r="D290" s="9" t="n"/>
      <c r="E290" s="9" t="n"/>
      <c r="F290" s="9">
        <f>IFERROR(LOOKUP(2,1/('Weekly Tracker'!$E$2:$E$766=$A290)/('Weekly Tracker'!$F$2:$F$766&lt;&gt;""),'Weekly Tracker'!$F$2:$F$766),"")</f>
        <v/>
      </c>
      <c r="G290" s="16">
        <f>IF(F290&lt;&gt;"",LOOKUP(2,1/('Weekly Tracker'!$E$2:$E$766=$A290)/('Weekly Tracker'!$F$2:$F$766&lt;&gt;""),'Weekly Tracker'!$G$2:$G$766),"")</f>
        <v/>
      </c>
      <c r="H290" s="9">
        <f>IFERROR(LOOKUP(2,1/('Weekly Tracker'!$E$2:$E$766=$A290)/('Weekly Tracker'!$H$2:$H$766&lt;&gt;""),'Weekly Tracker'!$H$2:$H$766),"")</f>
        <v/>
      </c>
      <c r="I290" s="16">
        <f>IF(H290&lt;&gt;"",LOOKUP(2,1/('Weekly Tracker'!$E$2:$E$766=$A290)/('Weekly Tracker'!$H$2:$H$766&lt;&gt;""),'Weekly Tracker'!$I$2:$I$766),"")</f>
        <v/>
      </c>
      <c r="J290" s="9">
        <f>IFERROR(LOOKUP(2,1/('Weekly Tracker'!$E$2:$E$766=$A290)/('Weekly Tracker'!$J$2:$J$766&lt;&gt;""),'Weekly Tracker'!$J$2:$J$766),"")</f>
        <v/>
      </c>
      <c r="K290" s="9">
        <f>IFERROR(LOOKUP(2,1/('Weekly Tracker'!$E$2:$E$766=$A290)/('Weekly Tracker'!$N$2:$N$766&lt;&gt;""),'Weekly Tracker'!$N$2:$N$766),"")</f>
        <v/>
      </c>
      <c r="L290" s="9">
        <f>IFERROR(LOOKUP(2,1/('Weekly Tracker'!$E$2:$E$766=$A290)/('Weekly Tracker'!$O$2:$O$766&lt;&gt;""),'Weekly Tracker'!$O$2:$O$766),"")</f>
        <v/>
      </c>
    </row>
    <row r="291">
      <c r="A291" s="9" t="inlineStr">
        <is>
          <t>Rayappan Joseph FB</t>
        </is>
      </c>
      <c r="B291" s="9" t="inlineStr">
        <is>
          <t>9092250502</t>
        </is>
      </c>
      <c r="C291" s="9" t="n"/>
      <c r="D291" s="9" t="n"/>
      <c r="E291" s="9" t="n"/>
      <c r="F291" s="9">
        <f>IFERROR(LOOKUP(2,1/('Weekly Tracker'!$E$2:$E$766=$A291)/('Weekly Tracker'!$F$2:$F$766&lt;&gt;""),'Weekly Tracker'!$F$2:$F$766),"")</f>
        <v/>
      </c>
      <c r="G291" s="16">
        <f>IF(F291&lt;&gt;"",LOOKUP(2,1/('Weekly Tracker'!$E$2:$E$766=$A291)/('Weekly Tracker'!$F$2:$F$766&lt;&gt;""),'Weekly Tracker'!$G$2:$G$766),"")</f>
        <v/>
      </c>
      <c r="H291" s="9">
        <f>IFERROR(LOOKUP(2,1/('Weekly Tracker'!$E$2:$E$766=$A291)/('Weekly Tracker'!$H$2:$H$766&lt;&gt;""),'Weekly Tracker'!$H$2:$H$766),"")</f>
        <v/>
      </c>
      <c r="I291" s="16">
        <f>IF(H291&lt;&gt;"",LOOKUP(2,1/('Weekly Tracker'!$E$2:$E$766=$A291)/('Weekly Tracker'!$H$2:$H$766&lt;&gt;""),'Weekly Tracker'!$I$2:$I$766),"")</f>
        <v/>
      </c>
      <c r="J291" s="9">
        <f>IFERROR(LOOKUP(2,1/('Weekly Tracker'!$E$2:$E$766=$A291)/('Weekly Tracker'!$J$2:$J$766&lt;&gt;""),'Weekly Tracker'!$J$2:$J$766),"")</f>
        <v/>
      </c>
      <c r="K291" s="9">
        <f>IFERROR(LOOKUP(2,1/('Weekly Tracker'!$E$2:$E$766=$A291)/('Weekly Tracker'!$N$2:$N$766&lt;&gt;""),'Weekly Tracker'!$N$2:$N$766),"")</f>
        <v/>
      </c>
      <c r="L291" s="9">
        <f>IFERROR(LOOKUP(2,1/('Weekly Tracker'!$E$2:$E$766=$A291)/('Weekly Tracker'!$O$2:$O$766&lt;&gt;""),'Weekly Tracker'!$O$2:$O$766),"")</f>
        <v/>
      </c>
    </row>
    <row r="292">
      <c r="A292" s="9" t="inlineStr">
        <is>
          <t>Jenishta Louis Grp Ucen</t>
        </is>
      </c>
      <c r="B292" s="9" t="inlineStr">
        <is>
          <t>919600223695</t>
        </is>
      </c>
      <c r="C292" s="9" t="n"/>
      <c r="D292" s="9" t="n"/>
      <c r="E292" s="9" t="n"/>
      <c r="F292" s="9">
        <f>IFERROR(LOOKUP(2,1/('Weekly Tracker'!$E$2:$E$766=$A292)/('Weekly Tracker'!$F$2:$F$766&lt;&gt;""),'Weekly Tracker'!$F$2:$F$766),"")</f>
        <v/>
      </c>
      <c r="G292" s="16">
        <f>IF(F292&lt;&gt;"",LOOKUP(2,1/('Weekly Tracker'!$E$2:$E$766=$A292)/('Weekly Tracker'!$F$2:$F$766&lt;&gt;""),'Weekly Tracker'!$G$2:$G$766),"")</f>
        <v/>
      </c>
      <c r="H292" s="9">
        <f>IFERROR(LOOKUP(2,1/('Weekly Tracker'!$E$2:$E$766=$A292)/('Weekly Tracker'!$H$2:$H$766&lt;&gt;""),'Weekly Tracker'!$H$2:$H$766),"")</f>
        <v/>
      </c>
      <c r="I292" s="16">
        <f>IF(H292&lt;&gt;"",LOOKUP(2,1/('Weekly Tracker'!$E$2:$E$766=$A292)/('Weekly Tracker'!$H$2:$H$766&lt;&gt;""),'Weekly Tracker'!$I$2:$I$766),"")</f>
        <v/>
      </c>
      <c r="J292" s="9">
        <f>IFERROR(LOOKUP(2,1/('Weekly Tracker'!$E$2:$E$766=$A292)/('Weekly Tracker'!$J$2:$J$766&lt;&gt;""),'Weekly Tracker'!$J$2:$J$766),"")</f>
        <v/>
      </c>
      <c r="K292" s="9">
        <f>IFERROR(LOOKUP(2,1/('Weekly Tracker'!$E$2:$E$766=$A292)/('Weekly Tracker'!$N$2:$N$766&lt;&gt;""),'Weekly Tracker'!$N$2:$N$766),"")</f>
        <v/>
      </c>
      <c r="L292" s="9">
        <f>IFERROR(LOOKUP(2,1/('Weekly Tracker'!$E$2:$E$766=$A292)/('Weekly Tracker'!$O$2:$O$766&lt;&gt;""),'Weekly Tracker'!$O$2:$O$766),"")</f>
        <v/>
      </c>
    </row>
    <row r="293">
      <c r="A293" s="9" t="inlineStr">
        <is>
          <t>Kumar Arun FB</t>
        </is>
      </c>
      <c r="B293" s="9" t="inlineStr">
        <is>
          <t>918050633901</t>
        </is>
      </c>
      <c r="C293" s="9" t="n"/>
      <c r="D293" s="9" t="n"/>
      <c r="E293" s="9" t="n"/>
      <c r="F293" s="9">
        <f>IFERROR(LOOKUP(2,1/('Weekly Tracker'!$E$2:$E$766=$A293)/('Weekly Tracker'!$F$2:$F$766&lt;&gt;""),'Weekly Tracker'!$F$2:$F$766),"")</f>
        <v/>
      </c>
      <c r="G293" s="16">
        <f>IF(F293&lt;&gt;"",LOOKUP(2,1/('Weekly Tracker'!$E$2:$E$766=$A293)/('Weekly Tracker'!$F$2:$F$766&lt;&gt;""),'Weekly Tracker'!$G$2:$G$766),"")</f>
        <v/>
      </c>
      <c r="H293" s="9">
        <f>IFERROR(LOOKUP(2,1/('Weekly Tracker'!$E$2:$E$766=$A293)/('Weekly Tracker'!$H$2:$H$766&lt;&gt;""),'Weekly Tracker'!$H$2:$H$766),"")</f>
        <v/>
      </c>
      <c r="I293" s="16">
        <f>IF(H293&lt;&gt;"",LOOKUP(2,1/('Weekly Tracker'!$E$2:$E$766=$A293)/('Weekly Tracker'!$H$2:$H$766&lt;&gt;""),'Weekly Tracker'!$I$2:$I$766),"")</f>
        <v/>
      </c>
      <c r="J293" s="9">
        <f>IFERROR(LOOKUP(2,1/('Weekly Tracker'!$E$2:$E$766=$A293)/('Weekly Tracker'!$J$2:$J$766&lt;&gt;""),'Weekly Tracker'!$J$2:$J$766),"")</f>
        <v/>
      </c>
      <c r="K293" s="9">
        <f>IFERROR(LOOKUP(2,1/('Weekly Tracker'!$E$2:$E$766=$A293)/('Weekly Tracker'!$N$2:$N$766&lt;&gt;""),'Weekly Tracker'!$N$2:$N$766),"")</f>
        <v/>
      </c>
      <c r="L293" s="9">
        <f>IFERROR(LOOKUP(2,1/('Weekly Tracker'!$E$2:$E$766=$A293)/('Weekly Tracker'!$O$2:$O$766&lt;&gt;""),'Weekly Tracker'!$O$2:$O$766),"")</f>
        <v/>
      </c>
    </row>
    <row r="294">
      <c r="A294" s="9" t="inlineStr">
        <is>
          <t>Vishnu Mech</t>
        </is>
      </c>
      <c r="B294" s="9" t="inlineStr">
        <is>
          <t>+91 77680 06140, 919146708356</t>
        </is>
      </c>
      <c r="C294" s="9" t="n"/>
      <c r="D294" s="9" t="n"/>
      <c r="E294" s="9" t="n"/>
      <c r="F294" s="9">
        <f>IFERROR(LOOKUP(2,1/('Weekly Tracker'!$E$2:$E$766=$A294)/('Weekly Tracker'!$F$2:$F$766&lt;&gt;""),'Weekly Tracker'!$F$2:$F$766),"")</f>
        <v/>
      </c>
      <c r="G294" s="16">
        <f>IF(F294&lt;&gt;"",LOOKUP(2,1/('Weekly Tracker'!$E$2:$E$766=$A294)/('Weekly Tracker'!$F$2:$F$766&lt;&gt;""),'Weekly Tracker'!$G$2:$G$766),"")</f>
        <v/>
      </c>
      <c r="H294" s="9">
        <f>IFERROR(LOOKUP(2,1/('Weekly Tracker'!$E$2:$E$766=$A294)/('Weekly Tracker'!$H$2:$H$766&lt;&gt;""),'Weekly Tracker'!$H$2:$H$766),"")</f>
        <v/>
      </c>
      <c r="I294" s="16">
        <f>IF(H294&lt;&gt;"",LOOKUP(2,1/('Weekly Tracker'!$E$2:$E$766=$A294)/('Weekly Tracker'!$H$2:$H$766&lt;&gt;""),'Weekly Tracker'!$I$2:$I$766),"")</f>
        <v/>
      </c>
      <c r="J294" s="9">
        <f>IFERROR(LOOKUP(2,1/('Weekly Tracker'!$E$2:$E$766=$A294)/('Weekly Tracker'!$J$2:$J$766&lt;&gt;""),'Weekly Tracker'!$J$2:$J$766),"")</f>
        <v/>
      </c>
      <c r="K294" s="9">
        <f>IFERROR(LOOKUP(2,1/('Weekly Tracker'!$E$2:$E$766=$A294)/('Weekly Tracker'!$N$2:$N$766&lt;&gt;""),'Weekly Tracker'!$N$2:$N$766),"")</f>
        <v/>
      </c>
      <c r="L294" s="9">
        <f>IFERROR(LOOKUP(2,1/('Weekly Tracker'!$E$2:$E$766=$A294)/('Weekly Tracker'!$O$2:$O$766&lt;&gt;""),'Weekly Tracker'!$O$2:$O$766),"")</f>
        <v/>
      </c>
    </row>
    <row r="295">
      <c r="A295" s="9" t="inlineStr">
        <is>
          <t>Shainu</t>
        </is>
      </c>
      <c r="B295" s="9" t="inlineStr">
        <is>
          <t>919487414691, +91 95008 50242</t>
        </is>
      </c>
      <c r="C295" s="9" t="n"/>
      <c r="D295" s="9" t="n"/>
      <c r="E295" s="9" t="n"/>
      <c r="F295" s="9">
        <f>IFERROR(LOOKUP(2,1/('Weekly Tracker'!$E$2:$E$766=$A295)/('Weekly Tracker'!$F$2:$F$766&lt;&gt;""),'Weekly Tracker'!$F$2:$F$766),"")</f>
        <v/>
      </c>
      <c r="G295" s="16">
        <f>IF(F295&lt;&gt;"",LOOKUP(2,1/('Weekly Tracker'!$E$2:$E$766=$A295)/('Weekly Tracker'!$F$2:$F$766&lt;&gt;""),'Weekly Tracker'!$G$2:$G$766),"")</f>
        <v/>
      </c>
      <c r="H295" s="9">
        <f>IFERROR(LOOKUP(2,1/('Weekly Tracker'!$E$2:$E$766=$A295)/('Weekly Tracker'!$H$2:$H$766&lt;&gt;""),'Weekly Tracker'!$H$2:$H$766),"")</f>
        <v/>
      </c>
      <c r="I295" s="16">
        <f>IF(H295&lt;&gt;"",LOOKUP(2,1/('Weekly Tracker'!$E$2:$E$766=$A295)/('Weekly Tracker'!$H$2:$H$766&lt;&gt;""),'Weekly Tracker'!$I$2:$I$766),"")</f>
        <v/>
      </c>
      <c r="J295" s="9">
        <f>IFERROR(LOOKUP(2,1/('Weekly Tracker'!$E$2:$E$766=$A295)/('Weekly Tracker'!$J$2:$J$766&lt;&gt;""),'Weekly Tracker'!$J$2:$J$766),"")</f>
        <v/>
      </c>
      <c r="K295" s="9">
        <f>IFERROR(LOOKUP(2,1/('Weekly Tracker'!$E$2:$E$766=$A295)/('Weekly Tracker'!$N$2:$N$766&lt;&gt;""),'Weekly Tracker'!$N$2:$N$766),"")</f>
        <v/>
      </c>
      <c r="L295" s="9">
        <f>IFERROR(LOOKUP(2,1/('Weekly Tracker'!$E$2:$E$766=$A295)/('Weekly Tracker'!$O$2:$O$766&lt;&gt;""),'Weekly Tracker'!$O$2:$O$766),"")</f>
        <v/>
      </c>
    </row>
    <row r="296">
      <c r="A296" s="9" t="inlineStr">
        <is>
          <t>Shane ECE</t>
        </is>
      </c>
      <c r="B296" s="9" t="inlineStr">
        <is>
          <t>919629755998</t>
        </is>
      </c>
      <c r="C296" s="9" t="n"/>
      <c r="D296" s="9" t="n"/>
      <c r="E296" s="9" t="n"/>
      <c r="F296" s="9">
        <f>IFERROR(LOOKUP(2,1/('Weekly Tracker'!$E$2:$E$766=$A296)/('Weekly Tracker'!$F$2:$F$766&lt;&gt;""),'Weekly Tracker'!$F$2:$F$766),"")</f>
        <v/>
      </c>
      <c r="G296" s="16">
        <f>IF(F296&lt;&gt;"",LOOKUP(2,1/('Weekly Tracker'!$E$2:$E$766=$A296)/('Weekly Tracker'!$F$2:$F$766&lt;&gt;""),'Weekly Tracker'!$G$2:$G$766),"")</f>
        <v/>
      </c>
      <c r="H296" s="9">
        <f>IFERROR(LOOKUP(2,1/('Weekly Tracker'!$E$2:$E$766=$A296)/('Weekly Tracker'!$H$2:$H$766&lt;&gt;""),'Weekly Tracker'!$H$2:$H$766),"")</f>
        <v/>
      </c>
      <c r="I296" s="16">
        <f>IF(H296&lt;&gt;"",LOOKUP(2,1/('Weekly Tracker'!$E$2:$E$766=$A296)/('Weekly Tracker'!$H$2:$H$766&lt;&gt;""),'Weekly Tracker'!$I$2:$I$766),"")</f>
        <v/>
      </c>
      <c r="J296" s="9">
        <f>IFERROR(LOOKUP(2,1/('Weekly Tracker'!$E$2:$E$766=$A296)/('Weekly Tracker'!$J$2:$J$766&lt;&gt;""),'Weekly Tracker'!$J$2:$J$766),"")</f>
        <v/>
      </c>
      <c r="K296" s="9">
        <f>IFERROR(LOOKUP(2,1/('Weekly Tracker'!$E$2:$E$766=$A296)/('Weekly Tracker'!$N$2:$N$766&lt;&gt;""),'Weekly Tracker'!$N$2:$N$766),"")</f>
        <v/>
      </c>
      <c r="L296" s="9">
        <f>IFERROR(LOOKUP(2,1/('Weekly Tracker'!$E$2:$E$766=$A296)/('Weekly Tracker'!$O$2:$O$766&lt;&gt;""),'Weekly Tracker'!$O$2:$O$766),"")</f>
        <v/>
      </c>
    </row>
    <row r="297">
      <c r="A297" s="9" t="inlineStr">
        <is>
          <t>Pandiyan Ayyanar FB</t>
        </is>
      </c>
      <c r="B297" s="9" t="inlineStr">
        <is>
          <t>8148882030</t>
        </is>
      </c>
      <c r="C297" s="9" t="n"/>
      <c r="D297" s="9" t="n"/>
      <c r="E297" s="9" t="n"/>
      <c r="F297" s="9">
        <f>IFERROR(LOOKUP(2,1/('Weekly Tracker'!$E$2:$E$766=$A297)/('Weekly Tracker'!$F$2:$F$766&lt;&gt;""),'Weekly Tracker'!$F$2:$F$766),"")</f>
        <v/>
      </c>
      <c r="G297" s="16">
        <f>IF(F297&lt;&gt;"",LOOKUP(2,1/('Weekly Tracker'!$E$2:$E$766=$A297)/('Weekly Tracker'!$F$2:$F$766&lt;&gt;""),'Weekly Tracker'!$G$2:$G$766),"")</f>
        <v/>
      </c>
      <c r="H297" s="9">
        <f>IFERROR(LOOKUP(2,1/('Weekly Tracker'!$E$2:$E$766=$A297)/('Weekly Tracker'!$H$2:$H$766&lt;&gt;""),'Weekly Tracker'!$H$2:$H$766),"")</f>
        <v/>
      </c>
      <c r="I297" s="16">
        <f>IF(H297&lt;&gt;"",LOOKUP(2,1/('Weekly Tracker'!$E$2:$E$766=$A297)/('Weekly Tracker'!$H$2:$H$766&lt;&gt;""),'Weekly Tracker'!$I$2:$I$766),"")</f>
        <v/>
      </c>
      <c r="J297" s="9">
        <f>IFERROR(LOOKUP(2,1/('Weekly Tracker'!$E$2:$E$766=$A297)/('Weekly Tracker'!$J$2:$J$766&lt;&gt;""),'Weekly Tracker'!$J$2:$J$766),"")</f>
        <v/>
      </c>
      <c r="K297" s="9">
        <f>IFERROR(LOOKUP(2,1/('Weekly Tracker'!$E$2:$E$766=$A297)/('Weekly Tracker'!$N$2:$N$766&lt;&gt;""),'Weekly Tracker'!$N$2:$N$766),"")</f>
        <v/>
      </c>
      <c r="L297" s="9">
        <f>IFERROR(LOOKUP(2,1/('Weekly Tracker'!$E$2:$E$766=$A297)/('Weekly Tracker'!$O$2:$O$766&lt;&gt;""),'Weekly Tracker'!$O$2:$O$766),"")</f>
        <v/>
      </c>
    </row>
    <row r="298">
      <c r="A298" s="9" t="inlineStr">
        <is>
          <t>My Idea *121#</t>
        </is>
      </c>
      <c r="B298" s="9" t="inlineStr">
        <is>
          <t>*121</t>
        </is>
      </c>
      <c r="C298" s="9" t="n"/>
      <c r="D298" s="9" t="n"/>
      <c r="E298" s="9" t="n"/>
      <c r="F298" s="9">
        <f>IFERROR(LOOKUP(2,1/('Weekly Tracker'!$E$2:$E$766=$A298)/('Weekly Tracker'!$F$2:$F$766&lt;&gt;""),'Weekly Tracker'!$F$2:$F$766),"")</f>
        <v/>
      </c>
      <c r="G298" s="16">
        <f>IF(F298&lt;&gt;"",LOOKUP(2,1/('Weekly Tracker'!$E$2:$E$766=$A298)/('Weekly Tracker'!$F$2:$F$766&lt;&gt;""),'Weekly Tracker'!$G$2:$G$766),"")</f>
        <v/>
      </c>
      <c r="H298" s="9">
        <f>IFERROR(LOOKUP(2,1/('Weekly Tracker'!$E$2:$E$766=$A298)/('Weekly Tracker'!$H$2:$H$766&lt;&gt;""),'Weekly Tracker'!$H$2:$H$766),"")</f>
        <v/>
      </c>
      <c r="I298" s="16">
        <f>IF(H298&lt;&gt;"",LOOKUP(2,1/('Weekly Tracker'!$E$2:$E$766=$A298)/('Weekly Tracker'!$H$2:$H$766&lt;&gt;""),'Weekly Tracker'!$I$2:$I$766),"")</f>
        <v/>
      </c>
      <c r="J298" s="9">
        <f>IFERROR(LOOKUP(2,1/('Weekly Tracker'!$E$2:$E$766=$A298)/('Weekly Tracker'!$J$2:$J$766&lt;&gt;""),'Weekly Tracker'!$J$2:$J$766),"")</f>
        <v/>
      </c>
      <c r="K298" s="9">
        <f>IFERROR(LOOKUP(2,1/('Weekly Tracker'!$E$2:$E$766=$A298)/('Weekly Tracker'!$N$2:$N$766&lt;&gt;""),'Weekly Tracker'!$N$2:$N$766),"")</f>
        <v/>
      </c>
      <c r="L298" s="9">
        <f>IFERROR(LOOKUP(2,1/('Weekly Tracker'!$E$2:$E$766=$A298)/('Weekly Tracker'!$O$2:$O$766&lt;&gt;""),'Weekly Tracker'!$O$2:$O$766),"")</f>
        <v/>
      </c>
    </row>
    <row r="299">
      <c r="A299" s="9" t="inlineStr">
        <is>
          <t>Essaki muthu GP</t>
        </is>
      </c>
      <c r="B299" s="9" t="inlineStr">
        <is>
          <t>918015687966</t>
        </is>
      </c>
      <c r="C299" s="9" t="n"/>
      <c r="D299" s="9" t="n"/>
      <c r="E299" s="9" t="n"/>
      <c r="F299" s="9">
        <f>IFERROR(LOOKUP(2,1/('Weekly Tracker'!$E$2:$E$766=$A299)/('Weekly Tracker'!$F$2:$F$766&lt;&gt;""),'Weekly Tracker'!$F$2:$F$766),"")</f>
        <v/>
      </c>
      <c r="G299" s="16">
        <f>IF(F299&lt;&gt;"",LOOKUP(2,1/('Weekly Tracker'!$E$2:$E$766=$A299)/('Weekly Tracker'!$F$2:$F$766&lt;&gt;""),'Weekly Tracker'!$G$2:$G$766),"")</f>
        <v/>
      </c>
      <c r="H299" s="9">
        <f>IFERROR(LOOKUP(2,1/('Weekly Tracker'!$E$2:$E$766=$A299)/('Weekly Tracker'!$H$2:$H$766&lt;&gt;""),'Weekly Tracker'!$H$2:$H$766),"")</f>
        <v/>
      </c>
      <c r="I299" s="16">
        <f>IF(H299&lt;&gt;"",LOOKUP(2,1/('Weekly Tracker'!$E$2:$E$766=$A299)/('Weekly Tracker'!$H$2:$H$766&lt;&gt;""),'Weekly Tracker'!$I$2:$I$766),"")</f>
        <v/>
      </c>
      <c r="J299" s="9">
        <f>IFERROR(LOOKUP(2,1/('Weekly Tracker'!$E$2:$E$766=$A299)/('Weekly Tracker'!$J$2:$J$766&lt;&gt;""),'Weekly Tracker'!$J$2:$J$766),"")</f>
        <v/>
      </c>
      <c r="K299" s="9">
        <f>IFERROR(LOOKUP(2,1/('Weekly Tracker'!$E$2:$E$766=$A299)/('Weekly Tracker'!$N$2:$N$766&lt;&gt;""),'Weekly Tracker'!$N$2:$N$766),"")</f>
        <v/>
      </c>
      <c r="L299" s="9">
        <f>IFERROR(LOOKUP(2,1/('Weekly Tracker'!$E$2:$E$766=$A299)/('Weekly Tracker'!$O$2:$O$766&lt;&gt;""),'Weekly Tracker'!$O$2:$O$766),"")</f>
        <v/>
      </c>
    </row>
    <row r="300">
      <c r="A300" s="9" t="inlineStr">
        <is>
          <t>Karthick Grp Ucen</t>
        </is>
      </c>
      <c r="B300" s="9" t="inlineStr">
        <is>
          <t>918637656075</t>
        </is>
      </c>
      <c r="C300" s="9" t="n"/>
      <c r="D300" s="9" t="n"/>
      <c r="E300" s="9" t="n"/>
      <c r="F300" s="9">
        <f>IFERROR(LOOKUP(2,1/('Weekly Tracker'!$E$2:$E$766=$A300)/('Weekly Tracker'!$F$2:$F$766&lt;&gt;""),'Weekly Tracker'!$F$2:$F$766),"")</f>
        <v/>
      </c>
      <c r="G300" s="16">
        <f>IF(F300&lt;&gt;"",LOOKUP(2,1/('Weekly Tracker'!$E$2:$E$766=$A300)/('Weekly Tracker'!$F$2:$F$766&lt;&gt;""),'Weekly Tracker'!$G$2:$G$766),"")</f>
        <v/>
      </c>
      <c r="H300" s="9">
        <f>IFERROR(LOOKUP(2,1/('Weekly Tracker'!$E$2:$E$766=$A300)/('Weekly Tracker'!$H$2:$H$766&lt;&gt;""),'Weekly Tracker'!$H$2:$H$766),"")</f>
        <v/>
      </c>
      <c r="I300" s="16">
        <f>IF(H300&lt;&gt;"",LOOKUP(2,1/('Weekly Tracker'!$E$2:$E$766=$A300)/('Weekly Tracker'!$H$2:$H$766&lt;&gt;""),'Weekly Tracker'!$I$2:$I$766),"")</f>
        <v/>
      </c>
      <c r="J300" s="9">
        <f>IFERROR(LOOKUP(2,1/('Weekly Tracker'!$E$2:$E$766=$A300)/('Weekly Tracker'!$J$2:$J$766&lt;&gt;""),'Weekly Tracker'!$J$2:$J$766),"")</f>
        <v/>
      </c>
      <c r="K300" s="9">
        <f>IFERROR(LOOKUP(2,1/('Weekly Tracker'!$E$2:$E$766=$A300)/('Weekly Tracker'!$N$2:$N$766&lt;&gt;""),'Weekly Tracker'!$N$2:$N$766),"")</f>
        <v/>
      </c>
      <c r="L300" s="9">
        <f>IFERROR(LOOKUP(2,1/('Weekly Tracker'!$E$2:$E$766=$A300)/('Weekly Tracker'!$O$2:$O$766&lt;&gt;""),'Weekly Tracker'!$O$2:$O$766),"")</f>
        <v/>
      </c>
    </row>
    <row r="301">
      <c r="A301" s="9" t="inlineStr">
        <is>
          <t>Kathir Azhagan FB</t>
        </is>
      </c>
      <c r="B301" s="9" t="inlineStr">
        <is>
          <t>9786725343</t>
        </is>
      </c>
      <c r="C301" s="9" t="n"/>
      <c r="D301" s="9" t="n"/>
      <c r="E301" s="9" t="n"/>
      <c r="F301" s="9">
        <f>IFERROR(LOOKUP(2,1/('Weekly Tracker'!$E$2:$E$766=$A301)/('Weekly Tracker'!$F$2:$F$766&lt;&gt;""),'Weekly Tracker'!$F$2:$F$766),"")</f>
        <v/>
      </c>
      <c r="G301" s="16">
        <f>IF(F301&lt;&gt;"",LOOKUP(2,1/('Weekly Tracker'!$E$2:$E$766=$A301)/('Weekly Tracker'!$F$2:$F$766&lt;&gt;""),'Weekly Tracker'!$G$2:$G$766),"")</f>
        <v/>
      </c>
      <c r="H301" s="9">
        <f>IFERROR(LOOKUP(2,1/('Weekly Tracker'!$E$2:$E$766=$A301)/('Weekly Tracker'!$H$2:$H$766&lt;&gt;""),'Weekly Tracker'!$H$2:$H$766),"")</f>
        <v/>
      </c>
      <c r="I301" s="16">
        <f>IF(H301&lt;&gt;"",LOOKUP(2,1/('Weekly Tracker'!$E$2:$E$766=$A301)/('Weekly Tracker'!$H$2:$H$766&lt;&gt;""),'Weekly Tracker'!$I$2:$I$766),"")</f>
        <v/>
      </c>
      <c r="J301" s="9">
        <f>IFERROR(LOOKUP(2,1/('Weekly Tracker'!$E$2:$E$766=$A301)/('Weekly Tracker'!$J$2:$J$766&lt;&gt;""),'Weekly Tracker'!$J$2:$J$766),"")</f>
        <v/>
      </c>
      <c r="K301" s="9">
        <f>IFERROR(LOOKUP(2,1/('Weekly Tracker'!$E$2:$E$766=$A301)/('Weekly Tracker'!$N$2:$N$766&lt;&gt;""),'Weekly Tracker'!$N$2:$N$766),"")</f>
        <v/>
      </c>
      <c r="L301" s="9">
        <f>IFERROR(LOOKUP(2,1/('Weekly Tracker'!$E$2:$E$766=$A301)/('Weekly Tracker'!$O$2:$O$766&lt;&gt;""),'Weekly Tracker'!$O$2:$O$766),"")</f>
        <v/>
      </c>
    </row>
    <row r="302">
      <c r="A302" s="9" t="inlineStr">
        <is>
          <t>Arvind Vasudeven Verz</t>
        </is>
      </c>
      <c r="B302" s="9" t="inlineStr">
        <is>
          <t>9566061596</t>
        </is>
      </c>
      <c r="C302" s="9" t="n"/>
      <c r="D302" s="9" t="n"/>
      <c r="E302" s="9" t="n"/>
      <c r="F302" s="9">
        <f>IFERROR(LOOKUP(2,1/('Weekly Tracker'!$E$2:$E$766=$A302)/('Weekly Tracker'!$F$2:$F$766&lt;&gt;""),'Weekly Tracker'!$F$2:$F$766),"")</f>
        <v/>
      </c>
      <c r="G302" s="16">
        <f>IF(F302&lt;&gt;"",LOOKUP(2,1/('Weekly Tracker'!$E$2:$E$766=$A302)/('Weekly Tracker'!$F$2:$F$766&lt;&gt;""),'Weekly Tracker'!$G$2:$G$766),"")</f>
        <v/>
      </c>
      <c r="H302" s="9">
        <f>IFERROR(LOOKUP(2,1/('Weekly Tracker'!$E$2:$E$766=$A302)/('Weekly Tracker'!$H$2:$H$766&lt;&gt;""),'Weekly Tracker'!$H$2:$H$766),"")</f>
        <v/>
      </c>
      <c r="I302" s="16">
        <f>IF(H302&lt;&gt;"",LOOKUP(2,1/('Weekly Tracker'!$E$2:$E$766=$A302)/('Weekly Tracker'!$H$2:$H$766&lt;&gt;""),'Weekly Tracker'!$I$2:$I$766),"")</f>
        <v/>
      </c>
      <c r="J302" s="9">
        <f>IFERROR(LOOKUP(2,1/('Weekly Tracker'!$E$2:$E$766=$A302)/('Weekly Tracker'!$J$2:$J$766&lt;&gt;""),'Weekly Tracker'!$J$2:$J$766),"")</f>
        <v/>
      </c>
      <c r="K302" s="9">
        <f>IFERROR(LOOKUP(2,1/('Weekly Tracker'!$E$2:$E$766=$A302)/('Weekly Tracker'!$N$2:$N$766&lt;&gt;""),'Weekly Tracker'!$N$2:$N$766),"")</f>
        <v/>
      </c>
      <c r="L302" s="9">
        <f>IFERROR(LOOKUP(2,1/('Weekly Tracker'!$E$2:$E$766=$A302)/('Weekly Tracker'!$O$2:$O$766&lt;&gt;""),'Weekly Tracker'!$O$2:$O$766),"")</f>
        <v/>
      </c>
    </row>
    <row r="303">
      <c r="A303" s="9" t="inlineStr">
        <is>
          <t>Palani Owner</t>
        </is>
      </c>
      <c r="B303" s="9" t="inlineStr">
        <is>
          <t>9566124316</t>
        </is>
      </c>
      <c r="C303" s="9" t="n"/>
      <c r="D303" s="9" t="n"/>
      <c r="E303" s="9" t="n"/>
      <c r="F303" s="9">
        <f>IFERROR(LOOKUP(2,1/('Weekly Tracker'!$E$2:$E$766=$A303)/('Weekly Tracker'!$F$2:$F$766&lt;&gt;""),'Weekly Tracker'!$F$2:$F$766),"")</f>
        <v/>
      </c>
      <c r="G303" s="16">
        <f>IF(F303&lt;&gt;"",LOOKUP(2,1/('Weekly Tracker'!$E$2:$E$766=$A303)/('Weekly Tracker'!$F$2:$F$766&lt;&gt;""),'Weekly Tracker'!$G$2:$G$766),"")</f>
        <v/>
      </c>
      <c r="H303" s="9">
        <f>IFERROR(LOOKUP(2,1/('Weekly Tracker'!$E$2:$E$766=$A303)/('Weekly Tracker'!$H$2:$H$766&lt;&gt;""),'Weekly Tracker'!$H$2:$H$766),"")</f>
        <v/>
      </c>
      <c r="I303" s="16">
        <f>IF(H303&lt;&gt;"",LOOKUP(2,1/('Weekly Tracker'!$E$2:$E$766=$A303)/('Weekly Tracker'!$H$2:$H$766&lt;&gt;""),'Weekly Tracker'!$I$2:$I$766),"")</f>
        <v/>
      </c>
      <c r="J303" s="9">
        <f>IFERROR(LOOKUP(2,1/('Weekly Tracker'!$E$2:$E$766=$A303)/('Weekly Tracker'!$J$2:$J$766&lt;&gt;""),'Weekly Tracker'!$J$2:$J$766),"")</f>
        <v/>
      </c>
      <c r="K303" s="9">
        <f>IFERROR(LOOKUP(2,1/('Weekly Tracker'!$E$2:$E$766=$A303)/('Weekly Tracker'!$N$2:$N$766&lt;&gt;""),'Weekly Tracker'!$N$2:$N$766),"")</f>
        <v/>
      </c>
      <c r="L303" s="9">
        <f>IFERROR(LOOKUP(2,1/('Weekly Tracker'!$E$2:$E$766=$A303)/('Weekly Tracker'!$O$2:$O$766&lt;&gt;""),'Weekly Tracker'!$O$2:$O$766),"")</f>
        <v/>
      </c>
    </row>
    <row r="304">
      <c r="A304" s="9" t="inlineStr">
        <is>
          <t>Ramya Palanisamy Urja</t>
        </is>
      </c>
      <c r="B304" s="9" t="inlineStr">
        <is>
          <t>9551219369</t>
        </is>
      </c>
      <c r="C304" s="9" t="n"/>
      <c r="D304" s="9" t="n"/>
      <c r="E304" s="9" t="n"/>
      <c r="F304" s="9">
        <f>IFERROR(LOOKUP(2,1/('Weekly Tracker'!$E$2:$E$766=$A304)/('Weekly Tracker'!$F$2:$F$766&lt;&gt;""),'Weekly Tracker'!$F$2:$F$766),"")</f>
        <v/>
      </c>
      <c r="G304" s="16">
        <f>IF(F304&lt;&gt;"",LOOKUP(2,1/('Weekly Tracker'!$E$2:$E$766=$A304)/('Weekly Tracker'!$F$2:$F$766&lt;&gt;""),'Weekly Tracker'!$G$2:$G$766),"")</f>
        <v/>
      </c>
      <c r="H304" s="9">
        <f>IFERROR(LOOKUP(2,1/('Weekly Tracker'!$E$2:$E$766=$A304)/('Weekly Tracker'!$H$2:$H$766&lt;&gt;""),'Weekly Tracker'!$H$2:$H$766),"")</f>
        <v/>
      </c>
      <c r="I304" s="16">
        <f>IF(H304&lt;&gt;"",LOOKUP(2,1/('Weekly Tracker'!$E$2:$E$766=$A304)/('Weekly Tracker'!$H$2:$H$766&lt;&gt;""),'Weekly Tracker'!$I$2:$I$766),"")</f>
        <v/>
      </c>
      <c r="J304" s="9">
        <f>IFERROR(LOOKUP(2,1/('Weekly Tracker'!$E$2:$E$766=$A304)/('Weekly Tracker'!$J$2:$J$766&lt;&gt;""),'Weekly Tracker'!$J$2:$J$766),"")</f>
        <v/>
      </c>
      <c r="K304" s="9">
        <f>IFERROR(LOOKUP(2,1/('Weekly Tracker'!$E$2:$E$766=$A304)/('Weekly Tracker'!$N$2:$N$766&lt;&gt;""),'Weekly Tracker'!$N$2:$N$766),"")</f>
        <v/>
      </c>
      <c r="L304" s="9">
        <f>IFERROR(LOOKUP(2,1/('Weekly Tracker'!$E$2:$E$766=$A304)/('Weekly Tracker'!$O$2:$O$766&lt;&gt;""),'Weekly Tracker'!$O$2:$O$766),"")</f>
        <v/>
      </c>
    </row>
    <row r="305">
      <c r="A305" s="9" t="inlineStr">
        <is>
          <t>Loga Priya Urja</t>
        </is>
      </c>
      <c r="B305" s="9" t="inlineStr">
        <is>
          <t>919884134837</t>
        </is>
      </c>
      <c r="C305" s="9" t="n"/>
      <c r="D305" s="9" t="n"/>
      <c r="E305" s="9" t="n"/>
      <c r="F305" s="9">
        <f>IFERROR(LOOKUP(2,1/('Weekly Tracker'!$E$2:$E$766=$A305)/('Weekly Tracker'!$F$2:$F$766&lt;&gt;""),'Weekly Tracker'!$F$2:$F$766),"")</f>
        <v/>
      </c>
      <c r="G305" s="16">
        <f>IF(F305&lt;&gt;"",LOOKUP(2,1/('Weekly Tracker'!$E$2:$E$766=$A305)/('Weekly Tracker'!$F$2:$F$766&lt;&gt;""),'Weekly Tracker'!$G$2:$G$766),"")</f>
        <v/>
      </c>
      <c r="H305" s="9">
        <f>IFERROR(LOOKUP(2,1/('Weekly Tracker'!$E$2:$E$766=$A305)/('Weekly Tracker'!$H$2:$H$766&lt;&gt;""),'Weekly Tracker'!$H$2:$H$766),"")</f>
        <v/>
      </c>
      <c r="I305" s="16">
        <f>IF(H305&lt;&gt;"",LOOKUP(2,1/('Weekly Tracker'!$E$2:$E$766=$A305)/('Weekly Tracker'!$H$2:$H$766&lt;&gt;""),'Weekly Tracker'!$I$2:$I$766),"")</f>
        <v/>
      </c>
      <c r="J305" s="9">
        <f>IFERROR(LOOKUP(2,1/('Weekly Tracker'!$E$2:$E$766=$A305)/('Weekly Tracker'!$J$2:$J$766&lt;&gt;""),'Weekly Tracker'!$J$2:$J$766),"")</f>
        <v/>
      </c>
      <c r="K305" s="9">
        <f>IFERROR(LOOKUP(2,1/('Weekly Tracker'!$E$2:$E$766=$A305)/('Weekly Tracker'!$N$2:$N$766&lt;&gt;""),'Weekly Tracker'!$N$2:$N$766),"")</f>
        <v/>
      </c>
      <c r="L305" s="9">
        <f>IFERROR(LOOKUP(2,1/('Weekly Tracker'!$E$2:$E$766=$A305)/('Weekly Tracker'!$O$2:$O$766&lt;&gt;""),'Weekly Tracker'!$O$2:$O$766),"")</f>
        <v/>
      </c>
    </row>
    <row r="306">
      <c r="A306" s="9" t="inlineStr">
        <is>
          <t>Aashik Ali. urj</t>
        </is>
      </c>
      <c r="B306" s="9" t="inlineStr">
        <is>
          <t>918870231781</t>
        </is>
      </c>
      <c r="C306" s="9" t="n"/>
      <c r="D306" s="9" t="n"/>
      <c r="E306" s="9" t="n"/>
      <c r="F306" s="9">
        <f>IFERROR(LOOKUP(2,1/('Weekly Tracker'!$E$2:$E$766=$A306)/('Weekly Tracker'!$F$2:$F$766&lt;&gt;""),'Weekly Tracker'!$F$2:$F$766),"")</f>
        <v/>
      </c>
      <c r="G306" s="16">
        <f>IF(F306&lt;&gt;"",LOOKUP(2,1/('Weekly Tracker'!$E$2:$E$766=$A306)/('Weekly Tracker'!$F$2:$F$766&lt;&gt;""),'Weekly Tracker'!$G$2:$G$766),"")</f>
        <v/>
      </c>
      <c r="H306" s="9">
        <f>IFERROR(LOOKUP(2,1/('Weekly Tracker'!$E$2:$E$766=$A306)/('Weekly Tracker'!$H$2:$H$766&lt;&gt;""),'Weekly Tracker'!$H$2:$H$766),"")</f>
        <v/>
      </c>
      <c r="I306" s="16">
        <f>IF(H306&lt;&gt;"",LOOKUP(2,1/('Weekly Tracker'!$E$2:$E$766=$A306)/('Weekly Tracker'!$H$2:$H$766&lt;&gt;""),'Weekly Tracker'!$I$2:$I$766),"")</f>
        <v/>
      </c>
      <c r="J306" s="9">
        <f>IFERROR(LOOKUP(2,1/('Weekly Tracker'!$E$2:$E$766=$A306)/('Weekly Tracker'!$J$2:$J$766&lt;&gt;""),'Weekly Tracker'!$J$2:$J$766),"")</f>
        <v/>
      </c>
      <c r="K306" s="9">
        <f>IFERROR(LOOKUP(2,1/('Weekly Tracker'!$E$2:$E$766=$A306)/('Weekly Tracker'!$N$2:$N$766&lt;&gt;""),'Weekly Tracker'!$N$2:$N$766),"")</f>
        <v/>
      </c>
      <c r="L306" s="9">
        <f>IFERROR(LOOKUP(2,1/('Weekly Tracker'!$E$2:$E$766=$A306)/('Weekly Tracker'!$O$2:$O$766&lt;&gt;""),'Weekly Tracker'!$O$2:$O$766),"")</f>
        <v/>
      </c>
    </row>
    <row r="307">
      <c r="A307" s="9" t="inlineStr">
        <is>
          <t>Shiranjeevi Junior</t>
        </is>
      </c>
      <c r="B307" s="9" t="inlineStr">
        <is>
          <t>918248117019</t>
        </is>
      </c>
      <c r="C307" s="9" t="n"/>
      <c r="D307" s="9" t="n"/>
      <c r="E307" s="9" t="n"/>
      <c r="F307" s="9">
        <f>IFERROR(LOOKUP(2,1/('Weekly Tracker'!$E$2:$E$766=$A307)/('Weekly Tracker'!$F$2:$F$766&lt;&gt;""),'Weekly Tracker'!$F$2:$F$766),"")</f>
        <v/>
      </c>
      <c r="G307" s="16">
        <f>IF(F307&lt;&gt;"",LOOKUP(2,1/('Weekly Tracker'!$E$2:$E$766=$A307)/('Weekly Tracker'!$F$2:$F$766&lt;&gt;""),'Weekly Tracker'!$G$2:$G$766),"")</f>
        <v/>
      </c>
      <c r="H307" s="9">
        <f>IFERROR(LOOKUP(2,1/('Weekly Tracker'!$E$2:$E$766=$A307)/('Weekly Tracker'!$H$2:$H$766&lt;&gt;""),'Weekly Tracker'!$H$2:$H$766),"")</f>
        <v/>
      </c>
      <c r="I307" s="16">
        <f>IF(H307&lt;&gt;"",LOOKUP(2,1/('Weekly Tracker'!$E$2:$E$766=$A307)/('Weekly Tracker'!$H$2:$H$766&lt;&gt;""),'Weekly Tracker'!$I$2:$I$766),"")</f>
        <v/>
      </c>
      <c r="J307" s="9">
        <f>IFERROR(LOOKUP(2,1/('Weekly Tracker'!$E$2:$E$766=$A307)/('Weekly Tracker'!$J$2:$J$766&lt;&gt;""),'Weekly Tracker'!$J$2:$J$766),"")</f>
        <v/>
      </c>
      <c r="K307" s="9">
        <f>IFERROR(LOOKUP(2,1/('Weekly Tracker'!$E$2:$E$766=$A307)/('Weekly Tracker'!$N$2:$N$766&lt;&gt;""),'Weekly Tracker'!$N$2:$N$766),"")</f>
        <v/>
      </c>
      <c r="L307" s="9">
        <f>IFERROR(LOOKUP(2,1/('Weekly Tracker'!$E$2:$E$766=$A307)/('Weekly Tracker'!$O$2:$O$766&lt;&gt;""),'Weekly Tracker'!$O$2:$O$766),"")</f>
        <v/>
      </c>
    </row>
    <row r="308">
      <c r="A308" s="9" t="inlineStr">
        <is>
          <t>Gururajan FB</t>
        </is>
      </c>
      <c r="B308" s="9" t="inlineStr">
        <is>
          <t>917339179833, 919597115096</t>
        </is>
      </c>
      <c r="C308" s="9" t="n"/>
      <c r="D308" s="9" t="n"/>
      <c r="E308" s="9" t="n"/>
      <c r="F308" s="9">
        <f>IFERROR(LOOKUP(2,1/('Weekly Tracker'!$E$2:$E$766=$A308)/('Weekly Tracker'!$F$2:$F$766&lt;&gt;""),'Weekly Tracker'!$F$2:$F$766),"")</f>
        <v/>
      </c>
      <c r="G308" s="16">
        <f>IF(F308&lt;&gt;"",LOOKUP(2,1/('Weekly Tracker'!$E$2:$E$766=$A308)/('Weekly Tracker'!$F$2:$F$766&lt;&gt;""),'Weekly Tracker'!$G$2:$G$766),"")</f>
        <v/>
      </c>
      <c r="H308" s="9">
        <f>IFERROR(LOOKUP(2,1/('Weekly Tracker'!$E$2:$E$766=$A308)/('Weekly Tracker'!$H$2:$H$766&lt;&gt;""),'Weekly Tracker'!$H$2:$H$766),"")</f>
        <v/>
      </c>
      <c r="I308" s="16">
        <f>IF(H308&lt;&gt;"",LOOKUP(2,1/('Weekly Tracker'!$E$2:$E$766=$A308)/('Weekly Tracker'!$H$2:$H$766&lt;&gt;""),'Weekly Tracker'!$I$2:$I$766),"")</f>
        <v/>
      </c>
      <c r="J308" s="9">
        <f>IFERROR(LOOKUP(2,1/('Weekly Tracker'!$E$2:$E$766=$A308)/('Weekly Tracker'!$J$2:$J$766&lt;&gt;""),'Weekly Tracker'!$J$2:$J$766),"")</f>
        <v/>
      </c>
      <c r="K308" s="9">
        <f>IFERROR(LOOKUP(2,1/('Weekly Tracker'!$E$2:$E$766=$A308)/('Weekly Tracker'!$N$2:$N$766&lt;&gt;""),'Weekly Tracker'!$N$2:$N$766),"")</f>
        <v/>
      </c>
      <c r="L308" s="9">
        <f>IFERROR(LOOKUP(2,1/('Weekly Tracker'!$E$2:$E$766=$A308)/('Weekly Tracker'!$O$2:$O$766&lt;&gt;""),'Weekly Tracker'!$O$2:$O$766),"")</f>
        <v/>
      </c>
    </row>
    <row r="309">
      <c r="A309" s="9" t="inlineStr">
        <is>
          <t>Yuvraj Marimuthu Grp</t>
        </is>
      </c>
      <c r="B309" s="9" t="inlineStr">
        <is>
          <t>917708518059</t>
        </is>
      </c>
      <c r="C309" s="9" t="n"/>
      <c r="D309" s="9" t="n"/>
      <c r="E309" s="9" t="n"/>
      <c r="F309" s="9">
        <f>IFERROR(LOOKUP(2,1/('Weekly Tracker'!$E$2:$E$766=$A309)/('Weekly Tracker'!$F$2:$F$766&lt;&gt;""),'Weekly Tracker'!$F$2:$F$766),"")</f>
        <v/>
      </c>
      <c r="G309" s="16">
        <f>IF(F309&lt;&gt;"",LOOKUP(2,1/('Weekly Tracker'!$E$2:$E$766=$A309)/('Weekly Tracker'!$F$2:$F$766&lt;&gt;""),'Weekly Tracker'!$G$2:$G$766),"")</f>
        <v/>
      </c>
      <c r="H309" s="9">
        <f>IFERROR(LOOKUP(2,1/('Weekly Tracker'!$E$2:$E$766=$A309)/('Weekly Tracker'!$H$2:$H$766&lt;&gt;""),'Weekly Tracker'!$H$2:$H$766),"")</f>
        <v/>
      </c>
      <c r="I309" s="16">
        <f>IF(H309&lt;&gt;"",LOOKUP(2,1/('Weekly Tracker'!$E$2:$E$766=$A309)/('Weekly Tracker'!$H$2:$H$766&lt;&gt;""),'Weekly Tracker'!$I$2:$I$766),"")</f>
        <v/>
      </c>
      <c r="J309" s="9">
        <f>IFERROR(LOOKUP(2,1/('Weekly Tracker'!$E$2:$E$766=$A309)/('Weekly Tracker'!$J$2:$J$766&lt;&gt;""),'Weekly Tracker'!$J$2:$J$766),"")</f>
        <v/>
      </c>
      <c r="K309" s="9">
        <f>IFERROR(LOOKUP(2,1/('Weekly Tracker'!$E$2:$E$766=$A309)/('Weekly Tracker'!$N$2:$N$766&lt;&gt;""),'Weekly Tracker'!$N$2:$N$766),"")</f>
        <v/>
      </c>
      <c r="L309" s="9">
        <f>IFERROR(LOOKUP(2,1/('Weekly Tracker'!$E$2:$E$766=$A309)/('Weekly Tracker'!$O$2:$O$766&lt;&gt;""),'Weekly Tracker'!$O$2:$O$766),"")</f>
        <v/>
      </c>
    </row>
    <row r="310">
      <c r="A310" s="9" t="inlineStr">
        <is>
          <t>Thirumalai Kumar Scl FB</t>
        </is>
      </c>
      <c r="B310" s="9" t="inlineStr">
        <is>
          <t>9786579923</t>
        </is>
      </c>
      <c r="C310" s="9" t="n"/>
      <c r="D310" s="9" t="n"/>
      <c r="E310" s="9" t="n"/>
      <c r="F310" s="9">
        <f>IFERROR(LOOKUP(2,1/('Weekly Tracker'!$E$2:$E$766=$A310)/('Weekly Tracker'!$F$2:$F$766&lt;&gt;""),'Weekly Tracker'!$F$2:$F$766),"")</f>
        <v/>
      </c>
      <c r="G310" s="16">
        <f>IF(F310&lt;&gt;"",LOOKUP(2,1/('Weekly Tracker'!$E$2:$E$766=$A310)/('Weekly Tracker'!$F$2:$F$766&lt;&gt;""),'Weekly Tracker'!$G$2:$G$766),"")</f>
        <v/>
      </c>
      <c r="H310" s="9">
        <f>IFERROR(LOOKUP(2,1/('Weekly Tracker'!$E$2:$E$766=$A310)/('Weekly Tracker'!$H$2:$H$766&lt;&gt;""),'Weekly Tracker'!$H$2:$H$766),"")</f>
        <v/>
      </c>
      <c r="I310" s="16">
        <f>IF(H310&lt;&gt;"",LOOKUP(2,1/('Weekly Tracker'!$E$2:$E$766=$A310)/('Weekly Tracker'!$H$2:$H$766&lt;&gt;""),'Weekly Tracker'!$I$2:$I$766),"")</f>
        <v/>
      </c>
      <c r="J310" s="9">
        <f>IFERROR(LOOKUP(2,1/('Weekly Tracker'!$E$2:$E$766=$A310)/('Weekly Tracker'!$J$2:$J$766&lt;&gt;""),'Weekly Tracker'!$J$2:$J$766),"")</f>
        <v/>
      </c>
      <c r="K310" s="9">
        <f>IFERROR(LOOKUP(2,1/('Weekly Tracker'!$E$2:$E$766=$A310)/('Weekly Tracker'!$N$2:$N$766&lt;&gt;""),'Weekly Tracker'!$N$2:$N$766),"")</f>
        <v/>
      </c>
      <c r="L310" s="9">
        <f>IFERROR(LOOKUP(2,1/('Weekly Tracker'!$E$2:$E$766=$A310)/('Weekly Tracker'!$O$2:$O$766&lt;&gt;""),'Weekly Tracker'!$O$2:$O$766),"")</f>
        <v/>
      </c>
    </row>
    <row r="311">
      <c r="A311" s="9" t="inlineStr">
        <is>
          <t>Solo Solomon FB</t>
        </is>
      </c>
      <c r="B311" s="9" t="inlineStr">
        <is>
          <t>9629752015</t>
        </is>
      </c>
      <c r="C311" s="9" t="n"/>
      <c r="D311" s="9" t="n"/>
      <c r="E311" s="9" t="n"/>
      <c r="F311" s="9">
        <f>IFERROR(LOOKUP(2,1/('Weekly Tracker'!$E$2:$E$766=$A311)/('Weekly Tracker'!$F$2:$F$766&lt;&gt;""),'Weekly Tracker'!$F$2:$F$766),"")</f>
        <v/>
      </c>
      <c r="G311" s="16">
        <f>IF(F311&lt;&gt;"",LOOKUP(2,1/('Weekly Tracker'!$E$2:$E$766=$A311)/('Weekly Tracker'!$F$2:$F$766&lt;&gt;""),'Weekly Tracker'!$G$2:$G$766),"")</f>
        <v/>
      </c>
      <c r="H311" s="9">
        <f>IFERROR(LOOKUP(2,1/('Weekly Tracker'!$E$2:$E$766=$A311)/('Weekly Tracker'!$H$2:$H$766&lt;&gt;""),'Weekly Tracker'!$H$2:$H$766),"")</f>
        <v/>
      </c>
      <c r="I311" s="16">
        <f>IF(H311&lt;&gt;"",LOOKUP(2,1/('Weekly Tracker'!$E$2:$E$766=$A311)/('Weekly Tracker'!$H$2:$H$766&lt;&gt;""),'Weekly Tracker'!$I$2:$I$766),"")</f>
        <v/>
      </c>
      <c r="J311" s="9">
        <f>IFERROR(LOOKUP(2,1/('Weekly Tracker'!$E$2:$E$766=$A311)/('Weekly Tracker'!$J$2:$J$766&lt;&gt;""),'Weekly Tracker'!$J$2:$J$766),"")</f>
        <v/>
      </c>
      <c r="K311" s="9">
        <f>IFERROR(LOOKUP(2,1/('Weekly Tracker'!$E$2:$E$766=$A311)/('Weekly Tracker'!$N$2:$N$766&lt;&gt;""),'Weekly Tracker'!$N$2:$N$766),"")</f>
        <v/>
      </c>
      <c r="L311" s="9">
        <f>IFERROR(LOOKUP(2,1/('Weekly Tracker'!$E$2:$E$766=$A311)/('Weekly Tracker'!$O$2:$O$766&lt;&gt;""),'Weekly Tracker'!$O$2:$O$766),"")</f>
        <v/>
      </c>
    </row>
    <row r="312">
      <c r="A312" s="9" t="inlineStr">
        <is>
          <t>Akash H Prabhu Infy</t>
        </is>
      </c>
      <c r="B312" s="9" t="inlineStr">
        <is>
          <t>8197428303</t>
        </is>
      </c>
      <c r="C312" s="9" t="n"/>
      <c r="D312" s="9" t="n"/>
      <c r="E312" s="9" t="n"/>
      <c r="F312" s="9">
        <f>IFERROR(LOOKUP(2,1/('Weekly Tracker'!$E$2:$E$766=$A312)/('Weekly Tracker'!$F$2:$F$766&lt;&gt;""),'Weekly Tracker'!$F$2:$F$766),"")</f>
        <v/>
      </c>
      <c r="G312" s="16">
        <f>IF(F312&lt;&gt;"",LOOKUP(2,1/('Weekly Tracker'!$E$2:$E$766=$A312)/('Weekly Tracker'!$F$2:$F$766&lt;&gt;""),'Weekly Tracker'!$G$2:$G$766),"")</f>
        <v/>
      </c>
      <c r="H312" s="9">
        <f>IFERROR(LOOKUP(2,1/('Weekly Tracker'!$E$2:$E$766=$A312)/('Weekly Tracker'!$H$2:$H$766&lt;&gt;""),'Weekly Tracker'!$H$2:$H$766),"")</f>
        <v/>
      </c>
      <c r="I312" s="16">
        <f>IF(H312&lt;&gt;"",LOOKUP(2,1/('Weekly Tracker'!$E$2:$E$766=$A312)/('Weekly Tracker'!$H$2:$H$766&lt;&gt;""),'Weekly Tracker'!$I$2:$I$766),"")</f>
        <v/>
      </c>
      <c r="J312" s="9">
        <f>IFERROR(LOOKUP(2,1/('Weekly Tracker'!$E$2:$E$766=$A312)/('Weekly Tracker'!$J$2:$J$766&lt;&gt;""),'Weekly Tracker'!$J$2:$J$766),"")</f>
        <v/>
      </c>
      <c r="K312" s="9">
        <f>IFERROR(LOOKUP(2,1/('Weekly Tracker'!$E$2:$E$766=$A312)/('Weekly Tracker'!$N$2:$N$766&lt;&gt;""),'Weekly Tracker'!$N$2:$N$766),"")</f>
        <v/>
      </c>
      <c r="L312" s="9">
        <f>IFERROR(LOOKUP(2,1/('Weekly Tracker'!$E$2:$E$766=$A312)/('Weekly Tracker'!$O$2:$O$766&lt;&gt;""),'Weekly Tracker'!$O$2:$O$766),"")</f>
        <v/>
      </c>
    </row>
    <row r="313">
      <c r="A313" s="9" t="inlineStr">
        <is>
          <t>Hari Prasath FB</t>
        </is>
      </c>
      <c r="B313" s="9" t="inlineStr">
        <is>
          <t>7397389860</t>
        </is>
      </c>
      <c r="C313" s="9" t="n"/>
      <c r="D313" s="9" t="n"/>
      <c r="E313" s="9" t="n"/>
      <c r="F313" s="9">
        <f>IFERROR(LOOKUP(2,1/('Weekly Tracker'!$E$2:$E$766=$A313)/('Weekly Tracker'!$F$2:$F$766&lt;&gt;""),'Weekly Tracker'!$F$2:$F$766),"")</f>
        <v/>
      </c>
      <c r="G313" s="16">
        <f>IF(F313&lt;&gt;"",LOOKUP(2,1/('Weekly Tracker'!$E$2:$E$766=$A313)/('Weekly Tracker'!$F$2:$F$766&lt;&gt;""),'Weekly Tracker'!$G$2:$G$766),"")</f>
        <v/>
      </c>
      <c r="H313" s="9">
        <f>IFERROR(LOOKUP(2,1/('Weekly Tracker'!$E$2:$E$766=$A313)/('Weekly Tracker'!$H$2:$H$766&lt;&gt;""),'Weekly Tracker'!$H$2:$H$766),"")</f>
        <v/>
      </c>
      <c r="I313" s="16">
        <f>IF(H313&lt;&gt;"",LOOKUP(2,1/('Weekly Tracker'!$E$2:$E$766=$A313)/('Weekly Tracker'!$H$2:$H$766&lt;&gt;""),'Weekly Tracker'!$I$2:$I$766),"")</f>
        <v/>
      </c>
      <c r="J313" s="9">
        <f>IFERROR(LOOKUP(2,1/('Weekly Tracker'!$E$2:$E$766=$A313)/('Weekly Tracker'!$J$2:$J$766&lt;&gt;""),'Weekly Tracker'!$J$2:$J$766),"")</f>
        <v/>
      </c>
      <c r="K313" s="9">
        <f>IFERROR(LOOKUP(2,1/('Weekly Tracker'!$E$2:$E$766=$A313)/('Weekly Tracker'!$N$2:$N$766&lt;&gt;""),'Weekly Tracker'!$N$2:$N$766),"")</f>
        <v/>
      </c>
      <c r="L313" s="9">
        <f>IFERROR(LOOKUP(2,1/('Weekly Tracker'!$E$2:$E$766=$A313)/('Weekly Tracker'!$O$2:$O$766&lt;&gt;""),'Weekly Tracker'!$O$2:$O$766),"")</f>
        <v/>
      </c>
    </row>
    <row r="314">
      <c r="A314" s="9" t="inlineStr">
        <is>
          <t>Kiran Kumar LOA</t>
        </is>
      </c>
      <c r="B314" s="9" t="inlineStr">
        <is>
          <t>919962144166</t>
        </is>
      </c>
      <c r="C314" s="9" t="n"/>
      <c r="D314" s="9" t="n"/>
      <c r="E314" s="9" t="n"/>
      <c r="F314" s="9">
        <f>IFERROR(LOOKUP(2,1/('Weekly Tracker'!$E$2:$E$766=$A314)/('Weekly Tracker'!$F$2:$F$766&lt;&gt;""),'Weekly Tracker'!$F$2:$F$766),"")</f>
        <v/>
      </c>
      <c r="G314" s="16">
        <f>IF(F314&lt;&gt;"",LOOKUP(2,1/('Weekly Tracker'!$E$2:$E$766=$A314)/('Weekly Tracker'!$F$2:$F$766&lt;&gt;""),'Weekly Tracker'!$G$2:$G$766),"")</f>
        <v/>
      </c>
      <c r="H314" s="9">
        <f>IFERROR(LOOKUP(2,1/('Weekly Tracker'!$E$2:$E$766=$A314)/('Weekly Tracker'!$H$2:$H$766&lt;&gt;""),'Weekly Tracker'!$H$2:$H$766),"")</f>
        <v/>
      </c>
      <c r="I314" s="16">
        <f>IF(H314&lt;&gt;"",LOOKUP(2,1/('Weekly Tracker'!$E$2:$E$766=$A314)/('Weekly Tracker'!$H$2:$H$766&lt;&gt;""),'Weekly Tracker'!$I$2:$I$766),"")</f>
        <v/>
      </c>
      <c r="J314" s="9">
        <f>IFERROR(LOOKUP(2,1/('Weekly Tracker'!$E$2:$E$766=$A314)/('Weekly Tracker'!$J$2:$J$766&lt;&gt;""),'Weekly Tracker'!$J$2:$J$766),"")</f>
        <v/>
      </c>
      <c r="K314" s="9">
        <f>IFERROR(LOOKUP(2,1/('Weekly Tracker'!$E$2:$E$766=$A314)/('Weekly Tracker'!$N$2:$N$766&lt;&gt;""),'Weekly Tracker'!$N$2:$N$766),"")</f>
        <v/>
      </c>
      <c r="L314" s="9">
        <f>IFERROR(LOOKUP(2,1/('Weekly Tracker'!$E$2:$E$766=$A314)/('Weekly Tracker'!$O$2:$O$766&lt;&gt;""),'Weekly Tracker'!$O$2:$O$766),"")</f>
        <v/>
      </c>
    </row>
    <row r="315">
      <c r="A315" s="9" t="inlineStr">
        <is>
          <t>Bala Murugan Scl</t>
        </is>
      </c>
      <c r="B315" s="9" t="inlineStr">
        <is>
          <t>918870681748</t>
        </is>
      </c>
      <c r="C315" s="9" t="n"/>
      <c r="D315" s="9" t="n"/>
      <c r="E315" s="9" t="n"/>
      <c r="F315" s="9">
        <f>IFERROR(LOOKUP(2,1/('Weekly Tracker'!$E$2:$E$766=$A315)/('Weekly Tracker'!$F$2:$F$766&lt;&gt;""),'Weekly Tracker'!$F$2:$F$766),"")</f>
        <v/>
      </c>
      <c r="G315" s="16">
        <f>IF(F315&lt;&gt;"",LOOKUP(2,1/('Weekly Tracker'!$E$2:$E$766=$A315)/('Weekly Tracker'!$F$2:$F$766&lt;&gt;""),'Weekly Tracker'!$G$2:$G$766),"")</f>
        <v/>
      </c>
      <c r="H315" s="9">
        <f>IFERROR(LOOKUP(2,1/('Weekly Tracker'!$E$2:$E$766=$A315)/('Weekly Tracker'!$H$2:$H$766&lt;&gt;""),'Weekly Tracker'!$H$2:$H$766),"")</f>
        <v/>
      </c>
      <c r="I315" s="16">
        <f>IF(H315&lt;&gt;"",LOOKUP(2,1/('Weekly Tracker'!$E$2:$E$766=$A315)/('Weekly Tracker'!$H$2:$H$766&lt;&gt;""),'Weekly Tracker'!$I$2:$I$766),"")</f>
        <v/>
      </c>
      <c r="J315" s="9">
        <f>IFERROR(LOOKUP(2,1/('Weekly Tracker'!$E$2:$E$766=$A315)/('Weekly Tracker'!$J$2:$J$766&lt;&gt;""),'Weekly Tracker'!$J$2:$J$766),"")</f>
        <v/>
      </c>
      <c r="K315" s="9">
        <f>IFERROR(LOOKUP(2,1/('Weekly Tracker'!$E$2:$E$766=$A315)/('Weekly Tracker'!$N$2:$N$766&lt;&gt;""),'Weekly Tracker'!$N$2:$N$766),"")</f>
        <v/>
      </c>
      <c r="L315" s="9">
        <f>IFERROR(LOOKUP(2,1/('Weekly Tracker'!$E$2:$E$766=$A315)/('Weekly Tracker'!$O$2:$O$766&lt;&gt;""),'Weekly Tracker'!$O$2:$O$766),"")</f>
        <v/>
      </c>
    </row>
    <row r="316">
      <c r="A316" s="9" t="inlineStr">
        <is>
          <t>Prakash Mani FB</t>
        </is>
      </c>
      <c r="B316" s="9" t="inlineStr">
        <is>
          <t>7373155490</t>
        </is>
      </c>
      <c r="C316" s="9" t="n"/>
      <c r="D316" s="9" t="n"/>
      <c r="E316" s="9" t="n"/>
      <c r="F316" s="9">
        <f>IFERROR(LOOKUP(2,1/('Weekly Tracker'!$E$2:$E$766=$A316)/('Weekly Tracker'!$F$2:$F$766&lt;&gt;""),'Weekly Tracker'!$F$2:$F$766),"")</f>
        <v/>
      </c>
      <c r="G316" s="16">
        <f>IF(F316&lt;&gt;"",LOOKUP(2,1/('Weekly Tracker'!$E$2:$E$766=$A316)/('Weekly Tracker'!$F$2:$F$766&lt;&gt;""),'Weekly Tracker'!$G$2:$G$766),"")</f>
        <v/>
      </c>
      <c r="H316" s="9">
        <f>IFERROR(LOOKUP(2,1/('Weekly Tracker'!$E$2:$E$766=$A316)/('Weekly Tracker'!$H$2:$H$766&lt;&gt;""),'Weekly Tracker'!$H$2:$H$766),"")</f>
        <v/>
      </c>
      <c r="I316" s="16">
        <f>IF(H316&lt;&gt;"",LOOKUP(2,1/('Weekly Tracker'!$E$2:$E$766=$A316)/('Weekly Tracker'!$H$2:$H$766&lt;&gt;""),'Weekly Tracker'!$I$2:$I$766),"")</f>
        <v/>
      </c>
      <c r="J316" s="9">
        <f>IFERROR(LOOKUP(2,1/('Weekly Tracker'!$E$2:$E$766=$A316)/('Weekly Tracker'!$J$2:$J$766&lt;&gt;""),'Weekly Tracker'!$J$2:$J$766),"")</f>
        <v/>
      </c>
      <c r="K316" s="9">
        <f>IFERROR(LOOKUP(2,1/('Weekly Tracker'!$E$2:$E$766=$A316)/('Weekly Tracker'!$N$2:$N$766&lt;&gt;""),'Weekly Tracker'!$N$2:$N$766),"")</f>
        <v/>
      </c>
      <c r="L316" s="9">
        <f>IFERROR(LOOKUP(2,1/('Weekly Tracker'!$E$2:$E$766=$A316)/('Weekly Tracker'!$O$2:$O$766&lt;&gt;""),'Weekly Tracker'!$O$2:$O$766),"")</f>
        <v/>
      </c>
    </row>
    <row r="317">
      <c r="A317" s="9" t="inlineStr">
        <is>
          <t>Jino Jk GP</t>
        </is>
      </c>
      <c r="B317" s="9" t="inlineStr">
        <is>
          <t>918144229510</t>
        </is>
      </c>
      <c r="C317" s="9" t="n"/>
      <c r="D317" s="9" t="n"/>
      <c r="E317" s="9" t="n"/>
      <c r="F317" s="9">
        <f>IFERROR(LOOKUP(2,1/('Weekly Tracker'!$E$2:$E$766=$A317)/('Weekly Tracker'!$F$2:$F$766&lt;&gt;""),'Weekly Tracker'!$F$2:$F$766),"")</f>
        <v/>
      </c>
      <c r="G317" s="16">
        <f>IF(F317&lt;&gt;"",LOOKUP(2,1/('Weekly Tracker'!$E$2:$E$766=$A317)/('Weekly Tracker'!$F$2:$F$766&lt;&gt;""),'Weekly Tracker'!$G$2:$G$766),"")</f>
        <v/>
      </c>
      <c r="H317" s="9">
        <f>IFERROR(LOOKUP(2,1/('Weekly Tracker'!$E$2:$E$766=$A317)/('Weekly Tracker'!$H$2:$H$766&lt;&gt;""),'Weekly Tracker'!$H$2:$H$766),"")</f>
        <v/>
      </c>
      <c r="I317" s="16">
        <f>IF(H317&lt;&gt;"",LOOKUP(2,1/('Weekly Tracker'!$E$2:$E$766=$A317)/('Weekly Tracker'!$H$2:$H$766&lt;&gt;""),'Weekly Tracker'!$I$2:$I$766),"")</f>
        <v/>
      </c>
      <c r="J317" s="9">
        <f>IFERROR(LOOKUP(2,1/('Weekly Tracker'!$E$2:$E$766=$A317)/('Weekly Tracker'!$J$2:$J$766&lt;&gt;""),'Weekly Tracker'!$J$2:$J$766),"")</f>
        <v/>
      </c>
      <c r="K317" s="9">
        <f>IFERROR(LOOKUP(2,1/('Weekly Tracker'!$E$2:$E$766=$A317)/('Weekly Tracker'!$N$2:$N$766&lt;&gt;""),'Weekly Tracker'!$N$2:$N$766),"")</f>
        <v/>
      </c>
      <c r="L317" s="9">
        <f>IFERROR(LOOKUP(2,1/('Weekly Tracker'!$E$2:$E$766=$A317)/('Weekly Tracker'!$O$2:$O$766&lt;&gt;""),'Weekly Tracker'!$O$2:$O$766),"")</f>
        <v/>
      </c>
    </row>
    <row r="318">
      <c r="A318" s="9" t="inlineStr">
        <is>
          <t>Poovarasan Rapido</t>
        </is>
      </c>
      <c r="B318" s="9" t="inlineStr">
        <is>
          <t>919345445272</t>
        </is>
      </c>
      <c r="C318" s="9" t="n"/>
      <c r="D318" s="9" t="n"/>
      <c r="E318" s="9" t="n"/>
      <c r="F318" s="9">
        <f>IFERROR(LOOKUP(2,1/('Weekly Tracker'!$E$2:$E$766=$A318)/('Weekly Tracker'!$F$2:$F$766&lt;&gt;""),'Weekly Tracker'!$F$2:$F$766),"")</f>
        <v/>
      </c>
      <c r="G318" s="16">
        <f>IF(F318&lt;&gt;"",LOOKUP(2,1/('Weekly Tracker'!$E$2:$E$766=$A318)/('Weekly Tracker'!$F$2:$F$766&lt;&gt;""),'Weekly Tracker'!$G$2:$G$766),"")</f>
        <v/>
      </c>
      <c r="H318" s="9">
        <f>IFERROR(LOOKUP(2,1/('Weekly Tracker'!$E$2:$E$766=$A318)/('Weekly Tracker'!$H$2:$H$766&lt;&gt;""),'Weekly Tracker'!$H$2:$H$766),"")</f>
        <v/>
      </c>
      <c r="I318" s="16">
        <f>IF(H318&lt;&gt;"",LOOKUP(2,1/('Weekly Tracker'!$E$2:$E$766=$A318)/('Weekly Tracker'!$H$2:$H$766&lt;&gt;""),'Weekly Tracker'!$I$2:$I$766),"")</f>
        <v/>
      </c>
      <c r="J318" s="9">
        <f>IFERROR(LOOKUP(2,1/('Weekly Tracker'!$E$2:$E$766=$A318)/('Weekly Tracker'!$J$2:$J$766&lt;&gt;""),'Weekly Tracker'!$J$2:$J$766),"")</f>
        <v/>
      </c>
      <c r="K318" s="9">
        <f>IFERROR(LOOKUP(2,1/('Weekly Tracker'!$E$2:$E$766=$A318)/('Weekly Tracker'!$N$2:$N$766&lt;&gt;""),'Weekly Tracker'!$N$2:$N$766),"")</f>
        <v/>
      </c>
      <c r="L318" s="9">
        <f>IFERROR(LOOKUP(2,1/('Weekly Tracker'!$E$2:$E$766=$A318)/('Weekly Tracker'!$O$2:$O$766&lt;&gt;""),'Weekly Tracker'!$O$2:$O$766),"")</f>
        <v/>
      </c>
    </row>
    <row r="319">
      <c r="A319" s="9" t="inlineStr">
        <is>
          <t>Sholto Mech</t>
        </is>
      </c>
      <c r="B319" s="9" t="inlineStr">
        <is>
          <t>919443587200</t>
        </is>
      </c>
      <c r="C319" s="9" t="n"/>
      <c r="D319" s="9" t="n"/>
      <c r="E319" s="9" t="n"/>
      <c r="F319" s="9">
        <f>IFERROR(LOOKUP(2,1/('Weekly Tracker'!$E$2:$E$766=$A319)/('Weekly Tracker'!$F$2:$F$766&lt;&gt;""),'Weekly Tracker'!$F$2:$F$766),"")</f>
        <v/>
      </c>
      <c r="G319" s="16">
        <f>IF(F319&lt;&gt;"",LOOKUP(2,1/('Weekly Tracker'!$E$2:$E$766=$A319)/('Weekly Tracker'!$F$2:$F$766&lt;&gt;""),'Weekly Tracker'!$G$2:$G$766),"")</f>
        <v/>
      </c>
      <c r="H319" s="9">
        <f>IFERROR(LOOKUP(2,1/('Weekly Tracker'!$E$2:$E$766=$A319)/('Weekly Tracker'!$H$2:$H$766&lt;&gt;""),'Weekly Tracker'!$H$2:$H$766),"")</f>
        <v/>
      </c>
      <c r="I319" s="16">
        <f>IF(H319&lt;&gt;"",LOOKUP(2,1/('Weekly Tracker'!$E$2:$E$766=$A319)/('Weekly Tracker'!$H$2:$H$766&lt;&gt;""),'Weekly Tracker'!$I$2:$I$766),"")</f>
        <v/>
      </c>
      <c r="J319" s="9">
        <f>IFERROR(LOOKUP(2,1/('Weekly Tracker'!$E$2:$E$766=$A319)/('Weekly Tracker'!$J$2:$J$766&lt;&gt;""),'Weekly Tracker'!$J$2:$J$766),"")</f>
        <v/>
      </c>
      <c r="K319" s="9">
        <f>IFERROR(LOOKUP(2,1/('Weekly Tracker'!$E$2:$E$766=$A319)/('Weekly Tracker'!$N$2:$N$766&lt;&gt;""),'Weekly Tracker'!$N$2:$N$766),"")</f>
        <v/>
      </c>
      <c r="L319" s="9">
        <f>IFERROR(LOOKUP(2,1/('Weekly Tracker'!$E$2:$E$766=$A319)/('Weekly Tracker'!$O$2:$O$766&lt;&gt;""),'Weekly Tracker'!$O$2:$O$766),"")</f>
        <v/>
      </c>
    </row>
    <row r="320">
      <c r="A320" s="9" t="inlineStr">
        <is>
          <t>Umesh Soni HCL</t>
        </is>
      </c>
      <c r="B320" s="9" t="inlineStr">
        <is>
          <t>918717891419</t>
        </is>
      </c>
      <c r="C320" s="9" t="n"/>
      <c r="D320" s="9" t="n"/>
      <c r="E320" s="9" t="n"/>
      <c r="F320" s="9">
        <f>IFERROR(LOOKUP(2,1/('Weekly Tracker'!$E$2:$E$766=$A320)/('Weekly Tracker'!$F$2:$F$766&lt;&gt;""),'Weekly Tracker'!$F$2:$F$766),"")</f>
        <v/>
      </c>
      <c r="G320" s="16">
        <f>IF(F320&lt;&gt;"",LOOKUP(2,1/('Weekly Tracker'!$E$2:$E$766=$A320)/('Weekly Tracker'!$F$2:$F$766&lt;&gt;""),'Weekly Tracker'!$G$2:$G$766),"")</f>
        <v/>
      </c>
      <c r="H320" s="9">
        <f>IFERROR(LOOKUP(2,1/('Weekly Tracker'!$E$2:$E$766=$A320)/('Weekly Tracker'!$H$2:$H$766&lt;&gt;""),'Weekly Tracker'!$H$2:$H$766),"")</f>
        <v/>
      </c>
      <c r="I320" s="16">
        <f>IF(H320&lt;&gt;"",LOOKUP(2,1/('Weekly Tracker'!$E$2:$E$766=$A320)/('Weekly Tracker'!$H$2:$H$766&lt;&gt;""),'Weekly Tracker'!$I$2:$I$766),"")</f>
        <v/>
      </c>
      <c r="J320" s="9">
        <f>IFERROR(LOOKUP(2,1/('Weekly Tracker'!$E$2:$E$766=$A320)/('Weekly Tracker'!$J$2:$J$766&lt;&gt;""),'Weekly Tracker'!$J$2:$J$766),"")</f>
        <v/>
      </c>
      <c r="K320" s="9">
        <f>IFERROR(LOOKUP(2,1/('Weekly Tracker'!$E$2:$E$766=$A320)/('Weekly Tracker'!$N$2:$N$766&lt;&gt;""),'Weekly Tracker'!$N$2:$N$766),"")</f>
        <v/>
      </c>
      <c r="L320" s="9">
        <f>IFERROR(LOOKUP(2,1/('Weekly Tracker'!$E$2:$E$766=$A320)/('Weekly Tracker'!$O$2:$O$766&lt;&gt;""),'Weekly Tracker'!$O$2:$O$766),"")</f>
        <v/>
      </c>
    </row>
    <row r="321">
      <c r="A321" s="9" t="inlineStr">
        <is>
          <t>Kalaindra Raja FB</t>
        </is>
      </c>
      <c r="B321" s="9" t="inlineStr">
        <is>
          <t>9884439972</t>
        </is>
      </c>
      <c r="C321" s="9" t="n"/>
      <c r="D321" s="9" t="n"/>
      <c r="E321" s="9" t="n"/>
      <c r="F321" s="9">
        <f>IFERROR(LOOKUP(2,1/('Weekly Tracker'!$E$2:$E$766=$A321)/('Weekly Tracker'!$F$2:$F$766&lt;&gt;""),'Weekly Tracker'!$F$2:$F$766),"")</f>
        <v/>
      </c>
      <c r="G321" s="16">
        <f>IF(F321&lt;&gt;"",LOOKUP(2,1/('Weekly Tracker'!$E$2:$E$766=$A321)/('Weekly Tracker'!$F$2:$F$766&lt;&gt;""),'Weekly Tracker'!$G$2:$G$766),"")</f>
        <v/>
      </c>
      <c r="H321" s="9">
        <f>IFERROR(LOOKUP(2,1/('Weekly Tracker'!$E$2:$E$766=$A321)/('Weekly Tracker'!$H$2:$H$766&lt;&gt;""),'Weekly Tracker'!$H$2:$H$766),"")</f>
        <v/>
      </c>
      <c r="I321" s="16">
        <f>IF(H321&lt;&gt;"",LOOKUP(2,1/('Weekly Tracker'!$E$2:$E$766=$A321)/('Weekly Tracker'!$H$2:$H$766&lt;&gt;""),'Weekly Tracker'!$I$2:$I$766),"")</f>
        <v/>
      </c>
      <c r="J321" s="9">
        <f>IFERROR(LOOKUP(2,1/('Weekly Tracker'!$E$2:$E$766=$A321)/('Weekly Tracker'!$J$2:$J$766&lt;&gt;""),'Weekly Tracker'!$J$2:$J$766),"")</f>
        <v/>
      </c>
      <c r="K321" s="9">
        <f>IFERROR(LOOKUP(2,1/('Weekly Tracker'!$E$2:$E$766=$A321)/('Weekly Tracker'!$N$2:$N$766&lt;&gt;""),'Weekly Tracker'!$N$2:$N$766),"")</f>
        <v/>
      </c>
      <c r="L321" s="9">
        <f>IFERROR(LOOKUP(2,1/('Weekly Tracker'!$E$2:$E$766=$A321)/('Weekly Tracker'!$O$2:$O$766&lt;&gt;""),'Weekly Tracker'!$O$2:$O$766),"")</f>
        <v/>
      </c>
    </row>
    <row r="322">
      <c r="A322" s="9" t="inlineStr">
        <is>
          <t>rishikeshrajan FB</t>
        </is>
      </c>
      <c r="B322" s="9" t="inlineStr">
        <is>
          <t>918270264994</t>
        </is>
      </c>
      <c r="C322" s="9" t="n"/>
      <c r="D322" s="9" t="n"/>
      <c r="E322" s="9" t="n"/>
      <c r="F322" s="9">
        <f>IFERROR(LOOKUP(2,1/('Weekly Tracker'!$E$2:$E$766=$A322)/('Weekly Tracker'!$F$2:$F$766&lt;&gt;""),'Weekly Tracker'!$F$2:$F$766),"")</f>
        <v/>
      </c>
      <c r="G322" s="16">
        <f>IF(F322&lt;&gt;"",LOOKUP(2,1/('Weekly Tracker'!$E$2:$E$766=$A322)/('Weekly Tracker'!$F$2:$F$766&lt;&gt;""),'Weekly Tracker'!$G$2:$G$766),"")</f>
        <v/>
      </c>
      <c r="H322" s="9">
        <f>IFERROR(LOOKUP(2,1/('Weekly Tracker'!$E$2:$E$766=$A322)/('Weekly Tracker'!$H$2:$H$766&lt;&gt;""),'Weekly Tracker'!$H$2:$H$766),"")</f>
        <v/>
      </c>
      <c r="I322" s="16">
        <f>IF(H322&lt;&gt;"",LOOKUP(2,1/('Weekly Tracker'!$E$2:$E$766=$A322)/('Weekly Tracker'!$H$2:$H$766&lt;&gt;""),'Weekly Tracker'!$I$2:$I$766),"")</f>
        <v/>
      </c>
      <c r="J322" s="9">
        <f>IFERROR(LOOKUP(2,1/('Weekly Tracker'!$E$2:$E$766=$A322)/('Weekly Tracker'!$J$2:$J$766&lt;&gt;""),'Weekly Tracker'!$J$2:$J$766),"")</f>
        <v/>
      </c>
      <c r="K322" s="9">
        <f>IFERROR(LOOKUP(2,1/('Weekly Tracker'!$E$2:$E$766=$A322)/('Weekly Tracker'!$N$2:$N$766&lt;&gt;""),'Weekly Tracker'!$N$2:$N$766),"")</f>
        <v/>
      </c>
      <c r="L322" s="9">
        <f>IFERROR(LOOKUP(2,1/('Weekly Tracker'!$E$2:$E$766=$A322)/('Weekly Tracker'!$O$2:$O$766&lt;&gt;""),'Weekly Tracker'!$O$2:$O$766),"")</f>
        <v/>
      </c>
    </row>
    <row r="323">
      <c r="A323" s="9" t="inlineStr">
        <is>
          <t>Tejaswi</t>
        </is>
      </c>
      <c r="B323" s="9" t="inlineStr">
        <is>
          <t>916369125168</t>
        </is>
      </c>
      <c r="C323" s="9" t="n"/>
      <c r="D323" s="9" t="n"/>
      <c r="E323" s="9" t="n"/>
      <c r="F323" s="9">
        <f>IFERROR(LOOKUP(2,1/('Weekly Tracker'!$E$2:$E$766=$A323)/('Weekly Tracker'!$F$2:$F$766&lt;&gt;""),'Weekly Tracker'!$F$2:$F$766),"")</f>
        <v/>
      </c>
      <c r="G323" s="16">
        <f>IF(F323&lt;&gt;"",LOOKUP(2,1/('Weekly Tracker'!$E$2:$E$766=$A323)/('Weekly Tracker'!$F$2:$F$766&lt;&gt;""),'Weekly Tracker'!$G$2:$G$766),"")</f>
        <v/>
      </c>
      <c r="H323" s="9">
        <f>IFERROR(LOOKUP(2,1/('Weekly Tracker'!$E$2:$E$766=$A323)/('Weekly Tracker'!$H$2:$H$766&lt;&gt;""),'Weekly Tracker'!$H$2:$H$766),"")</f>
        <v/>
      </c>
      <c r="I323" s="16">
        <f>IF(H323&lt;&gt;"",LOOKUP(2,1/('Weekly Tracker'!$E$2:$E$766=$A323)/('Weekly Tracker'!$H$2:$H$766&lt;&gt;""),'Weekly Tracker'!$I$2:$I$766),"")</f>
        <v/>
      </c>
      <c r="J323" s="9">
        <f>IFERROR(LOOKUP(2,1/('Weekly Tracker'!$E$2:$E$766=$A323)/('Weekly Tracker'!$J$2:$J$766&lt;&gt;""),'Weekly Tracker'!$J$2:$J$766),"")</f>
        <v/>
      </c>
      <c r="K323" s="9">
        <f>IFERROR(LOOKUP(2,1/('Weekly Tracker'!$E$2:$E$766=$A323)/('Weekly Tracker'!$N$2:$N$766&lt;&gt;""),'Weekly Tracker'!$N$2:$N$766),"")</f>
        <v/>
      </c>
      <c r="L323" s="9">
        <f>IFERROR(LOOKUP(2,1/('Weekly Tracker'!$E$2:$E$766=$A323)/('Weekly Tracker'!$O$2:$O$766&lt;&gt;""),'Weekly Tracker'!$O$2:$O$766),"")</f>
        <v/>
      </c>
    </row>
    <row r="324">
      <c r="A324" s="9" t="inlineStr">
        <is>
          <t>Veera Telegram</t>
        </is>
      </c>
      <c r="B324" s="9" t="inlineStr">
        <is>
          <t>9014515419</t>
        </is>
      </c>
      <c r="C324" s="9" t="n"/>
      <c r="D324" s="9" t="n"/>
      <c r="E324" s="9" t="n"/>
      <c r="F324" s="9">
        <f>IFERROR(LOOKUP(2,1/('Weekly Tracker'!$E$2:$E$766=$A324)/('Weekly Tracker'!$F$2:$F$766&lt;&gt;""),'Weekly Tracker'!$F$2:$F$766),"")</f>
        <v/>
      </c>
      <c r="G324" s="16">
        <f>IF(F324&lt;&gt;"",LOOKUP(2,1/('Weekly Tracker'!$E$2:$E$766=$A324)/('Weekly Tracker'!$F$2:$F$766&lt;&gt;""),'Weekly Tracker'!$G$2:$G$766),"")</f>
        <v/>
      </c>
      <c r="H324" s="9">
        <f>IFERROR(LOOKUP(2,1/('Weekly Tracker'!$E$2:$E$766=$A324)/('Weekly Tracker'!$H$2:$H$766&lt;&gt;""),'Weekly Tracker'!$H$2:$H$766),"")</f>
        <v/>
      </c>
      <c r="I324" s="16">
        <f>IF(H324&lt;&gt;"",LOOKUP(2,1/('Weekly Tracker'!$E$2:$E$766=$A324)/('Weekly Tracker'!$H$2:$H$766&lt;&gt;""),'Weekly Tracker'!$I$2:$I$766),"")</f>
        <v/>
      </c>
      <c r="J324" s="9">
        <f>IFERROR(LOOKUP(2,1/('Weekly Tracker'!$E$2:$E$766=$A324)/('Weekly Tracker'!$J$2:$J$766&lt;&gt;""),'Weekly Tracker'!$J$2:$J$766),"")</f>
        <v/>
      </c>
      <c r="K324" s="9">
        <f>IFERROR(LOOKUP(2,1/('Weekly Tracker'!$E$2:$E$766=$A324)/('Weekly Tracker'!$N$2:$N$766&lt;&gt;""),'Weekly Tracker'!$N$2:$N$766),"")</f>
        <v/>
      </c>
      <c r="L324" s="9">
        <f>IFERROR(LOOKUP(2,1/('Weekly Tracker'!$E$2:$E$766=$A324)/('Weekly Tracker'!$O$2:$O$766&lt;&gt;""),'Weekly Tracker'!$O$2:$O$766),"")</f>
        <v/>
      </c>
    </row>
    <row r="325">
      <c r="A325" s="9" t="inlineStr">
        <is>
          <t>Shenbaga Velu Scl</t>
        </is>
      </c>
      <c r="B325" s="9" t="inlineStr">
        <is>
          <t>917806921030</t>
        </is>
      </c>
      <c r="C325" s="9" t="n"/>
      <c r="D325" s="9" t="n"/>
      <c r="E325" s="9" t="inlineStr">
        <is>
          <t>Tamil Nadu, India</t>
        </is>
      </c>
      <c r="F325" s="9">
        <f>IFERROR(LOOKUP(2,1/('Weekly Tracker'!$E$2:$E$766=$A325)/('Weekly Tracker'!$F$2:$F$766&lt;&gt;""),'Weekly Tracker'!$F$2:$F$766),"")</f>
        <v/>
      </c>
      <c r="G325" s="16">
        <f>IF(F325&lt;&gt;"",LOOKUP(2,1/('Weekly Tracker'!$E$2:$E$766=$A325)/('Weekly Tracker'!$F$2:$F$766&lt;&gt;""),'Weekly Tracker'!$G$2:$G$766),"")</f>
        <v/>
      </c>
      <c r="H325" s="9">
        <f>IFERROR(LOOKUP(2,1/('Weekly Tracker'!$E$2:$E$766=$A325)/('Weekly Tracker'!$H$2:$H$766&lt;&gt;""),'Weekly Tracker'!$H$2:$H$766),"")</f>
        <v/>
      </c>
      <c r="I325" s="16">
        <f>IF(H325&lt;&gt;"",LOOKUP(2,1/('Weekly Tracker'!$E$2:$E$766=$A325)/('Weekly Tracker'!$H$2:$H$766&lt;&gt;""),'Weekly Tracker'!$I$2:$I$766),"")</f>
        <v/>
      </c>
      <c r="J325" s="9">
        <f>IFERROR(LOOKUP(2,1/('Weekly Tracker'!$E$2:$E$766=$A325)/('Weekly Tracker'!$J$2:$J$766&lt;&gt;""),'Weekly Tracker'!$J$2:$J$766),"")</f>
        <v/>
      </c>
      <c r="K325" s="9">
        <f>IFERROR(LOOKUP(2,1/('Weekly Tracker'!$E$2:$E$766=$A325)/('Weekly Tracker'!$N$2:$N$766&lt;&gt;""),'Weekly Tracker'!$N$2:$N$766),"")</f>
        <v/>
      </c>
      <c r="L325" s="9">
        <f>IFERROR(LOOKUP(2,1/('Weekly Tracker'!$E$2:$E$766=$A325)/('Weekly Tracker'!$O$2:$O$766&lt;&gt;""),'Weekly Tracker'!$O$2:$O$766),"")</f>
        <v/>
      </c>
    </row>
    <row r="326">
      <c r="A326" s="9" t="inlineStr">
        <is>
          <t>Claybag</t>
        </is>
      </c>
      <c r="B326" s="9" t="inlineStr">
        <is>
          <t>919742263339</t>
        </is>
      </c>
      <c r="C326" s="9" t="n"/>
      <c r="D326" s="9" t="n"/>
      <c r="E326" s="9" t="n"/>
      <c r="F326" s="9">
        <f>IFERROR(LOOKUP(2,1/('Weekly Tracker'!$E$2:$E$766=$A326)/('Weekly Tracker'!$F$2:$F$766&lt;&gt;""),'Weekly Tracker'!$F$2:$F$766),"")</f>
        <v/>
      </c>
      <c r="G326" s="16">
        <f>IF(F326&lt;&gt;"",LOOKUP(2,1/('Weekly Tracker'!$E$2:$E$766=$A326)/('Weekly Tracker'!$F$2:$F$766&lt;&gt;""),'Weekly Tracker'!$G$2:$G$766),"")</f>
        <v/>
      </c>
      <c r="H326" s="9">
        <f>IFERROR(LOOKUP(2,1/('Weekly Tracker'!$E$2:$E$766=$A326)/('Weekly Tracker'!$H$2:$H$766&lt;&gt;""),'Weekly Tracker'!$H$2:$H$766),"")</f>
        <v/>
      </c>
      <c r="I326" s="16">
        <f>IF(H326&lt;&gt;"",LOOKUP(2,1/('Weekly Tracker'!$E$2:$E$766=$A326)/('Weekly Tracker'!$H$2:$H$766&lt;&gt;""),'Weekly Tracker'!$I$2:$I$766),"")</f>
        <v/>
      </c>
      <c r="J326" s="9">
        <f>IFERROR(LOOKUP(2,1/('Weekly Tracker'!$E$2:$E$766=$A326)/('Weekly Tracker'!$J$2:$J$766&lt;&gt;""),'Weekly Tracker'!$J$2:$J$766),"")</f>
        <v/>
      </c>
      <c r="K326" s="9">
        <f>IFERROR(LOOKUP(2,1/('Weekly Tracker'!$E$2:$E$766=$A326)/('Weekly Tracker'!$N$2:$N$766&lt;&gt;""),'Weekly Tracker'!$N$2:$N$766),"")</f>
        <v/>
      </c>
      <c r="L326" s="9">
        <f>IFERROR(LOOKUP(2,1/('Weekly Tracker'!$E$2:$E$766=$A326)/('Weekly Tracker'!$O$2:$O$766&lt;&gt;""),'Weekly Tracker'!$O$2:$O$766),"")</f>
        <v/>
      </c>
    </row>
    <row r="327">
      <c r="A327" s="9" t="inlineStr">
        <is>
          <t>Vimal Loan Loan Axis</t>
        </is>
      </c>
      <c r="B327" s="9" t="inlineStr">
        <is>
          <t>917904628887</t>
        </is>
      </c>
      <c r="C327" s="9" t="n"/>
      <c r="D327" s="9" t="n"/>
      <c r="E327" s="9" t="n"/>
      <c r="F327" s="9">
        <f>IFERROR(LOOKUP(2,1/('Weekly Tracker'!$E$2:$E$766=$A327)/('Weekly Tracker'!$F$2:$F$766&lt;&gt;""),'Weekly Tracker'!$F$2:$F$766),"")</f>
        <v/>
      </c>
      <c r="G327" s="16">
        <f>IF(F327&lt;&gt;"",LOOKUP(2,1/('Weekly Tracker'!$E$2:$E$766=$A327)/('Weekly Tracker'!$F$2:$F$766&lt;&gt;""),'Weekly Tracker'!$G$2:$G$766),"")</f>
        <v/>
      </c>
      <c r="H327" s="9">
        <f>IFERROR(LOOKUP(2,1/('Weekly Tracker'!$E$2:$E$766=$A327)/('Weekly Tracker'!$H$2:$H$766&lt;&gt;""),'Weekly Tracker'!$H$2:$H$766),"")</f>
        <v/>
      </c>
      <c r="I327" s="16">
        <f>IF(H327&lt;&gt;"",LOOKUP(2,1/('Weekly Tracker'!$E$2:$E$766=$A327)/('Weekly Tracker'!$H$2:$H$766&lt;&gt;""),'Weekly Tracker'!$I$2:$I$766),"")</f>
        <v/>
      </c>
      <c r="J327" s="9">
        <f>IFERROR(LOOKUP(2,1/('Weekly Tracker'!$E$2:$E$766=$A327)/('Weekly Tracker'!$J$2:$J$766&lt;&gt;""),'Weekly Tracker'!$J$2:$J$766),"")</f>
        <v/>
      </c>
      <c r="K327" s="9">
        <f>IFERROR(LOOKUP(2,1/('Weekly Tracker'!$E$2:$E$766=$A327)/('Weekly Tracker'!$N$2:$N$766&lt;&gt;""),'Weekly Tracker'!$N$2:$N$766),"")</f>
        <v/>
      </c>
      <c r="L327" s="9">
        <f>IFERROR(LOOKUP(2,1/('Weekly Tracker'!$E$2:$E$766=$A327)/('Weekly Tracker'!$O$2:$O$766&lt;&gt;""),'Weekly Tracker'!$O$2:$O$766),"")</f>
        <v/>
      </c>
    </row>
    <row r="328">
      <c r="A328" s="9" t="inlineStr">
        <is>
          <t>Rock Agastin FB</t>
        </is>
      </c>
      <c r="B328" s="9" t="inlineStr">
        <is>
          <t>8675602251</t>
        </is>
      </c>
      <c r="C328" s="9" t="n"/>
      <c r="D328" s="9" t="n"/>
      <c r="E328" s="9" t="n"/>
      <c r="F328" s="9">
        <f>IFERROR(LOOKUP(2,1/('Weekly Tracker'!$E$2:$E$766=$A328)/('Weekly Tracker'!$F$2:$F$766&lt;&gt;""),'Weekly Tracker'!$F$2:$F$766),"")</f>
        <v/>
      </c>
      <c r="G328" s="16">
        <f>IF(F328&lt;&gt;"",LOOKUP(2,1/('Weekly Tracker'!$E$2:$E$766=$A328)/('Weekly Tracker'!$F$2:$F$766&lt;&gt;""),'Weekly Tracker'!$G$2:$G$766),"")</f>
        <v/>
      </c>
      <c r="H328" s="9">
        <f>IFERROR(LOOKUP(2,1/('Weekly Tracker'!$E$2:$E$766=$A328)/('Weekly Tracker'!$H$2:$H$766&lt;&gt;""),'Weekly Tracker'!$H$2:$H$766),"")</f>
        <v/>
      </c>
      <c r="I328" s="16">
        <f>IF(H328&lt;&gt;"",LOOKUP(2,1/('Weekly Tracker'!$E$2:$E$766=$A328)/('Weekly Tracker'!$H$2:$H$766&lt;&gt;""),'Weekly Tracker'!$I$2:$I$766),"")</f>
        <v/>
      </c>
      <c r="J328" s="9">
        <f>IFERROR(LOOKUP(2,1/('Weekly Tracker'!$E$2:$E$766=$A328)/('Weekly Tracker'!$J$2:$J$766&lt;&gt;""),'Weekly Tracker'!$J$2:$J$766),"")</f>
        <v/>
      </c>
      <c r="K328" s="9">
        <f>IFERROR(LOOKUP(2,1/('Weekly Tracker'!$E$2:$E$766=$A328)/('Weekly Tracker'!$N$2:$N$766&lt;&gt;""),'Weekly Tracker'!$N$2:$N$766),"")</f>
        <v/>
      </c>
      <c r="L328" s="9">
        <f>IFERROR(LOOKUP(2,1/('Weekly Tracker'!$E$2:$E$766=$A328)/('Weekly Tracker'!$O$2:$O$766&lt;&gt;""),'Weekly Tracker'!$O$2:$O$766),"")</f>
        <v/>
      </c>
    </row>
    <row r="329">
      <c r="A329" s="9" t="inlineStr">
        <is>
          <t>Dhinesh Dsp FB</t>
        </is>
      </c>
      <c r="B329" s="9" t="inlineStr">
        <is>
          <t>7639554324</t>
        </is>
      </c>
      <c r="C329" s="9" t="n"/>
      <c r="D329" s="9" t="n"/>
      <c r="E329" s="9" t="n"/>
      <c r="F329" s="9">
        <f>IFERROR(LOOKUP(2,1/('Weekly Tracker'!$E$2:$E$766=$A329)/('Weekly Tracker'!$F$2:$F$766&lt;&gt;""),'Weekly Tracker'!$F$2:$F$766),"")</f>
        <v/>
      </c>
      <c r="G329" s="16">
        <f>IF(F329&lt;&gt;"",LOOKUP(2,1/('Weekly Tracker'!$E$2:$E$766=$A329)/('Weekly Tracker'!$F$2:$F$766&lt;&gt;""),'Weekly Tracker'!$G$2:$G$766),"")</f>
        <v/>
      </c>
      <c r="H329" s="9">
        <f>IFERROR(LOOKUP(2,1/('Weekly Tracker'!$E$2:$E$766=$A329)/('Weekly Tracker'!$H$2:$H$766&lt;&gt;""),'Weekly Tracker'!$H$2:$H$766),"")</f>
        <v/>
      </c>
      <c r="I329" s="16">
        <f>IF(H329&lt;&gt;"",LOOKUP(2,1/('Weekly Tracker'!$E$2:$E$766=$A329)/('Weekly Tracker'!$H$2:$H$766&lt;&gt;""),'Weekly Tracker'!$I$2:$I$766),"")</f>
        <v/>
      </c>
      <c r="J329" s="9">
        <f>IFERROR(LOOKUP(2,1/('Weekly Tracker'!$E$2:$E$766=$A329)/('Weekly Tracker'!$J$2:$J$766&lt;&gt;""),'Weekly Tracker'!$J$2:$J$766),"")</f>
        <v/>
      </c>
      <c r="K329" s="9">
        <f>IFERROR(LOOKUP(2,1/('Weekly Tracker'!$E$2:$E$766=$A329)/('Weekly Tracker'!$N$2:$N$766&lt;&gt;""),'Weekly Tracker'!$N$2:$N$766),"")</f>
        <v/>
      </c>
      <c r="L329" s="9">
        <f>IFERROR(LOOKUP(2,1/('Weekly Tracker'!$E$2:$E$766=$A329)/('Weekly Tracker'!$O$2:$O$766&lt;&gt;""),'Weekly Tracker'!$O$2:$O$766),"")</f>
        <v/>
      </c>
    </row>
    <row r="330">
      <c r="A330" s="9" t="inlineStr">
        <is>
          <t>Deepak Charter Infy</t>
        </is>
      </c>
      <c r="B330" s="9" t="inlineStr">
        <is>
          <t>918667319991</t>
        </is>
      </c>
      <c r="C330" s="9" t="n"/>
      <c r="D330" s="9" t="n"/>
      <c r="E330" s="9" t="n"/>
      <c r="F330" s="9">
        <f>IFERROR(LOOKUP(2,1/('Weekly Tracker'!$E$2:$E$766=$A330)/('Weekly Tracker'!$F$2:$F$766&lt;&gt;""),'Weekly Tracker'!$F$2:$F$766),"")</f>
        <v/>
      </c>
      <c r="G330" s="16">
        <f>IF(F330&lt;&gt;"",LOOKUP(2,1/('Weekly Tracker'!$E$2:$E$766=$A330)/('Weekly Tracker'!$F$2:$F$766&lt;&gt;""),'Weekly Tracker'!$G$2:$G$766),"")</f>
        <v/>
      </c>
      <c r="H330" s="9">
        <f>IFERROR(LOOKUP(2,1/('Weekly Tracker'!$E$2:$E$766=$A330)/('Weekly Tracker'!$H$2:$H$766&lt;&gt;""),'Weekly Tracker'!$H$2:$H$766),"")</f>
        <v/>
      </c>
      <c r="I330" s="16">
        <f>IF(H330&lt;&gt;"",LOOKUP(2,1/('Weekly Tracker'!$E$2:$E$766=$A330)/('Weekly Tracker'!$H$2:$H$766&lt;&gt;""),'Weekly Tracker'!$I$2:$I$766),"")</f>
        <v/>
      </c>
      <c r="J330" s="9">
        <f>IFERROR(LOOKUP(2,1/('Weekly Tracker'!$E$2:$E$766=$A330)/('Weekly Tracker'!$J$2:$J$766&lt;&gt;""),'Weekly Tracker'!$J$2:$J$766),"")</f>
        <v/>
      </c>
      <c r="K330" s="9">
        <f>IFERROR(LOOKUP(2,1/('Weekly Tracker'!$E$2:$E$766=$A330)/('Weekly Tracker'!$N$2:$N$766&lt;&gt;""),'Weekly Tracker'!$N$2:$N$766),"")</f>
        <v/>
      </c>
      <c r="L330" s="9">
        <f>IFERROR(LOOKUP(2,1/('Weekly Tracker'!$E$2:$E$766=$A330)/('Weekly Tracker'!$O$2:$O$766&lt;&gt;""),'Weekly Tracker'!$O$2:$O$766),"")</f>
        <v/>
      </c>
    </row>
    <row r="331">
      <c r="A331" s="9" t="inlineStr">
        <is>
          <t>Joy HDFC</t>
        </is>
      </c>
      <c r="B331" s="9" t="inlineStr">
        <is>
          <t>919043562823</t>
        </is>
      </c>
      <c r="C331" s="9" t="n"/>
      <c r="D331" s="9" t="n"/>
      <c r="E331" s="9" t="n"/>
      <c r="F331" s="9">
        <f>IFERROR(LOOKUP(2,1/('Weekly Tracker'!$E$2:$E$766=$A331)/('Weekly Tracker'!$F$2:$F$766&lt;&gt;""),'Weekly Tracker'!$F$2:$F$766),"")</f>
        <v/>
      </c>
      <c r="G331" s="16">
        <f>IF(F331&lt;&gt;"",LOOKUP(2,1/('Weekly Tracker'!$E$2:$E$766=$A331)/('Weekly Tracker'!$F$2:$F$766&lt;&gt;""),'Weekly Tracker'!$G$2:$G$766),"")</f>
        <v/>
      </c>
      <c r="H331" s="9">
        <f>IFERROR(LOOKUP(2,1/('Weekly Tracker'!$E$2:$E$766=$A331)/('Weekly Tracker'!$H$2:$H$766&lt;&gt;""),'Weekly Tracker'!$H$2:$H$766),"")</f>
        <v/>
      </c>
      <c r="I331" s="16">
        <f>IF(H331&lt;&gt;"",LOOKUP(2,1/('Weekly Tracker'!$E$2:$E$766=$A331)/('Weekly Tracker'!$H$2:$H$766&lt;&gt;""),'Weekly Tracker'!$I$2:$I$766),"")</f>
        <v/>
      </c>
      <c r="J331" s="9">
        <f>IFERROR(LOOKUP(2,1/('Weekly Tracker'!$E$2:$E$766=$A331)/('Weekly Tracker'!$J$2:$J$766&lt;&gt;""),'Weekly Tracker'!$J$2:$J$766),"")</f>
        <v/>
      </c>
      <c r="K331" s="9">
        <f>IFERROR(LOOKUP(2,1/('Weekly Tracker'!$E$2:$E$766=$A331)/('Weekly Tracker'!$N$2:$N$766&lt;&gt;""),'Weekly Tracker'!$N$2:$N$766),"")</f>
        <v/>
      </c>
      <c r="L331" s="9">
        <f>IFERROR(LOOKUP(2,1/('Weekly Tracker'!$E$2:$E$766=$A331)/('Weekly Tracker'!$O$2:$O$766&lt;&gt;""),'Weekly Tracker'!$O$2:$O$766),"")</f>
        <v/>
      </c>
    </row>
    <row r="332">
      <c r="A332" s="9" t="inlineStr">
        <is>
          <t>Ponraj</t>
        </is>
      </c>
      <c r="B332" s="9" t="inlineStr">
        <is>
          <t>9597375734</t>
        </is>
      </c>
      <c r="C332" s="9" t="n"/>
      <c r="D332" s="9" t="n"/>
      <c r="E332" s="9" t="inlineStr">
        <is>
          <t>Tamil Nadu, India</t>
        </is>
      </c>
      <c r="F332" s="9">
        <f>IFERROR(LOOKUP(2,1/('Weekly Tracker'!$E$2:$E$766=$A332)/('Weekly Tracker'!$F$2:$F$766&lt;&gt;""),'Weekly Tracker'!$F$2:$F$766),"")</f>
        <v/>
      </c>
      <c r="G332" s="16">
        <f>IF(F332&lt;&gt;"",LOOKUP(2,1/('Weekly Tracker'!$E$2:$E$766=$A332)/('Weekly Tracker'!$F$2:$F$766&lt;&gt;""),'Weekly Tracker'!$G$2:$G$766),"")</f>
        <v/>
      </c>
      <c r="H332" s="9">
        <f>IFERROR(LOOKUP(2,1/('Weekly Tracker'!$E$2:$E$766=$A332)/('Weekly Tracker'!$H$2:$H$766&lt;&gt;""),'Weekly Tracker'!$H$2:$H$766),"")</f>
        <v/>
      </c>
      <c r="I332" s="16">
        <f>IF(H332&lt;&gt;"",LOOKUP(2,1/('Weekly Tracker'!$E$2:$E$766=$A332)/('Weekly Tracker'!$H$2:$H$766&lt;&gt;""),'Weekly Tracker'!$I$2:$I$766),"")</f>
        <v/>
      </c>
      <c r="J332" s="9">
        <f>IFERROR(LOOKUP(2,1/('Weekly Tracker'!$E$2:$E$766=$A332)/('Weekly Tracker'!$J$2:$J$766&lt;&gt;""),'Weekly Tracker'!$J$2:$J$766),"")</f>
        <v/>
      </c>
      <c r="K332" s="9">
        <f>IFERROR(LOOKUP(2,1/('Weekly Tracker'!$E$2:$E$766=$A332)/('Weekly Tracker'!$N$2:$N$766&lt;&gt;""),'Weekly Tracker'!$N$2:$N$766),"")</f>
        <v/>
      </c>
      <c r="L332" s="9">
        <f>IFERROR(LOOKUP(2,1/('Weekly Tracker'!$E$2:$E$766=$A332)/('Weekly Tracker'!$O$2:$O$766&lt;&gt;""),'Weekly Tracker'!$O$2:$O$766),"")</f>
        <v/>
      </c>
    </row>
    <row r="333">
      <c r="A333" s="9" t="inlineStr">
        <is>
          <t>Vignesh Monitoring Urja</t>
        </is>
      </c>
      <c r="B333" s="9" t="inlineStr">
        <is>
          <t>919791364365</t>
        </is>
      </c>
      <c r="C333" s="9" t="n"/>
      <c r="D333" s="9" t="n"/>
      <c r="E333" s="9" t="n"/>
      <c r="F333" s="9">
        <f>IFERROR(LOOKUP(2,1/('Weekly Tracker'!$E$2:$E$766=$A333)/('Weekly Tracker'!$F$2:$F$766&lt;&gt;""),'Weekly Tracker'!$F$2:$F$766),"")</f>
        <v/>
      </c>
      <c r="G333" s="16">
        <f>IF(F333&lt;&gt;"",LOOKUP(2,1/('Weekly Tracker'!$E$2:$E$766=$A333)/('Weekly Tracker'!$F$2:$F$766&lt;&gt;""),'Weekly Tracker'!$G$2:$G$766),"")</f>
        <v/>
      </c>
      <c r="H333" s="9">
        <f>IFERROR(LOOKUP(2,1/('Weekly Tracker'!$E$2:$E$766=$A333)/('Weekly Tracker'!$H$2:$H$766&lt;&gt;""),'Weekly Tracker'!$H$2:$H$766),"")</f>
        <v/>
      </c>
      <c r="I333" s="16">
        <f>IF(H333&lt;&gt;"",LOOKUP(2,1/('Weekly Tracker'!$E$2:$E$766=$A333)/('Weekly Tracker'!$H$2:$H$766&lt;&gt;""),'Weekly Tracker'!$I$2:$I$766),"")</f>
        <v/>
      </c>
      <c r="J333" s="9">
        <f>IFERROR(LOOKUP(2,1/('Weekly Tracker'!$E$2:$E$766=$A333)/('Weekly Tracker'!$J$2:$J$766&lt;&gt;""),'Weekly Tracker'!$J$2:$J$766),"")</f>
        <v/>
      </c>
      <c r="K333" s="9">
        <f>IFERROR(LOOKUP(2,1/('Weekly Tracker'!$E$2:$E$766=$A333)/('Weekly Tracker'!$N$2:$N$766&lt;&gt;""),'Weekly Tracker'!$N$2:$N$766),"")</f>
        <v/>
      </c>
      <c r="L333" s="9">
        <f>IFERROR(LOOKUP(2,1/('Weekly Tracker'!$E$2:$E$766=$A333)/('Weekly Tracker'!$O$2:$O$766&lt;&gt;""),'Weekly Tracker'!$O$2:$O$766),"")</f>
        <v/>
      </c>
    </row>
    <row r="334">
      <c r="A334" s="9" t="inlineStr">
        <is>
          <t>Jason Dharmaraj FB</t>
        </is>
      </c>
      <c r="B334" s="9" t="inlineStr">
        <is>
          <t>918348945649</t>
        </is>
      </c>
      <c r="C334" s="9" t="n"/>
      <c r="D334" s="9" t="n"/>
      <c r="E334" s="9" t="n"/>
      <c r="F334" s="9">
        <f>IFERROR(LOOKUP(2,1/('Weekly Tracker'!$E$2:$E$766=$A334)/('Weekly Tracker'!$F$2:$F$766&lt;&gt;""),'Weekly Tracker'!$F$2:$F$766),"")</f>
        <v/>
      </c>
      <c r="G334" s="16">
        <f>IF(F334&lt;&gt;"",LOOKUP(2,1/('Weekly Tracker'!$E$2:$E$766=$A334)/('Weekly Tracker'!$F$2:$F$766&lt;&gt;""),'Weekly Tracker'!$G$2:$G$766),"")</f>
        <v/>
      </c>
      <c r="H334" s="9">
        <f>IFERROR(LOOKUP(2,1/('Weekly Tracker'!$E$2:$E$766=$A334)/('Weekly Tracker'!$H$2:$H$766&lt;&gt;""),'Weekly Tracker'!$H$2:$H$766),"")</f>
        <v/>
      </c>
      <c r="I334" s="16">
        <f>IF(H334&lt;&gt;"",LOOKUP(2,1/('Weekly Tracker'!$E$2:$E$766=$A334)/('Weekly Tracker'!$H$2:$H$766&lt;&gt;""),'Weekly Tracker'!$I$2:$I$766),"")</f>
        <v/>
      </c>
      <c r="J334" s="9">
        <f>IFERROR(LOOKUP(2,1/('Weekly Tracker'!$E$2:$E$766=$A334)/('Weekly Tracker'!$J$2:$J$766&lt;&gt;""),'Weekly Tracker'!$J$2:$J$766),"")</f>
        <v/>
      </c>
      <c r="K334" s="9">
        <f>IFERROR(LOOKUP(2,1/('Weekly Tracker'!$E$2:$E$766=$A334)/('Weekly Tracker'!$N$2:$N$766&lt;&gt;""),'Weekly Tracker'!$N$2:$N$766),"")</f>
        <v/>
      </c>
      <c r="L334" s="9">
        <f>IFERROR(LOOKUP(2,1/('Weekly Tracker'!$E$2:$E$766=$A334)/('Weekly Tracker'!$O$2:$O$766&lt;&gt;""),'Weekly Tracker'!$O$2:$O$766),"")</f>
        <v/>
      </c>
    </row>
    <row r="335">
      <c r="A335" s="9" t="inlineStr">
        <is>
          <t>Pandi Durai FB</t>
        </is>
      </c>
      <c r="B335" s="9" t="inlineStr">
        <is>
          <t>918883242806</t>
        </is>
      </c>
      <c r="C335" s="9" t="n"/>
      <c r="D335" s="9" t="n"/>
      <c r="E335" s="9" t="n"/>
      <c r="F335" s="9">
        <f>IFERROR(LOOKUP(2,1/('Weekly Tracker'!$E$2:$E$766=$A335)/('Weekly Tracker'!$F$2:$F$766&lt;&gt;""),'Weekly Tracker'!$F$2:$F$766),"")</f>
        <v/>
      </c>
      <c r="G335" s="16">
        <f>IF(F335&lt;&gt;"",LOOKUP(2,1/('Weekly Tracker'!$E$2:$E$766=$A335)/('Weekly Tracker'!$F$2:$F$766&lt;&gt;""),'Weekly Tracker'!$G$2:$G$766),"")</f>
        <v/>
      </c>
      <c r="H335" s="9">
        <f>IFERROR(LOOKUP(2,1/('Weekly Tracker'!$E$2:$E$766=$A335)/('Weekly Tracker'!$H$2:$H$766&lt;&gt;""),'Weekly Tracker'!$H$2:$H$766),"")</f>
        <v/>
      </c>
      <c r="I335" s="16">
        <f>IF(H335&lt;&gt;"",LOOKUP(2,1/('Weekly Tracker'!$E$2:$E$766=$A335)/('Weekly Tracker'!$H$2:$H$766&lt;&gt;""),'Weekly Tracker'!$I$2:$I$766),"")</f>
        <v/>
      </c>
      <c r="J335" s="9">
        <f>IFERROR(LOOKUP(2,1/('Weekly Tracker'!$E$2:$E$766=$A335)/('Weekly Tracker'!$J$2:$J$766&lt;&gt;""),'Weekly Tracker'!$J$2:$J$766),"")</f>
        <v/>
      </c>
      <c r="K335" s="9">
        <f>IFERROR(LOOKUP(2,1/('Weekly Tracker'!$E$2:$E$766=$A335)/('Weekly Tracker'!$N$2:$N$766&lt;&gt;""),'Weekly Tracker'!$N$2:$N$766),"")</f>
        <v/>
      </c>
      <c r="L335" s="9">
        <f>IFERROR(LOOKUP(2,1/('Weekly Tracker'!$E$2:$E$766=$A335)/('Weekly Tracker'!$O$2:$O$766&lt;&gt;""),'Weekly Tracker'!$O$2:$O$766),"")</f>
        <v/>
      </c>
    </row>
    <row r="336">
      <c r="A336" s="9" t="inlineStr">
        <is>
          <t>Avitam Homes</t>
        </is>
      </c>
      <c r="B336" s="9" t="inlineStr">
        <is>
          <t>919884972241</t>
        </is>
      </c>
      <c r="C336" s="9" t="n"/>
      <c r="D336" s="9" t="n"/>
      <c r="E336" s="9" t="n"/>
      <c r="F336" s="9">
        <f>IFERROR(LOOKUP(2,1/('Weekly Tracker'!$E$2:$E$766=$A336)/('Weekly Tracker'!$F$2:$F$766&lt;&gt;""),'Weekly Tracker'!$F$2:$F$766),"")</f>
        <v/>
      </c>
      <c r="G336" s="16">
        <f>IF(F336&lt;&gt;"",LOOKUP(2,1/('Weekly Tracker'!$E$2:$E$766=$A336)/('Weekly Tracker'!$F$2:$F$766&lt;&gt;""),'Weekly Tracker'!$G$2:$G$766),"")</f>
        <v/>
      </c>
      <c r="H336" s="9">
        <f>IFERROR(LOOKUP(2,1/('Weekly Tracker'!$E$2:$E$766=$A336)/('Weekly Tracker'!$H$2:$H$766&lt;&gt;""),'Weekly Tracker'!$H$2:$H$766),"")</f>
        <v/>
      </c>
      <c r="I336" s="16">
        <f>IF(H336&lt;&gt;"",LOOKUP(2,1/('Weekly Tracker'!$E$2:$E$766=$A336)/('Weekly Tracker'!$H$2:$H$766&lt;&gt;""),'Weekly Tracker'!$I$2:$I$766),"")</f>
        <v/>
      </c>
      <c r="J336" s="9">
        <f>IFERROR(LOOKUP(2,1/('Weekly Tracker'!$E$2:$E$766=$A336)/('Weekly Tracker'!$J$2:$J$766&lt;&gt;""),'Weekly Tracker'!$J$2:$J$766),"")</f>
        <v/>
      </c>
      <c r="K336" s="9">
        <f>IFERROR(LOOKUP(2,1/('Weekly Tracker'!$E$2:$E$766=$A336)/('Weekly Tracker'!$N$2:$N$766&lt;&gt;""),'Weekly Tracker'!$N$2:$N$766),"")</f>
        <v/>
      </c>
      <c r="L336" s="9">
        <f>IFERROR(LOOKUP(2,1/('Weekly Tracker'!$E$2:$E$766=$A336)/('Weekly Tracker'!$O$2:$O$766&lt;&gt;""),'Weekly Tracker'!$O$2:$O$766),"")</f>
        <v/>
      </c>
    </row>
    <row r="337">
      <c r="A337" s="9" t="inlineStr">
        <is>
          <t>Ravirajan Ravichandran</t>
        </is>
      </c>
      <c r="B337" s="9" t="inlineStr">
        <is>
          <t>9688485621</t>
        </is>
      </c>
      <c r="C337" s="9" t="n"/>
      <c r="D337" s="9" t="n"/>
      <c r="E337" s="9" t="n"/>
      <c r="F337" s="9">
        <f>IFERROR(LOOKUP(2,1/('Weekly Tracker'!$E$2:$E$766=$A337)/('Weekly Tracker'!$F$2:$F$766&lt;&gt;""),'Weekly Tracker'!$F$2:$F$766),"")</f>
        <v/>
      </c>
      <c r="G337" s="16">
        <f>IF(F337&lt;&gt;"",LOOKUP(2,1/('Weekly Tracker'!$E$2:$E$766=$A337)/('Weekly Tracker'!$F$2:$F$766&lt;&gt;""),'Weekly Tracker'!$G$2:$G$766),"")</f>
        <v/>
      </c>
      <c r="H337" s="9">
        <f>IFERROR(LOOKUP(2,1/('Weekly Tracker'!$E$2:$E$766=$A337)/('Weekly Tracker'!$H$2:$H$766&lt;&gt;""),'Weekly Tracker'!$H$2:$H$766),"")</f>
        <v/>
      </c>
      <c r="I337" s="16">
        <f>IF(H337&lt;&gt;"",LOOKUP(2,1/('Weekly Tracker'!$E$2:$E$766=$A337)/('Weekly Tracker'!$H$2:$H$766&lt;&gt;""),'Weekly Tracker'!$I$2:$I$766),"")</f>
        <v/>
      </c>
      <c r="J337" s="9">
        <f>IFERROR(LOOKUP(2,1/('Weekly Tracker'!$E$2:$E$766=$A337)/('Weekly Tracker'!$J$2:$J$766&lt;&gt;""),'Weekly Tracker'!$J$2:$J$766),"")</f>
        <v/>
      </c>
      <c r="K337" s="9">
        <f>IFERROR(LOOKUP(2,1/('Weekly Tracker'!$E$2:$E$766=$A337)/('Weekly Tracker'!$N$2:$N$766&lt;&gt;""),'Weekly Tracker'!$N$2:$N$766),"")</f>
        <v/>
      </c>
      <c r="L337" s="9">
        <f>IFERROR(LOOKUP(2,1/('Weekly Tracker'!$E$2:$E$766=$A337)/('Weekly Tracker'!$O$2:$O$766&lt;&gt;""),'Weekly Tracker'!$O$2:$O$766),"")</f>
        <v/>
      </c>
    </row>
    <row r="338">
      <c r="A338" s="9" t="inlineStr">
        <is>
          <t>Sethu Urja</t>
        </is>
      </c>
      <c r="B338" s="9" t="inlineStr">
        <is>
          <t>919500240048</t>
        </is>
      </c>
      <c r="C338" s="9" t="n"/>
      <c r="D338" s="9" t="n"/>
      <c r="E338" s="9" t="n"/>
      <c r="F338" s="9">
        <f>IFERROR(LOOKUP(2,1/('Weekly Tracker'!$E$2:$E$766=$A338)/('Weekly Tracker'!$F$2:$F$766&lt;&gt;""),'Weekly Tracker'!$F$2:$F$766),"")</f>
        <v/>
      </c>
      <c r="G338" s="16">
        <f>IF(F338&lt;&gt;"",LOOKUP(2,1/('Weekly Tracker'!$E$2:$E$766=$A338)/('Weekly Tracker'!$F$2:$F$766&lt;&gt;""),'Weekly Tracker'!$G$2:$G$766),"")</f>
        <v/>
      </c>
      <c r="H338" s="9">
        <f>IFERROR(LOOKUP(2,1/('Weekly Tracker'!$E$2:$E$766=$A338)/('Weekly Tracker'!$H$2:$H$766&lt;&gt;""),'Weekly Tracker'!$H$2:$H$766),"")</f>
        <v/>
      </c>
      <c r="I338" s="16">
        <f>IF(H338&lt;&gt;"",LOOKUP(2,1/('Weekly Tracker'!$E$2:$E$766=$A338)/('Weekly Tracker'!$H$2:$H$766&lt;&gt;""),'Weekly Tracker'!$I$2:$I$766),"")</f>
        <v/>
      </c>
      <c r="J338" s="9">
        <f>IFERROR(LOOKUP(2,1/('Weekly Tracker'!$E$2:$E$766=$A338)/('Weekly Tracker'!$J$2:$J$766&lt;&gt;""),'Weekly Tracker'!$J$2:$J$766),"")</f>
        <v/>
      </c>
      <c r="K338" s="9">
        <f>IFERROR(LOOKUP(2,1/('Weekly Tracker'!$E$2:$E$766=$A338)/('Weekly Tracker'!$N$2:$N$766&lt;&gt;""),'Weekly Tracker'!$N$2:$N$766),"")</f>
        <v/>
      </c>
      <c r="L338" s="9">
        <f>IFERROR(LOOKUP(2,1/('Weekly Tracker'!$E$2:$E$766=$A338)/('Weekly Tracker'!$O$2:$O$766&lt;&gt;""),'Weekly Tracker'!$O$2:$O$766),"")</f>
        <v/>
      </c>
    </row>
    <row r="339">
      <c r="A339" s="9" t="inlineStr">
        <is>
          <t>Prem Mech</t>
        </is>
      </c>
      <c r="B339" s="9" t="inlineStr">
        <is>
          <t>917200775368</t>
        </is>
      </c>
      <c r="C339" s="9" t="n"/>
      <c r="D339" s="9" t="n"/>
      <c r="E339" s="9" t="n"/>
      <c r="F339" s="9">
        <f>IFERROR(LOOKUP(2,1/('Weekly Tracker'!$E$2:$E$766=$A339)/('Weekly Tracker'!$F$2:$F$766&lt;&gt;""),'Weekly Tracker'!$F$2:$F$766),"")</f>
        <v/>
      </c>
      <c r="G339" s="16">
        <f>IF(F339&lt;&gt;"",LOOKUP(2,1/('Weekly Tracker'!$E$2:$E$766=$A339)/('Weekly Tracker'!$F$2:$F$766&lt;&gt;""),'Weekly Tracker'!$G$2:$G$766),"")</f>
        <v/>
      </c>
      <c r="H339" s="9">
        <f>IFERROR(LOOKUP(2,1/('Weekly Tracker'!$E$2:$E$766=$A339)/('Weekly Tracker'!$H$2:$H$766&lt;&gt;""),'Weekly Tracker'!$H$2:$H$766),"")</f>
        <v/>
      </c>
      <c r="I339" s="16">
        <f>IF(H339&lt;&gt;"",LOOKUP(2,1/('Weekly Tracker'!$E$2:$E$766=$A339)/('Weekly Tracker'!$H$2:$H$766&lt;&gt;""),'Weekly Tracker'!$I$2:$I$766),"")</f>
        <v/>
      </c>
      <c r="J339" s="9">
        <f>IFERROR(LOOKUP(2,1/('Weekly Tracker'!$E$2:$E$766=$A339)/('Weekly Tracker'!$J$2:$J$766&lt;&gt;""),'Weekly Tracker'!$J$2:$J$766),"")</f>
        <v/>
      </c>
      <c r="K339" s="9">
        <f>IFERROR(LOOKUP(2,1/('Weekly Tracker'!$E$2:$E$766=$A339)/('Weekly Tracker'!$N$2:$N$766&lt;&gt;""),'Weekly Tracker'!$N$2:$N$766),"")</f>
        <v/>
      </c>
      <c r="L339" s="9">
        <f>IFERROR(LOOKUP(2,1/('Weekly Tracker'!$E$2:$E$766=$A339)/('Weekly Tracker'!$O$2:$O$766&lt;&gt;""),'Weekly Tracker'!$O$2:$O$766),"")</f>
        <v/>
      </c>
    </row>
    <row r="340">
      <c r="A340" s="9" t="inlineStr">
        <is>
          <t>Merline Mary Urja</t>
        </is>
      </c>
      <c r="B340" s="9" t="inlineStr">
        <is>
          <t>919087183586</t>
        </is>
      </c>
      <c r="C340" s="9" t="n"/>
      <c r="D340" s="9" t="n"/>
      <c r="E340" s="9" t="n"/>
      <c r="F340" s="9">
        <f>IFERROR(LOOKUP(2,1/('Weekly Tracker'!$E$2:$E$766=$A340)/('Weekly Tracker'!$F$2:$F$766&lt;&gt;""),'Weekly Tracker'!$F$2:$F$766),"")</f>
        <v/>
      </c>
      <c r="G340" s="16">
        <f>IF(F340&lt;&gt;"",LOOKUP(2,1/('Weekly Tracker'!$E$2:$E$766=$A340)/('Weekly Tracker'!$F$2:$F$766&lt;&gt;""),'Weekly Tracker'!$G$2:$G$766),"")</f>
        <v/>
      </c>
      <c r="H340" s="9">
        <f>IFERROR(LOOKUP(2,1/('Weekly Tracker'!$E$2:$E$766=$A340)/('Weekly Tracker'!$H$2:$H$766&lt;&gt;""),'Weekly Tracker'!$H$2:$H$766),"")</f>
        <v/>
      </c>
      <c r="I340" s="16">
        <f>IF(H340&lt;&gt;"",LOOKUP(2,1/('Weekly Tracker'!$E$2:$E$766=$A340)/('Weekly Tracker'!$H$2:$H$766&lt;&gt;""),'Weekly Tracker'!$I$2:$I$766),"")</f>
        <v/>
      </c>
      <c r="J340" s="9">
        <f>IFERROR(LOOKUP(2,1/('Weekly Tracker'!$E$2:$E$766=$A340)/('Weekly Tracker'!$J$2:$J$766&lt;&gt;""),'Weekly Tracker'!$J$2:$J$766),"")</f>
        <v/>
      </c>
      <c r="K340" s="9">
        <f>IFERROR(LOOKUP(2,1/('Weekly Tracker'!$E$2:$E$766=$A340)/('Weekly Tracker'!$N$2:$N$766&lt;&gt;""),'Weekly Tracker'!$N$2:$N$766),"")</f>
        <v/>
      </c>
      <c r="L340" s="9">
        <f>IFERROR(LOOKUP(2,1/('Weekly Tracker'!$E$2:$E$766=$A340)/('Weekly Tracker'!$O$2:$O$766&lt;&gt;""),'Weekly Tracker'!$O$2:$O$766),"")</f>
        <v/>
      </c>
    </row>
    <row r="341">
      <c r="A341" s="9" t="inlineStr">
        <is>
          <t>Uma Shankar Infy UCC</t>
        </is>
      </c>
      <c r="B341" s="9" t="inlineStr">
        <is>
          <t>919944829200</t>
        </is>
      </c>
      <c r="C341" s="9" t="n"/>
      <c r="D341" s="9" t="n"/>
      <c r="E341" s="9" t="n"/>
      <c r="F341" s="9">
        <f>IFERROR(LOOKUP(2,1/('Weekly Tracker'!$E$2:$E$766=$A341)/('Weekly Tracker'!$F$2:$F$766&lt;&gt;""),'Weekly Tracker'!$F$2:$F$766),"")</f>
        <v/>
      </c>
      <c r="G341" s="16">
        <f>IF(F341&lt;&gt;"",LOOKUP(2,1/('Weekly Tracker'!$E$2:$E$766=$A341)/('Weekly Tracker'!$F$2:$F$766&lt;&gt;""),'Weekly Tracker'!$G$2:$G$766),"")</f>
        <v/>
      </c>
      <c r="H341" s="9">
        <f>IFERROR(LOOKUP(2,1/('Weekly Tracker'!$E$2:$E$766=$A341)/('Weekly Tracker'!$H$2:$H$766&lt;&gt;""),'Weekly Tracker'!$H$2:$H$766),"")</f>
        <v/>
      </c>
      <c r="I341" s="16">
        <f>IF(H341&lt;&gt;"",LOOKUP(2,1/('Weekly Tracker'!$E$2:$E$766=$A341)/('Weekly Tracker'!$H$2:$H$766&lt;&gt;""),'Weekly Tracker'!$I$2:$I$766),"")</f>
        <v/>
      </c>
      <c r="J341" s="9">
        <f>IFERROR(LOOKUP(2,1/('Weekly Tracker'!$E$2:$E$766=$A341)/('Weekly Tracker'!$J$2:$J$766&lt;&gt;""),'Weekly Tracker'!$J$2:$J$766),"")</f>
        <v/>
      </c>
      <c r="K341" s="9">
        <f>IFERROR(LOOKUP(2,1/('Weekly Tracker'!$E$2:$E$766=$A341)/('Weekly Tracker'!$N$2:$N$766&lt;&gt;""),'Weekly Tracker'!$N$2:$N$766),"")</f>
        <v/>
      </c>
      <c r="L341" s="9">
        <f>IFERROR(LOOKUP(2,1/('Weekly Tracker'!$E$2:$E$766=$A341)/('Weekly Tracker'!$O$2:$O$766&lt;&gt;""),'Weekly Tracker'!$O$2:$O$766),"")</f>
        <v/>
      </c>
    </row>
    <row r="342">
      <c r="A342" s="9" t="inlineStr">
        <is>
          <t>Pradhap Ndlf</t>
        </is>
      </c>
      <c r="B342" s="9" t="inlineStr">
        <is>
          <t>917299988483</t>
        </is>
      </c>
      <c r="C342" s="9" t="n"/>
      <c r="D342" s="9" t="n"/>
      <c r="E342" s="9" t="n"/>
      <c r="F342" s="9">
        <f>IFERROR(LOOKUP(2,1/('Weekly Tracker'!$E$2:$E$766=$A342)/('Weekly Tracker'!$F$2:$F$766&lt;&gt;""),'Weekly Tracker'!$F$2:$F$766),"")</f>
        <v/>
      </c>
      <c r="G342" s="16">
        <f>IF(F342&lt;&gt;"",LOOKUP(2,1/('Weekly Tracker'!$E$2:$E$766=$A342)/('Weekly Tracker'!$F$2:$F$766&lt;&gt;""),'Weekly Tracker'!$G$2:$G$766),"")</f>
        <v/>
      </c>
      <c r="H342" s="9">
        <f>IFERROR(LOOKUP(2,1/('Weekly Tracker'!$E$2:$E$766=$A342)/('Weekly Tracker'!$H$2:$H$766&lt;&gt;""),'Weekly Tracker'!$H$2:$H$766),"")</f>
        <v/>
      </c>
      <c r="I342" s="16">
        <f>IF(H342&lt;&gt;"",LOOKUP(2,1/('Weekly Tracker'!$E$2:$E$766=$A342)/('Weekly Tracker'!$H$2:$H$766&lt;&gt;""),'Weekly Tracker'!$I$2:$I$766),"")</f>
        <v/>
      </c>
      <c r="J342" s="9">
        <f>IFERROR(LOOKUP(2,1/('Weekly Tracker'!$E$2:$E$766=$A342)/('Weekly Tracker'!$J$2:$J$766&lt;&gt;""),'Weekly Tracker'!$J$2:$J$766),"")</f>
        <v/>
      </c>
      <c r="K342" s="9">
        <f>IFERROR(LOOKUP(2,1/('Weekly Tracker'!$E$2:$E$766=$A342)/('Weekly Tracker'!$N$2:$N$766&lt;&gt;""),'Weekly Tracker'!$N$2:$N$766),"")</f>
        <v/>
      </c>
      <c r="L342" s="9">
        <f>IFERROR(LOOKUP(2,1/('Weekly Tracker'!$E$2:$E$766=$A342)/('Weekly Tracker'!$O$2:$O$766&lt;&gt;""),'Weekly Tracker'!$O$2:$O$766),"")</f>
        <v/>
      </c>
    </row>
    <row r="343">
      <c r="A343" s="9" t="inlineStr">
        <is>
          <t>Kuzhaly Ece</t>
        </is>
      </c>
      <c r="B343" s="9" t="inlineStr">
        <is>
          <t>917598644716</t>
        </is>
      </c>
      <c r="C343" s="9" t="n"/>
      <c r="D343" s="9" t="n"/>
      <c r="E343" s="9" t="n"/>
      <c r="F343" s="9">
        <f>IFERROR(LOOKUP(2,1/('Weekly Tracker'!$E$2:$E$766=$A343)/('Weekly Tracker'!$F$2:$F$766&lt;&gt;""),'Weekly Tracker'!$F$2:$F$766),"")</f>
        <v/>
      </c>
      <c r="G343" s="16">
        <f>IF(F343&lt;&gt;"",LOOKUP(2,1/('Weekly Tracker'!$E$2:$E$766=$A343)/('Weekly Tracker'!$F$2:$F$766&lt;&gt;""),'Weekly Tracker'!$G$2:$G$766),"")</f>
        <v/>
      </c>
      <c r="H343" s="9">
        <f>IFERROR(LOOKUP(2,1/('Weekly Tracker'!$E$2:$E$766=$A343)/('Weekly Tracker'!$H$2:$H$766&lt;&gt;""),'Weekly Tracker'!$H$2:$H$766),"")</f>
        <v/>
      </c>
      <c r="I343" s="16">
        <f>IF(H343&lt;&gt;"",LOOKUP(2,1/('Weekly Tracker'!$E$2:$E$766=$A343)/('Weekly Tracker'!$H$2:$H$766&lt;&gt;""),'Weekly Tracker'!$I$2:$I$766),"")</f>
        <v/>
      </c>
      <c r="J343" s="9">
        <f>IFERROR(LOOKUP(2,1/('Weekly Tracker'!$E$2:$E$766=$A343)/('Weekly Tracker'!$J$2:$J$766&lt;&gt;""),'Weekly Tracker'!$J$2:$J$766),"")</f>
        <v/>
      </c>
      <c r="K343" s="9">
        <f>IFERROR(LOOKUP(2,1/('Weekly Tracker'!$E$2:$E$766=$A343)/('Weekly Tracker'!$N$2:$N$766&lt;&gt;""),'Weekly Tracker'!$N$2:$N$766),"")</f>
        <v/>
      </c>
      <c r="L343" s="9">
        <f>IFERROR(LOOKUP(2,1/('Weekly Tracker'!$E$2:$E$766=$A343)/('Weekly Tracker'!$O$2:$O$766&lt;&gt;""),'Weekly Tracker'!$O$2:$O$766),"")</f>
        <v/>
      </c>
    </row>
    <row r="344">
      <c r="A344" s="9" t="inlineStr">
        <is>
          <t>Agalya TCS Junior</t>
        </is>
      </c>
      <c r="B344" s="9" t="inlineStr">
        <is>
          <t>9944223466</t>
        </is>
      </c>
      <c r="C344" s="9" t="n"/>
      <c r="D344" s="9" t="n"/>
      <c r="E344" s="9" t="n"/>
      <c r="F344" s="9">
        <f>IFERROR(LOOKUP(2,1/('Weekly Tracker'!$E$2:$E$766=$A344)/('Weekly Tracker'!$F$2:$F$766&lt;&gt;""),'Weekly Tracker'!$F$2:$F$766),"")</f>
        <v/>
      </c>
      <c r="G344" s="16">
        <f>IF(F344&lt;&gt;"",LOOKUP(2,1/('Weekly Tracker'!$E$2:$E$766=$A344)/('Weekly Tracker'!$F$2:$F$766&lt;&gt;""),'Weekly Tracker'!$G$2:$G$766),"")</f>
        <v/>
      </c>
      <c r="H344" s="9">
        <f>IFERROR(LOOKUP(2,1/('Weekly Tracker'!$E$2:$E$766=$A344)/('Weekly Tracker'!$H$2:$H$766&lt;&gt;""),'Weekly Tracker'!$H$2:$H$766),"")</f>
        <v/>
      </c>
      <c r="I344" s="16">
        <f>IF(H344&lt;&gt;"",LOOKUP(2,1/('Weekly Tracker'!$E$2:$E$766=$A344)/('Weekly Tracker'!$H$2:$H$766&lt;&gt;""),'Weekly Tracker'!$I$2:$I$766),"")</f>
        <v/>
      </c>
      <c r="J344" s="9">
        <f>IFERROR(LOOKUP(2,1/('Weekly Tracker'!$E$2:$E$766=$A344)/('Weekly Tracker'!$J$2:$J$766&lt;&gt;""),'Weekly Tracker'!$J$2:$J$766),"")</f>
        <v/>
      </c>
      <c r="K344" s="9">
        <f>IFERROR(LOOKUP(2,1/('Weekly Tracker'!$E$2:$E$766=$A344)/('Weekly Tracker'!$N$2:$N$766&lt;&gt;""),'Weekly Tracker'!$N$2:$N$766),"")</f>
        <v/>
      </c>
      <c r="L344" s="9">
        <f>IFERROR(LOOKUP(2,1/('Weekly Tracker'!$E$2:$E$766=$A344)/('Weekly Tracker'!$O$2:$O$766&lt;&gt;""),'Weekly Tracker'!$O$2:$O$766),"")</f>
        <v/>
      </c>
    </row>
    <row r="345">
      <c r="A345" s="9" t="inlineStr">
        <is>
          <t>Rathinavel Scl</t>
        </is>
      </c>
      <c r="B345" s="9" t="inlineStr">
        <is>
          <t>919750005317</t>
        </is>
      </c>
      <c r="C345" s="9" t="n"/>
      <c r="D345" s="9" t="n"/>
      <c r="E345" s="9" t="n"/>
      <c r="F345" s="9">
        <f>IFERROR(LOOKUP(2,1/('Weekly Tracker'!$E$2:$E$766=$A345)/('Weekly Tracker'!$F$2:$F$766&lt;&gt;""),'Weekly Tracker'!$F$2:$F$766),"")</f>
        <v/>
      </c>
      <c r="G345" s="16">
        <f>IF(F345&lt;&gt;"",LOOKUP(2,1/('Weekly Tracker'!$E$2:$E$766=$A345)/('Weekly Tracker'!$F$2:$F$766&lt;&gt;""),'Weekly Tracker'!$G$2:$G$766),"")</f>
        <v/>
      </c>
      <c r="H345" s="9">
        <f>IFERROR(LOOKUP(2,1/('Weekly Tracker'!$E$2:$E$766=$A345)/('Weekly Tracker'!$H$2:$H$766&lt;&gt;""),'Weekly Tracker'!$H$2:$H$766),"")</f>
        <v/>
      </c>
      <c r="I345" s="16">
        <f>IF(H345&lt;&gt;"",LOOKUP(2,1/('Weekly Tracker'!$E$2:$E$766=$A345)/('Weekly Tracker'!$H$2:$H$766&lt;&gt;""),'Weekly Tracker'!$I$2:$I$766),"")</f>
        <v/>
      </c>
      <c r="J345" s="9">
        <f>IFERROR(LOOKUP(2,1/('Weekly Tracker'!$E$2:$E$766=$A345)/('Weekly Tracker'!$J$2:$J$766&lt;&gt;""),'Weekly Tracker'!$J$2:$J$766),"")</f>
        <v/>
      </c>
      <c r="K345" s="9">
        <f>IFERROR(LOOKUP(2,1/('Weekly Tracker'!$E$2:$E$766=$A345)/('Weekly Tracker'!$N$2:$N$766&lt;&gt;""),'Weekly Tracker'!$N$2:$N$766),"")</f>
        <v/>
      </c>
      <c r="L345" s="9">
        <f>IFERROR(LOOKUP(2,1/('Weekly Tracker'!$E$2:$E$766=$A345)/('Weekly Tracker'!$O$2:$O$766&lt;&gt;""),'Weekly Tracker'!$O$2:$O$766),"")</f>
        <v/>
      </c>
    </row>
    <row r="346">
      <c r="A346" s="9" t="inlineStr">
        <is>
          <t>Mahesshwaran FB</t>
        </is>
      </c>
      <c r="B346" s="9" t="inlineStr">
        <is>
          <t>919578841301, +960 956-3601</t>
        </is>
      </c>
      <c r="C346" s="9" t="n"/>
      <c r="D346" s="9" t="n"/>
      <c r="E346" s="9" t="n"/>
      <c r="F346" s="9">
        <f>IFERROR(LOOKUP(2,1/('Weekly Tracker'!$E$2:$E$766=$A346)/('Weekly Tracker'!$F$2:$F$766&lt;&gt;""),'Weekly Tracker'!$F$2:$F$766),"")</f>
        <v/>
      </c>
      <c r="G346" s="16">
        <f>IF(F346&lt;&gt;"",LOOKUP(2,1/('Weekly Tracker'!$E$2:$E$766=$A346)/('Weekly Tracker'!$F$2:$F$766&lt;&gt;""),'Weekly Tracker'!$G$2:$G$766),"")</f>
        <v/>
      </c>
      <c r="H346" s="9">
        <f>IFERROR(LOOKUP(2,1/('Weekly Tracker'!$E$2:$E$766=$A346)/('Weekly Tracker'!$H$2:$H$766&lt;&gt;""),'Weekly Tracker'!$H$2:$H$766),"")</f>
        <v/>
      </c>
      <c r="I346" s="16">
        <f>IF(H346&lt;&gt;"",LOOKUP(2,1/('Weekly Tracker'!$E$2:$E$766=$A346)/('Weekly Tracker'!$H$2:$H$766&lt;&gt;""),'Weekly Tracker'!$I$2:$I$766),"")</f>
        <v/>
      </c>
      <c r="J346" s="9">
        <f>IFERROR(LOOKUP(2,1/('Weekly Tracker'!$E$2:$E$766=$A346)/('Weekly Tracker'!$J$2:$J$766&lt;&gt;""),'Weekly Tracker'!$J$2:$J$766),"")</f>
        <v/>
      </c>
      <c r="K346" s="9">
        <f>IFERROR(LOOKUP(2,1/('Weekly Tracker'!$E$2:$E$766=$A346)/('Weekly Tracker'!$N$2:$N$766&lt;&gt;""),'Weekly Tracker'!$N$2:$N$766),"")</f>
        <v/>
      </c>
      <c r="L346" s="9">
        <f>IFERROR(LOOKUP(2,1/('Weekly Tracker'!$E$2:$E$766=$A346)/('Weekly Tracker'!$O$2:$O$766&lt;&gt;""),'Weekly Tracker'!$O$2:$O$766),"")</f>
        <v/>
      </c>
    </row>
    <row r="347">
      <c r="A347" s="9" t="inlineStr">
        <is>
          <t>Prakash FB</t>
        </is>
      </c>
      <c r="B347" s="9" t="inlineStr">
        <is>
          <t>7094106728</t>
        </is>
      </c>
      <c r="C347" s="9" t="n"/>
      <c r="D347" s="9" t="n"/>
      <c r="E347" s="9" t="n"/>
      <c r="F347" s="9">
        <f>IFERROR(LOOKUP(2,1/('Weekly Tracker'!$E$2:$E$766=$A347)/('Weekly Tracker'!$F$2:$F$766&lt;&gt;""),'Weekly Tracker'!$F$2:$F$766),"")</f>
        <v/>
      </c>
      <c r="G347" s="16">
        <f>IF(F347&lt;&gt;"",LOOKUP(2,1/('Weekly Tracker'!$E$2:$E$766=$A347)/('Weekly Tracker'!$F$2:$F$766&lt;&gt;""),'Weekly Tracker'!$G$2:$G$766),"")</f>
        <v/>
      </c>
      <c r="H347" s="9">
        <f>IFERROR(LOOKUP(2,1/('Weekly Tracker'!$E$2:$E$766=$A347)/('Weekly Tracker'!$H$2:$H$766&lt;&gt;""),'Weekly Tracker'!$H$2:$H$766),"")</f>
        <v/>
      </c>
      <c r="I347" s="16">
        <f>IF(H347&lt;&gt;"",LOOKUP(2,1/('Weekly Tracker'!$E$2:$E$766=$A347)/('Weekly Tracker'!$H$2:$H$766&lt;&gt;""),'Weekly Tracker'!$I$2:$I$766),"")</f>
        <v/>
      </c>
      <c r="J347" s="9">
        <f>IFERROR(LOOKUP(2,1/('Weekly Tracker'!$E$2:$E$766=$A347)/('Weekly Tracker'!$J$2:$J$766&lt;&gt;""),'Weekly Tracker'!$J$2:$J$766),"")</f>
        <v/>
      </c>
      <c r="K347" s="9">
        <f>IFERROR(LOOKUP(2,1/('Weekly Tracker'!$E$2:$E$766=$A347)/('Weekly Tracker'!$N$2:$N$766&lt;&gt;""),'Weekly Tracker'!$N$2:$N$766),"")</f>
        <v/>
      </c>
      <c r="L347" s="9">
        <f>IFERROR(LOOKUP(2,1/('Weekly Tracker'!$E$2:$E$766=$A347)/('Weekly Tracker'!$O$2:$O$766&lt;&gt;""),'Weekly Tracker'!$O$2:$O$766),"")</f>
        <v/>
      </c>
    </row>
    <row r="348">
      <c r="A348" s="9" t="inlineStr">
        <is>
          <t>Kannan-Tcs Scl</t>
        </is>
      </c>
      <c r="B348" s="9" t="inlineStr">
        <is>
          <t>9750795841</t>
        </is>
      </c>
      <c r="C348" s="9" t="n"/>
      <c r="D348" s="9" t="n"/>
      <c r="E348" s="9" t="n"/>
      <c r="F348" s="9">
        <f>IFERROR(LOOKUP(2,1/('Weekly Tracker'!$E$2:$E$766=$A348)/('Weekly Tracker'!$F$2:$F$766&lt;&gt;""),'Weekly Tracker'!$F$2:$F$766),"")</f>
        <v/>
      </c>
      <c r="G348" s="16">
        <f>IF(F348&lt;&gt;"",LOOKUP(2,1/('Weekly Tracker'!$E$2:$E$766=$A348)/('Weekly Tracker'!$F$2:$F$766&lt;&gt;""),'Weekly Tracker'!$G$2:$G$766),"")</f>
        <v/>
      </c>
      <c r="H348" s="9">
        <f>IFERROR(LOOKUP(2,1/('Weekly Tracker'!$E$2:$E$766=$A348)/('Weekly Tracker'!$H$2:$H$766&lt;&gt;""),'Weekly Tracker'!$H$2:$H$766),"")</f>
        <v/>
      </c>
      <c r="I348" s="16">
        <f>IF(H348&lt;&gt;"",LOOKUP(2,1/('Weekly Tracker'!$E$2:$E$766=$A348)/('Weekly Tracker'!$H$2:$H$766&lt;&gt;""),'Weekly Tracker'!$I$2:$I$766),"")</f>
        <v/>
      </c>
      <c r="J348" s="9">
        <f>IFERROR(LOOKUP(2,1/('Weekly Tracker'!$E$2:$E$766=$A348)/('Weekly Tracker'!$J$2:$J$766&lt;&gt;""),'Weekly Tracker'!$J$2:$J$766),"")</f>
        <v/>
      </c>
      <c r="K348" s="9">
        <f>IFERROR(LOOKUP(2,1/('Weekly Tracker'!$E$2:$E$766=$A348)/('Weekly Tracker'!$N$2:$N$766&lt;&gt;""),'Weekly Tracker'!$N$2:$N$766),"")</f>
        <v/>
      </c>
      <c r="L348" s="9">
        <f>IFERROR(LOOKUP(2,1/('Weekly Tracker'!$E$2:$E$766=$A348)/('Weekly Tracker'!$O$2:$O$766&lt;&gt;""),'Weekly Tracker'!$O$2:$O$766),"")</f>
        <v/>
      </c>
    </row>
    <row r="349">
      <c r="A349" s="9" t="inlineStr">
        <is>
          <t>Rajthalik Marriappan FB</t>
        </is>
      </c>
      <c r="B349" s="9" t="inlineStr">
        <is>
          <t>8825590470</t>
        </is>
      </c>
      <c r="C349" s="9" t="n"/>
      <c r="D349" s="9" t="n"/>
      <c r="E349" s="9" t="n"/>
      <c r="F349" s="9">
        <f>IFERROR(LOOKUP(2,1/('Weekly Tracker'!$E$2:$E$766=$A349)/('Weekly Tracker'!$F$2:$F$766&lt;&gt;""),'Weekly Tracker'!$F$2:$F$766),"")</f>
        <v/>
      </c>
      <c r="G349" s="16">
        <f>IF(F349&lt;&gt;"",LOOKUP(2,1/('Weekly Tracker'!$E$2:$E$766=$A349)/('Weekly Tracker'!$F$2:$F$766&lt;&gt;""),'Weekly Tracker'!$G$2:$G$766),"")</f>
        <v/>
      </c>
      <c r="H349" s="9">
        <f>IFERROR(LOOKUP(2,1/('Weekly Tracker'!$E$2:$E$766=$A349)/('Weekly Tracker'!$H$2:$H$766&lt;&gt;""),'Weekly Tracker'!$H$2:$H$766),"")</f>
        <v/>
      </c>
      <c r="I349" s="16">
        <f>IF(H349&lt;&gt;"",LOOKUP(2,1/('Weekly Tracker'!$E$2:$E$766=$A349)/('Weekly Tracker'!$H$2:$H$766&lt;&gt;""),'Weekly Tracker'!$I$2:$I$766),"")</f>
        <v/>
      </c>
      <c r="J349" s="9">
        <f>IFERROR(LOOKUP(2,1/('Weekly Tracker'!$E$2:$E$766=$A349)/('Weekly Tracker'!$J$2:$J$766&lt;&gt;""),'Weekly Tracker'!$J$2:$J$766),"")</f>
        <v/>
      </c>
      <c r="K349" s="9">
        <f>IFERROR(LOOKUP(2,1/('Weekly Tracker'!$E$2:$E$766=$A349)/('Weekly Tracker'!$N$2:$N$766&lt;&gt;""),'Weekly Tracker'!$N$2:$N$766),"")</f>
        <v/>
      </c>
      <c r="L349" s="9">
        <f>IFERROR(LOOKUP(2,1/('Weekly Tracker'!$E$2:$E$766=$A349)/('Weekly Tracker'!$O$2:$O$766&lt;&gt;""),'Weekly Tracker'!$O$2:$O$766),"")</f>
        <v/>
      </c>
    </row>
    <row r="350">
      <c r="A350" s="9" t="inlineStr">
        <is>
          <t>Lokesh Agrawal</t>
        </is>
      </c>
      <c r="B350" s="9" t="inlineStr">
        <is>
          <t>917506192951</t>
        </is>
      </c>
      <c r="C350" s="9" t="n"/>
      <c r="D350" s="9" t="n"/>
      <c r="E350" s="9" t="n"/>
      <c r="F350" s="9">
        <f>IFERROR(LOOKUP(2,1/('Weekly Tracker'!$E$2:$E$766=$A350)/('Weekly Tracker'!$F$2:$F$766&lt;&gt;""),'Weekly Tracker'!$F$2:$F$766),"")</f>
        <v/>
      </c>
      <c r="G350" s="16">
        <f>IF(F350&lt;&gt;"",LOOKUP(2,1/('Weekly Tracker'!$E$2:$E$766=$A350)/('Weekly Tracker'!$F$2:$F$766&lt;&gt;""),'Weekly Tracker'!$G$2:$G$766),"")</f>
        <v/>
      </c>
      <c r="H350" s="9">
        <f>IFERROR(LOOKUP(2,1/('Weekly Tracker'!$E$2:$E$766=$A350)/('Weekly Tracker'!$H$2:$H$766&lt;&gt;""),'Weekly Tracker'!$H$2:$H$766),"")</f>
        <v/>
      </c>
      <c r="I350" s="16">
        <f>IF(H350&lt;&gt;"",LOOKUP(2,1/('Weekly Tracker'!$E$2:$E$766=$A350)/('Weekly Tracker'!$H$2:$H$766&lt;&gt;""),'Weekly Tracker'!$I$2:$I$766),"")</f>
        <v/>
      </c>
      <c r="J350" s="9">
        <f>IFERROR(LOOKUP(2,1/('Weekly Tracker'!$E$2:$E$766=$A350)/('Weekly Tracker'!$J$2:$J$766&lt;&gt;""),'Weekly Tracker'!$J$2:$J$766),"")</f>
        <v/>
      </c>
      <c r="K350" s="9">
        <f>IFERROR(LOOKUP(2,1/('Weekly Tracker'!$E$2:$E$766=$A350)/('Weekly Tracker'!$N$2:$N$766&lt;&gt;""),'Weekly Tracker'!$N$2:$N$766),"")</f>
        <v/>
      </c>
      <c r="L350" s="9">
        <f>IFERROR(LOOKUP(2,1/('Weekly Tracker'!$E$2:$E$766=$A350)/('Weekly Tracker'!$O$2:$O$766&lt;&gt;""),'Weekly Tracker'!$O$2:$O$766),"")</f>
        <v/>
      </c>
    </row>
    <row r="351">
      <c r="A351" s="9" t="inlineStr">
        <is>
          <t>Prabakaran R FB</t>
        </is>
      </c>
      <c r="B351" s="9" t="inlineStr">
        <is>
          <t>7667866767</t>
        </is>
      </c>
      <c r="C351" s="9" t="n"/>
      <c r="D351" s="9" t="n"/>
      <c r="E351" s="9" t="n"/>
      <c r="F351" s="9">
        <f>IFERROR(LOOKUP(2,1/('Weekly Tracker'!$E$2:$E$766=$A351)/('Weekly Tracker'!$F$2:$F$766&lt;&gt;""),'Weekly Tracker'!$F$2:$F$766),"")</f>
        <v/>
      </c>
      <c r="G351" s="16">
        <f>IF(F351&lt;&gt;"",LOOKUP(2,1/('Weekly Tracker'!$E$2:$E$766=$A351)/('Weekly Tracker'!$F$2:$F$766&lt;&gt;""),'Weekly Tracker'!$G$2:$G$766),"")</f>
        <v/>
      </c>
      <c r="H351" s="9">
        <f>IFERROR(LOOKUP(2,1/('Weekly Tracker'!$E$2:$E$766=$A351)/('Weekly Tracker'!$H$2:$H$766&lt;&gt;""),'Weekly Tracker'!$H$2:$H$766),"")</f>
        <v/>
      </c>
      <c r="I351" s="16">
        <f>IF(H351&lt;&gt;"",LOOKUP(2,1/('Weekly Tracker'!$E$2:$E$766=$A351)/('Weekly Tracker'!$H$2:$H$766&lt;&gt;""),'Weekly Tracker'!$I$2:$I$766),"")</f>
        <v/>
      </c>
      <c r="J351" s="9">
        <f>IFERROR(LOOKUP(2,1/('Weekly Tracker'!$E$2:$E$766=$A351)/('Weekly Tracker'!$J$2:$J$766&lt;&gt;""),'Weekly Tracker'!$J$2:$J$766),"")</f>
        <v/>
      </c>
      <c r="K351" s="9">
        <f>IFERROR(LOOKUP(2,1/('Weekly Tracker'!$E$2:$E$766=$A351)/('Weekly Tracker'!$N$2:$N$766&lt;&gt;""),'Weekly Tracker'!$N$2:$N$766),"")</f>
        <v/>
      </c>
      <c r="L351" s="9">
        <f>IFERROR(LOOKUP(2,1/('Weekly Tracker'!$E$2:$E$766=$A351)/('Weekly Tracker'!$O$2:$O$766&lt;&gt;""),'Weekly Tracker'!$O$2:$O$766),"")</f>
        <v/>
      </c>
    </row>
    <row r="352">
      <c r="A352" s="9" t="inlineStr">
        <is>
          <t>Vinoth Kumar Selvam Fb</t>
        </is>
      </c>
      <c r="B352" s="9" t="inlineStr">
        <is>
          <t>8608143868</t>
        </is>
      </c>
      <c r="C352" s="9" t="n"/>
      <c r="D352" s="9" t="n"/>
      <c r="E352" s="9" t="n"/>
      <c r="F352" s="9">
        <f>IFERROR(LOOKUP(2,1/('Weekly Tracker'!$E$2:$E$766=$A352)/('Weekly Tracker'!$F$2:$F$766&lt;&gt;""),'Weekly Tracker'!$F$2:$F$766),"")</f>
        <v/>
      </c>
      <c r="G352" s="16">
        <f>IF(F352&lt;&gt;"",LOOKUP(2,1/('Weekly Tracker'!$E$2:$E$766=$A352)/('Weekly Tracker'!$F$2:$F$766&lt;&gt;""),'Weekly Tracker'!$G$2:$G$766),"")</f>
        <v/>
      </c>
      <c r="H352" s="9">
        <f>IFERROR(LOOKUP(2,1/('Weekly Tracker'!$E$2:$E$766=$A352)/('Weekly Tracker'!$H$2:$H$766&lt;&gt;""),'Weekly Tracker'!$H$2:$H$766),"")</f>
        <v/>
      </c>
      <c r="I352" s="16">
        <f>IF(H352&lt;&gt;"",LOOKUP(2,1/('Weekly Tracker'!$E$2:$E$766=$A352)/('Weekly Tracker'!$H$2:$H$766&lt;&gt;""),'Weekly Tracker'!$I$2:$I$766),"")</f>
        <v/>
      </c>
      <c r="J352" s="9">
        <f>IFERROR(LOOKUP(2,1/('Weekly Tracker'!$E$2:$E$766=$A352)/('Weekly Tracker'!$J$2:$J$766&lt;&gt;""),'Weekly Tracker'!$J$2:$J$766),"")</f>
        <v/>
      </c>
      <c r="K352" s="9">
        <f>IFERROR(LOOKUP(2,1/('Weekly Tracker'!$E$2:$E$766=$A352)/('Weekly Tracker'!$N$2:$N$766&lt;&gt;""),'Weekly Tracker'!$N$2:$N$766),"")</f>
        <v/>
      </c>
      <c r="L352" s="9">
        <f>IFERROR(LOOKUP(2,1/('Weekly Tracker'!$E$2:$E$766=$A352)/('Weekly Tracker'!$O$2:$O$766&lt;&gt;""),'Weekly Tracker'!$O$2:$O$766),"")</f>
        <v/>
      </c>
    </row>
    <row r="353">
      <c r="A353" s="9" t="inlineStr">
        <is>
          <t>Mohanalakshmi Urja</t>
        </is>
      </c>
      <c r="B353" s="9" t="inlineStr">
        <is>
          <t>919962633538</t>
        </is>
      </c>
      <c r="C353" s="9" t="n"/>
      <c r="D353" s="9" t="n"/>
      <c r="E353" s="9" t="n"/>
      <c r="F353" s="9">
        <f>IFERROR(LOOKUP(2,1/('Weekly Tracker'!$E$2:$E$766=$A353)/('Weekly Tracker'!$F$2:$F$766&lt;&gt;""),'Weekly Tracker'!$F$2:$F$766),"")</f>
        <v/>
      </c>
      <c r="G353" s="16">
        <f>IF(F353&lt;&gt;"",LOOKUP(2,1/('Weekly Tracker'!$E$2:$E$766=$A353)/('Weekly Tracker'!$F$2:$F$766&lt;&gt;""),'Weekly Tracker'!$G$2:$G$766),"")</f>
        <v/>
      </c>
      <c r="H353" s="9">
        <f>IFERROR(LOOKUP(2,1/('Weekly Tracker'!$E$2:$E$766=$A353)/('Weekly Tracker'!$H$2:$H$766&lt;&gt;""),'Weekly Tracker'!$H$2:$H$766),"")</f>
        <v/>
      </c>
      <c r="I353" s="16">
        <f>IF(H353&lt;&gt;"",LOOKUP(2,1/('Weekly Tracker'!$E$2:$E$766=$A353)/('Weekly Tracker'!$H$2:$H$766&lt;&gt;""),'Weekly Tracker'!$I$2:$I$766),"")</f>
        <v/>
      </c>
      <c r="J353" s="9">
        <f>IFERROR(LOOKUP(2,1/('Weekly Tracker'!$E$2:$E$766=$A353)/('Weekly Tracker'!$J$2:$J$766&lt;&gt;""),'Weekly Tracker'!$J$2:$J$766),"")</f>
        <v/>
      </c>
      <c r="K353" s="9">
        <f>IFERROR(LOOKUP(2,1/('Weekly Tracker'!$E$2:$E$766=$A353)/('Weekly Tracker'!$N$2:$N$766&lt;&gt;""),'Weekly Tracker'!$N$2:$N$766),"")</f>
        <v/>
      </c>
      <c r="L353" s="9">
        <f>IFERROR(LOOKUP(2,1/('Weekly Tracker'!$E$2:$E$766=$A353)/('Weekly Tracker'!$O$2:$O$766&lt;&gt;""),'Weekly Tracker'!$O$2:$O$766),"")</f>
        <v/>
      </c>
    </row>
    <row r="354">
      <c r="A354" s="9" t="inlineStr">
        <is>
          <t>Subbu Sales</t>
        </is>
      </c>
      <c r="B354" s="9" t="inlineStr">
        <is>
          <t>9884154678</t>
        </is>
      </c>
      <c r="C354" s="9" t="n"/>
      <c r="D354" s="9" t="n"/>
      <c r="E354" s="9" t="n"/>
      <c r="F354" s="9">
        <f>IFERROR(LOOKUP(2,1/('Weekly Tracker'!$E$2:$E$766=$A354)/('Weekly Tracker'!$F$2:$F$766&lt;&gt;""),'Weekly Tracker'!$F$2:$F$766),"")</f>
        <v/>
      </c>
      <c r="G354" s="16">
        <f>IF(F354&lt;&gt;"",LOOKUP(2,1/('Weekly Tracker'!$E$2:$E$766=$A354)/('Weekly Tracker'!$F$2:$F$766&lt;&gt;""),'Weekly Tracker'!$G$2:$G$766),"")</f>
        <v/>
      </c>
      <c r="H354" s="9">
        <f>IFERROR(LOOKUP(2,1/('Weekly Tracker'!$E$2:$E$766=$A354)/('Weekly Tracker'!$H$2:$H$766&lt;&gt;""),'Weekly Tracker'!$H$2:$H$766),"")</f>
        <v/>
      </c>
      <c r="I354" s="16">
        <f>IF(H354&lt;&gt;"",LOOKUP(2,1/('Weekly Tracker'!$E$2:$E$766=$A354)/('Weekly Tracker'!$H$2:$H$766&lt;&gt;""),'Weekly Tracker'!$I$2:$I$766),"")</f>
        <v/>
      </c>
      <c r="J354" s="9">
        <f>IFERROR(LOOKUP(2,1/('Weekly Tracker'!$E$2:$E$766=$A354)/('Weekly Tracker'!$J$2:$J$766&lt;&gt;""),'Weekly Tracker'!$J$2:$J$766),"")</f>
        <v/>
      </c>
      <c r="K354" s="9">
        <f>IFERROR(LOOKUP(2,1/('Weekly Tracker'!$E$2:$E$766=$A354)/('Weekly Tracker'!$N$2:$N$766&lt;&gt;""),'Weekly Tracker'!$N$2:$N$766),"")</f>
        <v/>
      </c>
      <c r="L354" s="9">
        <f>IFERROR(LOOKUP(2,1/('Weekly Tracker'!$E$2:$E$766=$A354)/('Weekly Tracker'!$O$2:$O$766&lt;&gt;""),'Weekly Tracker'!$O$2:$O$766),"")</f>
        <v/>
      </c>
    </row>
    <row r="355">
      <c r="A355" s="9" t="inlineStr">
        <is>
          <t>Bala - Prd Supp Verz</t>
        </is>
      </c>
      <c r="B355" s="9" t="inlineStr">
        <is>
          <t>8179260086</t>
        </is>
      </c>
      <c r="C355" s="9" t="n"/>
      <c r="D355" s="9" t="n"/>
      <c r="E355" s="9" t="n"/>
      <c r="F355" s="9">
        <f>IFERROR(LOOKUP(2,1/('Weekly Tracker'!$E$2:$E$766=$A355)/('Weekly Tracker'!$F$2:$F$766&lt;&gt;""),'Weekly Tracker'!$F$2:$F$766),"")</f>
        <v/>
      </c>
      <c r="G355" s="16">
        <f>IF(F355&lt;&gt;"",LOOKUP(2,1/('Weekly Tracker'!$E$2:$E$766=$A355)/('Weekly Tracker'!$F$2:$F$766&lt;&gt;""),'Weekly Tracker'!$G$2:$G$766),"")</f>
        <v/>
      </c>
      <c r="H355" s="9">
        <f>IFERROR(LOOKUP(2,1/('Weekly Tracker'!$E$2:$E$766=$A355)/('Weekly Tracker'!$H$2:$H$766&lt;&gt;""),'Weekly Tracker'!$H$2:$H$766),"")</f>
        <v/>
      </c>
      <c r="I355" s="16">
        <f>IF(H355&lt;&gt;"",LOOKUP(2,1/('Weekly Tracker'!$E$2:$E$766=$A355)/('Weekly Tracker'!$H$2:$H$766&lt;&gt;""),'Weekly Tracker'!$I$2:$I$766),"")</f>
        <v/>
      </c>
      <c r="J355" s="9">
        <f>IFERROR(LOOKUP(2,1/('Weekly Tracker'!$E$2:$E$766=$A355)/('Weekly Tracker'!$J$2:$J$766&lt;&gt;""),'Weekly Tracker'!$J$2:$J$766),"")</f>
        <v/>
      </c>
      <c r="K355" s="9">
        <f>IFERROR(LOOKUP(2,1/('Weekly Tracker'!$E$2:$E$766=$A355)/('Weekly Tracker'!$N$2:$N$766&lt;&gt;""),'Weekly Tracker'!$N$2:$N$766),"")</f>
        <v/>
      </c>
      <c r="L355" s="9">
        <f>IFERROR(LOOKUP(2,1/('Weekly Tracker'!$E$2:$E$766=$A355)/('Weekly Tracker'!$O$2:$O$766&lt;&gt;""),'Weekly Tracker'!$O$2:$O$766),"")</f>
        <v/>
      </c>
    </row>
    <row r="356">
      <c r="A356" s="9" t="inlineStr">
        <is>
          <t>Mohan Mohan FB</t>
        </is>
      </c>
      <c r="B356" s="9" t="inlineStr">
        <is>
          <t>8935-615400</t>
        </is>
      </c>
      <c r="C356" s="9" t="n"/>
      <c r="D356" s="9" t="n"/>
      <c r="E356" s="9" t="n"/>
      <c r="F356" s="9">
        <f>IFERROR(LOOKUP(2,1/('Weekly Tracker'!$E$2:$E$766=$A356)/('Weekly Tracker'!$F$2:$F$766&lt;&gt;""),'Weekly Tracker'!$F$2:$F$766),"")</f>
        <v/>
      </c>
      <c r="G356" s="16">
        <f>IF(F356&lt;&gt;"",LOOKUP(2,1/('Weekly Tracker'!$E$2:$E$766=$A356)/('Weekly Tracker'!$F$2:$F$766&lt;&gt;""),'Weekly Tracker'!$G$2:$G$766),"")</f>
        <v/>
      </c>
      <c r="H356" s="9">
        <f>IFERROR(LOOKUP(2,1/('Weekly Tracker'!$E$2:$E$766=$A356)/('Weekly Tracker'!$H$2:$H$766&lt;&gt;""),'Weekly Tracker'!$H$2:$H$766),"")</f>
        <v/>
      </c>
      <c r="I356" s="16">
        <f>IF(H356&lt;&gt;"",LOOKUP(2,1/('Weekly Tracker'!$E$2:$E$766=$A356)/('Weekly Tracker'!$H$2:$H$766&lt;&gt;""),'Weekly Tracker'!$I$2:$I$766),"")</f>
        <v/>
      </c>
      <c r="J356" s="9">
        <f>IFERROR(LOOKUP(2,1/('Weekly Tracker'!$E$2:$E$766=$A356)/('Weekly Tracker'!$J$2:$J$766&lt;&gt;""),'Weekly Tracker'!$J$2:$J$766),"")</f>
        <v/>
      </c>
      <c r="K356" s="9">
        <f>IFERROR(LOOKUP(2,1/('Weekly Tracker'!$E$2:$E$766=$A356)/('Weekly Tracker'!$N$2:$N$766&lt;&gt;""),'Weekly Tracker'!$N$2:$N$766),"")</f>
        <v/>
      </c>
      <c r="L356" s="9">
        <f>IFERROR(LOOKUP(2,1/('Weekly Tracker'!$E$2:$E$766=$A356)/('Weekly Tracker'!$O$2:$O$766&lt;&gt;""),'Weekly Tracker'!$O$2:$O$766),"")</f>
        <v/>
      </c>
    </row>
    <row r="357">
      <c r="A357" s="9" t="inlineStr">
        <is>
          <t>Satheesh Kumar FB</t>
        </is>
      </c>
      <c r="B357" s="9" t="inlineStr">
        <is>
          <t>919080806155</t>
        </is>
      </c>
      <c r="C357" s="9" t="n"/>
      <c r="D357" s="9" t="n"/>
      <c r="E357" s="9" t="n"/>
      <c r="F357" s="9">
        <f>IFERROR(LOOKUP(2,1/('Weekly Tracker'!$E$2:$E$766=$A357)/('Weekly Tracker'!$F$2:$F$766&lt;&gt;""),'Weekly Tracker'!$F$2:$F$766),"")</f>
        <v/>
      </c>
      <c r="G357" s="16">
        <f>IF(F357&lt;&gt;"",LOOKUP(2,1/('Weekly Tracker'!$E$2:$E$766=$A357)/('Weekly Tracker'!$F$2:$F$766&lt;&gt;""),'Weekly Tracker'!$G$2:$G$766),"")</f>
        <v/>
      </c>
      <c r="H357" s="9">
        <f>IFERROR(LOOKUP(2,1/('Weekly Tracker'!$E$2:$E$766=$A357)/('Weekly Tracker'!$H$2:$H$766&lt;&gt;""),'Weekly Tracker'!$H$2:$H$766),"")</f>
        <v/>
      </c>
      <c r="I357" s="16">
        <f>IF(H357&lt;&gt;"",LOOKUP(2,1/('Weekly Tracker'!$E$2:$E$766=$A357)/('Weekly Tracker'!$H$2:$H$766&lt;&gt;""),'Weekly Tracker'!$I$2:$I$766),"")</f>
        <v/>
      </c>
      <c r="J357" s="9">
        <f>IFERROR(LOOKUP(2,1/('Weekly Tracker'!$E$2:$E$766=$A357)/('Weekly Tracker'!$J$2:$J$766&lt;&gt;""),'Weekly Tracker'!$J$2:$J$766),"")</f>
        <v/>
      </c>
      <c r="K357" s="9">
        <f>IFERROR(LOOKUP(2,1/('Weekly Tracker'!$E$2:$E$766=$A357)/('Weekly Tracker'!$N$2:$N$766&lt;&gt;""),'Weekly Tracker'!$N$2:$N$766),"")</f>
        <v/>
      </c>
      <c r="L357" s="9">
        <f>IFERROR(LOOKUP(2,1/('Weekly Tracker'!$E$2:$E$766=$A357)/('Weekly Tracker'!$O$2:$O$766&lt;&gt;""),'Weekly Tracker'!$O$2:$O$766),"")</f>
        <v/>
      </c>
    </row>
    <row r="358">
      <c r="A358" s="9" t="inlineStr">
        <is>
          <t>Punnaivanam Verz</t>
        </is>
      </c>
      <c r="B358" s="9" t="inlineStr">
        <is>
          <t>919790932834</t>
        </is>
      </c>
      <c r="C358" s="9" t="n"/>
      <c r="D358" s="9" t="n"/>
      <c r="E358" s="9" t="n"/>
      <c r="F358" s="9">
        <f>IFERROR(LOOKUP(2,1/('Weekly Tracker'!$E$2:$E$766=$A358)/('Weekly Tracker'!$F$2:$F$766&lt;&gt;""),'Weekly Tracker'!$F$2:$F$766),"")</f>
        <v/>
      </c>
      <c r="G358" s="16">
        <f>IF(F358&lt;&gt;"",LOOKUP(2,1/('Weekly Tracker'!$E$2:$E$766=$A358)/('Weekly Tracker'!$F$2:$F$766&lt;&gt;""),'Weekly Tracker'!$G$2:$G$766),"")</f>
        <v/>
      </c>
      <c r="H358" s="9">
        <f>IFERROR(LOOKUP(2,1/('Weekly Tracker'!$E$2:$E$766=$A358)/('Weekly Tracker'!$H$2:$H$766&lt;&gt;""),'Weekly Tracker'!$H$2:$H$766),"")</f>
        <v/>
      </c>
      <c r="I358" s="16">
        <f>IF(H358&lt;&gt;"",LOOKUP(2,1/('Weekly Tracker'!$E$2:$E$766=$A358)/('Weekly Tracker'!$H$2:$H$766&lt;&gt;""),'Weekly Tracker'!$I$2:$I$766),"")</f>
        <v/>
      </c>
      <c r="J358" s="9">
        <f>IFERROR(LOOKUP(2,1/('Weekly Tracker'!$E$2:$E$766=$A358)/('Weekly Tracker'!$J$2:$J$766&lt;&gt;""),'Weekly Tracker'!$J$2:$J$766),"")</f>
        <v/>
      </c>
      <c r="K358" s="9">
        <f>IFERROR(LOOKUP(2,1/('Weekly Tracker'!$E$2:$E$766=$A358)/('Weekly Tracker'!$N$2:$N$766&lt;&gt;""),'Weekly Tracker'!$N$2:$N$766),"")</f>
        <v/>
      </c>
      <c r="L358" s="9">
        <f>IFERROR(LOOKUP(2,1/('Weekly Tracker'!$E$2:$E$766=$A358)/('Weekly Tracker'!$O$2:$O$766&lt;&gt;""),'Weekly Tracker'!$O$2:$O$766),"")</f>
        <v/>
      </c>
    </row>
    <row r="359">
      <c r="A359" s="9" t="inlineStr">
        <is>
          <t>Sathish bro Verz</t>
        </is>
      </c>
      <c r="B359" s="9" t="inlineStr">
        <is>
          <t>919840056060</t>
        </is>
      </c>
      <c r="C359" s="9" t="n"/>
      <c r="D359" s="9" t="n"/>
      <c r="E359" s="9" t="n"/>
      <c r="F359" s="9">
        <f>IFERROR(LOOKUP(2,1/('Weekly Tracker'!$E$2:$E$766=$A359)/('Weekly Tracker'!$F$2:$F$766&lt;&gt;""),'Weekly Tracker'!$F$2:$F$766),"")</f>
        <v/>
      </c>
      <c r="G359" s="16">
        <f>IF(F359&lt;&gt;"",LOOKUP(2,1/('Weekly Tracker'!$E$2:$E$766=$A359)/('Weekly Tracker'!$F$2:$F$766&lt;&gt;""),'Weekly Tracker'!$G$2:$G$766),"")</f>
        <v/>
      </c>
      <c r="H359" s="9">
        <f>IFERROR(LOOKUP(2,1/('Weekly Tracker'!$E$2:$E$766=$A359)/('Weekly Tracker'!$H$2:$H$766&lt;&gt;""),'Weekly Tracker'!$H$2:$H$766),"")</f>
        <v/>
      </c>
      <c r="I359" s="16">
        <f>IF(H359&lt;&gt;"",LOOKUP(2,1/('Weekly Tracker'!$E$2:$E$766=$A359)/('Weekly Tracker'!$H$2:$H$766&lt;&gt;""),'Weekly Tracker'!$I$2:$I$766),"")</f>
        <v/>
      </c>
      <c r="J359" s="9">
        <f>IFERROR(LOOKUP(2,1/('Weekly Tracker'!$E$2:$E$766=$A359)/('Weekly Tracker'!$J$2:$J$766&lt;&gt;""),'Weekly Tracker'!$J$2:$J$766),"")</f>
        <v/>
      </c>
      <c r="K359" s="9">
        <f>IFERROR(LOOKUP(2,1/('Weekly Tracker'!$E$2:$E$766=$A359)/('Weekly Tracker'!$N$2:$N$766&lt;&gt;""),'Weekly Tracker'!$N$2:$N$766),"")</f>
        <v/>
      </c>
      <c r="L359" s="9">
        <f>IFERROR(LOOKUP(2,1/('Weekly Tracker'!$E$2:$E$766=$A359)/('Weekly Tracker'!$O$2:$O$766&lt;&gt;""),'Weekly Tracker'!$O$2:$O$766),"")</f>
        <v/>
      </c>
    </row>
    <row r="360">
      <c r="A360" s="9" t="inlineStr">
        <is>
          <t>Vel Raj Grp</t>
        </is>
      </c>
      <c r="B360" s="9" t="inlineStr">
        <is>
          <t>919944896041</t>
        </is>
      </c>
      <c r="C360" s="9" t="n"/>
      <c r="D360" s="9" t="n"/>
      <c r="E360" s="9" t="n"/>
      <c r="F360" s="9">
        <f>IFERROR(LOOKUP(2,1/('Weekly Tracker'!$E$2:$E$766=$A360)/('Weekly Tracker'!$F$2:$F$766&lt;&gt;""),'Weekly Tracker'!$F$2:$F$766),"")</f>
        <v/>
      </c>
      <c r="G360" s="16">
        <f>IF(F360&lt;&gt;"",LOOKUP(2,1/('Weekly Tracker'!$E$2:$E$766=$A360)/('Weekly Tracker'!$F$2:$F$766&lt;&gt;""),'Weekly Tracker'!$G$2:$G$766),"")</f>
        <v/>
      </c>
      <c r="H360" s="9">
        <f>IFERROR(LOOKUP(2,1/('Weekly Tracker'!$E$2:$E$766=$A360)/('Weekly Tracker'!$H$2:$H$766&lt;&gt;""),'Weekly Tracker'!$H$2:$H$766),"")</f>
        <v/>
      </c>
      <c r="I360" s="16">
        <f>IF(H360&lt;&gt;"",LOOKUP(2,1/('Weekly Tracker'!$E$2:$E$766=$A360)/('Weekly Tracker'!$H$2:$H$766&lt;&gt;""),'Weekly Tracker'!$I$2:$I$766),"")</f>
        <v/>
      </c>
      <c r="J360" s="9">
        <f>IFERROR(LOOKUP(2,1/('Weekly Tracker'!$E$2:$E$766=$A360)/('Weekly Tracker'!$J$2:$J$766&lt;&gt;""),'Weekly Tracker'!$J$2:$J$766),"")</f>
        <v/>
      </c>
      <c r="K360" s="9">
        <f>IFERROR(LOOKUP(2,1/('Weekly Tracker'!$E$2:$E$766=$A360)/('Weekly Tracker'!$N$2:$N$766&lt;&gt;""),'Weekly Tracker'!$N$2:$N$766),"")</f>
        <v/>
      </c>
      <c r="L360" s="9">
        <f>IFERROR(LOOKUP(2,1/('Weekly Tracker'!$E$2:$E$766=$A360)/('Weekly Tracker'!$O$2:$O$766&lt;&gt;""),'Weekly Tracker'!$O$2:$O$766),"")</f>
        <v/>
      </c>
    </row>
    <row r="361">
      <c r="A361" s="9" t="inlineStr">
        <is>
          <t>Arun Dataops Urja</t>
        </is>
      </c>
      <c r="B361" s="9" t="inlineStr">
        <is>
          <t>7598168187</t>
        </is>
      </c>
      <c r="C361" s="9" t="n"/>
      <c r="D361" s="9" t="n"/>
      <c r="E361" s="9" t="n"/>
      <c r="F361" s="9">
        <f>IFERROR(LOOKUP(2,1/('Weekly Tracker'!$E$2:$E$766=$A361)/('Weekly Tracker'!$F$2:$F$766&lt;&gt;""),'Weekly Tracker'!$F$2:$F$766),"")</f>
        <v/>
      </c>
      <c r="G361" s="16">
        <f>IF(F361&lt;&gt;"",LOOKUP(2,1/('Weekly Tracker'!$E$2:$E$766=$A361)/('Weekly Tracker'!$F$2:$F$766&lt;&gt;""),'Weekly Tracker'!$G$2:$G$766),"")</f>
        <v/>
      </c>
      <c r="H361" s="9">
        <f>IFERROR(LOOKUP(2,1/('Weekly Tracker'!$E$2:$E$766=$A361)/('Weekly Tracker'!$H$2:$H$766&lt;&gt;""),'Weekly Tracker'!$H$2:$H$766),"")</f>
        <v/>
      </c>
      <c r="I361" s="16">
        <f>IF(H361&lt;&gt;"",LOOKUP(2,1/('Weekly Tracker'!$E$2:$E$766=$A361)/('Weekly Tracker'!$H$2:$H$766&lt;&gt;""),'Weekly Tracker'!$I$2:$I$766),"")</f>
        <v/>
      </c>
      <c r="J361" s="9">
        <f>IFERROR(LOOKUP(2,1/('Weekly Tracker'!$E$2:$E$766=$A361)/('Weekly Tracker'!$J$2:$J$766&lt;&gt;""),'Weekly Tracker'!$J$2:$J$766),"")</f>
        <v/>
      </c>
      <c r="K361" s="9">
        <f>IFERROR(LOOKUP(2,1/('Weekly Tracker'!$E$2:$E$766=$A361)/('Weekly Tracker'!$N$2:$N$766&lt;&gt;""),'Weekly Tracker'!$N$2:$N$766),"")</f>
        <v/>
      </c>
      <c r="L361" s="9">
        <f>IFERROR(LOOKUP(2,1/('Weekly Tracker'!$E$2:$E$766=$A361)/('Weekly Tracker'!$O$2:$O$766&lt;&gt;""),'Weekly Tracker'!$O$2:$O$766),"")</f>
        <v/>
      </c>
    </row>
    <row r="362">
      <c r="A362" s="9" t="inlineStr">
        <is>
          <t>Anu Kumar Grp Ucen</t>
        </is>
      </c>
      <c r="B362" s="9" t="inlineStr">
        <is>
          <t>919597282398</t>
        </is>
      </c>
      <c r="C362" s="9" t="n"/>
      <c r="D362" s="9" t="n"/>
      <c r="E362" s="9" t="n"/>
      <c r="F362" s="9">
        <f>IFERROR(LOOKUP(2,1/('Weekly Tracker'!$E$2:$E$766=$A362)/('Weekly Tracker'!$F$2:$F$766&lt;&gt;""),'Weekly Tracker'!$F$2:$F$766),"")</f>
        <v/>
      </c>
      <c r="G362" s="16">
        <f>IF(F362&lt;&gt;"",LOOKUP(2,1/('Weekly Tracker'!$E$2:$E$766=$A362)/('Weekly Tracker'!$F$2:$F$766&lt;&gt;""),'Weekly Tracker'!$G$2:$G$766),"")</f>
        <v/>
      </c>
      <c r="H362" s="9">
        <f>IFERROR(LOOKUP(2,1/('Weekly Tracker'!$E$2:$E$766=$A362)/('Weekly Tracker'!$H$2:$H$766&lt;&gt;""),'Weekly Tracker'!$H$2:$H$766),"")</f>
        <v/>
      </c>
      <c r="I362" s="16">
        <f>IF(H362&lt;&gt;"",LOOKUP(2,1/('Weekly Tracker'!$E$2:$E$766=$A362)/('Weekly Tracker'!$H$2:$H$766&lt;&gt;""),'Weekly Tracker'!$I$2:$I$766),"")</f>
        <v/>
      </c>
      <c r="J362" s="9">
        <f>IFERROR(LOOKUP(2,1/('Weekly Tracker'!$E$2:$E$766=$A362)/('Weekly Tracker'!$J$2:$J$766&lt;&gt;""),'Weekly Tracker'!$J$2:$J$766),"")</f>
        <v/>
      </c>
      <c r="K362" s="9">
        <f>IFERROR(LOOKUP(2,1/('Weekly Tracker'!$E$2:$E$766=$A362)/('Weekly Tracker'!$N$2:$N$766&lt;&gt;""),'Weekly Tracker'!$N$2:$N$766),"")</f>
        <v/>
      </c>
      <c r="L362" s="9">
        <f>IFERROR(LOOKUP(2,1/('Weekly Tracker'!$E$2:$E$766=$A362)/('Weekly Tracker'!$O$2:$O$766&lt;&gt;""),'Weekly Tracker'!$O$2:$O$766),"")</f>
        <v/>
      </c>
    </row>
    <row r="363">
      <c r="A363" s="9" t="inlineStr">
        <is>
          <t>Satheesh Sank FB</t>
        </is>
      </c>
      <c r="B363" s="9" t="inlineStr">
        <is>
          <t>918122485041</t>
        </is>
      </c>
      <c r="C363" s="9" t="n"/>
      <c r="D363" s="9" t="n"/>
      <c r="E363" s="9" t="n"/>
      <c r="F363" s="9">
        <f>IFERROR(LOOKUP(2,1/('Weekly Tracker'!$E$2:$E$766=$A363)/('Weekly Tracker'!$F$2:$F$766&lt;&gt;""),'Weekly Tracker'!$F$2:$F$766),"")</f>
        <v/>
      </c>
      <c r="G363" s="16">
        <f>IF(F363&lt;&gt;"",LOOKUP(2,1/('Weekly Tracker'!$E$2:$E$766=$A363)/('Weekly Tracker'!$F$2:$F$766&lt;&gt;""),'Weekly Tracker'!$G$2:$G$766),"")</f>
        <v/>
      </c>
      <c r="H363" s="9">
        <f>IFERROR(LOOKUP(2,1/('Weekly Tracker'!$E$2:$E$766=$A363)/('Weekly Tracker'!$H$2:$H$766&lt;&gt;""),'Weekly Tracker'!$H$2:$H$766),"")</f>
        <v/>
      </c>
      <c r="I363" s="16">
        <f>IF(H363&lt;&gt;"",LOOKUP(2,1/('Weekly Tracker'!$E$2:$E$766=$A363)/('Weekly Tracker'!$H$2:$H$766&lt;&gt;""),'Weekly Tracker'!$I$2:$I$766),"")</f>
        <v/>
      </c>
      <c r="J363" s="9">
        <f>IFERROR(LOOKUP(2,1/('Weekly Tracker'!$E$2:$E$766=$A363)/('Weekly Tracker'!$J$2:$J$766&lt;&gt;""),'Weekly Tracker'!$J$2:$J$766),"")</f>
        <v/>
      </c>
      <c r="K363" s="9">
        <f>IFERROR(LOOKUP(2,1/('Weekly Tracker'!$E$2:$E$766=$A363)/('Weekly Tracker'!$N$2:$N$766&lt;&gt;""),'Weekly Tracker'!$N$2:$N$766),"")</f>
        <v/>
      </c>
      <c r="L363" s="9">
        <f>IFERROR(LOOKUP(2,1/('Weekly Tracker'!$E$2:$E$766=$A363)/('Weekly Tracker'!$O$2:$O$766&lt;&gt;""),'Weekly Tracker'!$O$2:$O$766),"")</f>
        <v/>
      </c>
    </row>
    <row r="364">
      <c r="A364" s="9" t="inlineStr">
        <is>
          <t>Selva Raj Junior Grp</t>
        </is>
      </c>
      <c r="B364" s="9" t="inlineStr">
        <is>
          <t>917397451705</t>
        </is>
      </c>
      <c r="C364" s="9" t="n"/>
      <c r="D364" s="9" t="n"/>
      <c r="E364" s="9" t="n"/>
      <c r="F364" s="9">
        <f>IFERROR(LOOKUP(2,1/('Weekly Tracker'!$E$2:$E$766=$A364)/('Weekly Tracker'!$F$2:$F$766&lt;&gt;""),'Weekly Tracker'!$F$2:$F$766),"")</f>
        <v/>
      </c>
      <c r="G364" s="16">
        <f>IF(F364&lt;&gt;"",LOOKUP(2,1/('Weekly Tracker'!$E$2:$E$766=$A364)/('Weekly Tracker'!$F$2:$F$766&lt;&gt;""),'Weekly Tracker'!$G$2:$G$766),"")</f>
        <v/>
      </c>
      <c r="H364" s="9">
        <f>IFERROR(LOOKUP(2,1/('Weekly Tracker'!$E$2:$E$766=$A364)/('Weekly Tracker'!$H$2:$H$766&lt;&gt;""),'Weekly Tracker'!$H$2:$H$766),"")</f>
        <v/>
      </c>
      <c r="I364" s="16">
        <f>IF(H364&lt;&gt;"",LOOKUP(2,1/('Weekly Tracker'!$E$2:$E$766=$A364)/('Weekly Tracker'!$H$2:$H$766&lt;&gt;""),'Weekly Tracker'!$I$2:$I$766),"")</f>
        <v/>
      </c>
      <c r="J364" s="9">
        <f>IFERROR(LOOKUP(2,1/('Weekly Tracker'!$E$2:$E$766=$A364)/('Weekly Tracker'!$J$2:$J$766&lt;&gt;""),'Weekly Tracker'!$J$2:$J$766),"")</f>
        <v/>
      </c>
      <c r="K364" s="9">
        <f>IFERROR(LOOKUP(2,1/('Weekly Tracker'!$E$2:$E$766=$A364)/('Weekly Tracker'!$N$2:$N$766&lt;&gt;""),'Weekly Tracker'!$N$2:$N$766),"")</f>
        <v/>
      </c>
      <c r="L364" s="9">
        <f>IFERROR(LOOKUP(2,1/('Weekly Tracker'!$E$2:$E$766=$A364)/('Weekly Tracker'!$O$2:$O$766&lt;&gt;""),'Weekly Tracker'!$O$2:$O$766),"")</f>
        <v/>
      </c>
    </row>
    <row r="365">
      <c r="A365" s="9" t="inlineStr">
        <is>
          <t>Gopala Krishnan Laptop Service</t>
        </is>
      </c>
      <c r="B365" s="9" t="inlineStr">
        <is>
          <t>919790854384</t>
        </is>
      </c>
      <c r="C365" s="9" t="n"/>
      <c r="D365" s="9" t="n"/>
      <c r="E365" s="9" t="n"/>
      <c r="F365" s="9">
        <f>IFERROR(LOOKUP(2,1/('Weekly Tracker'!$E$2:$E$766=$A365)/('Weekly Tracker'!$F$2:$F$766&lt;&gt;""),'Weekly Tracker'!$F$2:$F$766),"")</f>
        <v/>
      </c>
      <c r="G365" s="16">
        <f>IF(F365&lt;&gt;"",LOOKUP(2,1/('Weekly Tracker'!$E$2:$E$766=$A365)/('Weekly Tracker'!$F$2:$F$766&lt;&gt;""),'Weekly Tracker'!$G$2:$G$766),"")</f>
        <v/>
      </c>
      <c r="H365" s="9">
        <f>IFERROR(LOOKUP(2,1/('Weekly Tracker'!$E$2:$E$766=$A365)/('Weekly Tracker'!$H$2:$H$766&lt;&gt;""),'Weekly Tracker'!$H$2:$H$766),"")</f>
        <v/>
      </c>
      <c r="I365" s="16">
        <f>IF(H365&lt;&gt;"",LOOKUP(2,1/('Weekly Tracker'!$E$2:$E$766=$A365)/('Weekly Tracker'!$H$2:$H$766&lt;&gt;""),'Weekly Tracker'!$I$2:$I$766),"")</f>
        <v/>
      </c>
      <c r="J365" s="9">
        <f>IFERROR(LOOKUP(2,1/('Weekly Tracker'!$E$2:$E$766=$A365)/('Weekly Tracker'!$J$2:$J$766&lt;&gt;""),'Weekly Tracker'!$J$2:$J$766),"")</f>
        <v/>
      </c>
      <c r="K365" s="9">
        <f>IFERROR(LOOKUP(2,1/('Weekly Tracker'!$E$2:$E$766=$A365)/('Weekly Tracker'!$N$2:$N$766&lt;&gt;""),'Weekly Tracker'!$N$2:$N$766),"")</f>
        <v/>
      </c>
      <c r="L365" s="9">
        <f>IFERROR(LOOKUP(2,1/('Weekly Tracker'!$E$2:$E$766=$A365)/('Weekly Tracker'!$O$2:$O$766&lt;&gt;""),'Weekly Tracker'!$O$2:$O$766),"")</f>
        <v/>
      </c>
    </row>
    <row r="366">
      <c r="A366" s="9" t="inlineStr">
        <is>
          <t>John Scl</t>
        </is>
      </c>
      <c r="B366" s="9" t="inlineStr">
        <is>
          <t>917023321675</t>
        </is>
      </c>
      <c r="C366" s="9" t="n"/>
      <c r="D366" s="9" t="n"/>
      <c r="E366" s="9" t="n"/>
      <c r="F366" s="9">
        <f>IFERROR(LOOKUP(2,1/('Weekly Tracker'!$E$2:$E$766=$A366)/('Weekly Tracker'!$F$2:$F$766&lt;&gt;""),'Weekly Tracker'!$F$2:$F$766),"")</f>
        <v/>
      </c>
      <c r="G366" s="16">
        <f>IF(F366&lt;&gt;"",LOOKUP(2,1/('Weekly Tracker'!$E$2:$E$766=$A366)/('Weekly Tracker'!$F$2:$F$766&lt;&gt;""),'Weekly Tracker'!$G$2:$G$766),"")</f>
        <v/>
      </c>
      <c r="H366" s="9">
        <f>IFERROR(LOOKUP(2,1/('Weekly Tracker'!$E$2:$E$766=$A366)/('Weekly Tracker'!$H$2:$H$766&lt;&gt;""),'Weekly Tracker'!$H$2:$H$766),"")</f>
        <v/>
      </c>
      <c r="I366" s="16">
        <f>IF(H366&lt;&gt;"",LOOKUP(2,1/('Weekly Tracker'!$E$2:$E$766=$A366)/('Weekly Tracker'!$H$2:$H$766&lt;&gt;""),'Weekly Tracker'!$I$2:$I$766),"")</f>
        <v/>
      </c>
      <c r="J366" s="9">
        <f>IFERROR(LOOKUP(2,1/('Weekly Tracker'!$E$2:$E$766=$A366)/('Weekly Tracker'!$J$2:$J$766&lt;&gt;""),'Weekly Tracker'!$J$2:$J$766),"")</f>
        <v/>
      </c>
      <c r="K366" s="9">
        <f>IFERROR(LOOKUP(2,1/('Weekly Tracker'!$E$2:$E$766=$A366)/('Weekly Tracker'!$N$2:$N$766&lt;&gt;""),'Weekly Tracker'!$N$2:$N$766),"")</f>
        <v/>
      </c>
      <c r="L366" s="9">
        <f>IFERROR(LOOKUP(2,1/('Weekly Tracker'!$E$2:$E$766=$A366)/('Weekly Tracker'!$O$2:$O$766&lt;&gt;""),'Weekly Tracker'!$O$2:$O$766),"")</f>
        <v/>
      </c>
    </row>
    <row r="367">
      <c r="A367" s="9" t="inlineStr">
        <is>
          <t>Sundar Jeya FB</t>
        </is>
      </c>
      <c r="B367" s="9" t="inlineStr">
        <is>
          <t>918220650295</t>
        </is>
      </c>
      <c r="C367" s="9" t="n"/>
      <c r="D367" s="9" t="n"/>
      <c r="E367" s="9" t="n"/>
      <c r="F367" s="9">
        <f>IFERROR(LOOKUP(2,1/('Weekly Tracker'!$E$2:$E$766=$A367)/('Weekly Tracker'!$F$2:$F$766&lt;&gt;""),'Weekly Tracker'!$F$2:$F$766),"")</f>
        <v/>
      </c>
      <c r="G367" s="16">
        <f>IF(F367&lt;&gt;"",LOOKUP(2,1/('Weekly Tracker'!$E$2:$E$766=$A367)/('Weekly Tracker'!$F$2:$F$766&lt;&gt;""),'Weekly Tracker'!$G$2:$G$766),"")</f>
        <v/>
      </c>
      <c r="H367" s="9">
        <f>IFERROR(LOOKUP(2,1/('Weekly Tracker'!$E$2:$E$766=$A367)/('Weekly Tracker'!$H$2:$H$766&lt;&gt;""),'Weekly Tracker'!$H$2:$H$766),"")</f>
        <v/>
      </c>
      <c r="I367" s="16">
        <f>IF(H367&lt;&gt;"",LOOKUP(2,1/('Weekly Tracker'!$E$2:$E$766=$A367)/('Weekly Tracker'!$H$2:$H$766&lt;&gt;""),'Weekly Tracker'!$I$2:$I$766),"")</f>
        <v/>
      </c>
      <c r="J367" s="9">
        <f>IFERROR(LOOKUP(2,1/('Weekly Tracker'!$E$2:$E$766=$A367)/('Weekly Tracker'!$J$2:$J$766&lt;&gt;""),'Weekly Tracker'!$J$2:$J$766),"")</f>
        <v/>
      </c>
      <c r="K367" s="9">
        <f>IFERROR(LOOKUP(2,1/('Weekly Tracker'!$E$2:$E$766=$A367)/('Weekly Tracker'!$N$2:$N$766&lt;&gt;""),'Weekly Tracker'!$N$2:$N$766),"")</f>
        <v/>
      </c>
      <c r="L367" s="9">
        <f>IFERROR(LOOKUP(2,1/('Weekly Tracker'!$E$2:$E$766=$A367)/('Weekly Tracker'!$O$2:$O$766&lt;&gt;""),'Weekly Tracker'!$O$2:$O$766),"")</f>
        <v/>
      </c>
    </row>
    <row r="368">
      <c r="A368" s="9" t="inlineStr">
        <is>
          <t>Ag Karthi Vel-frd</t>
        </is>
      </c>
      <c r="B368" s="9" t="inlineStr">
        <is>
          <t>919994265060</t>
        </is>
      </c>
      <c r="C368" s="9" t="n"/>
      <c r="D368" s="9" t="n"/>
      <c r="E368" s="9" t="n"/>
      <c r="F368" s="9">
        <f>IFERROR(LOOKUP(2,1/('Weekly Tracker'!$E$2:$E$766=$A368)/('Weekly Tracker'!$F$2:$F$766&lt;&gt;""),'Weekly Tracker'!$F$2:$F$766),"")</f>
        <v/>
      </c>
      <c r="G368" s="16">
        <f>IF(F368&lt;&gt;"",LOOKUP(2,1/('Weekly Tracker'!$E$2:$E$766=$A368)/('Weekly Tracker'!$F$2:$F$766&lt;&gt;""),'Weekly Tracker'!$G$2:$G$766),"")</f>
        <v/>
      </c>
      <c r="H368" s="9">
        <f>IFERROR(LOOKUP(2,1/('Weekly Tracker'!$E$2:$E$766=$A368)/('Weekly Tracker'!$H$2:$H$766&lt;&gt;""),'Weekly Tracker'!$H$2:$H$766),"")</f>
        <v/>
      </c>
      <c r="I368" s="16">
        <f>IF(H368&lt;&gt;"",LOOKUP(2,1/('Weekly Tracker'!$E$2:$E$766=$A368)/('Weekly Tracker'!$H$2:$H$766&lt;&gt;""),'Weekly Tracker'!$I$2:$I$766),"")</f>
        <v/>
      </c>
      <c r="J368" s="9">
        <f>IFERROR(LOOKUP(2,1/('Weekly Tracker'!$E$2:$E$766=$A368)/('Weekly Tracker'!$J$2:$J$766&lt;&gt;""),'Weekly Tracker'!$J$2:$J$766),"")</f>
        <v/>
      </c>
      <c r="K368" s="9">
        <f>IFERROR(LOOKUP(2,1/('Weekly Tracker'!$E$2:$E$766=$A368)/('Weekly Tracker'!$N$2:$N$766&lt;&gt;""),'Weekly Tracker'!$N$2:$N$766),"")</f>
        <v/>
      </c>
      <c r="L368" s="9">
        <f>IFERROR(LOOKUP(2,1/('Weekly Tracker'!$E$2:$E$766=$A368)/('Weekly Tracker'!$O$2:$O$766&lt;&gt;""),'Weekly Tracker'!$O$2:$O$766),"")</f>
        <v/>
      </c>
    </row>
    <row r="369">
      <c r="A369" s="9" t="inlineStr">
        <is>
          <t>Karthi Rpk Scl</t>
        </is>
      </c>
      <c r="B369" s="9" t="inlineStr">
        <is>
          <t>917904755114</t>
        </is>
      </c>
      <c r="C369" s="9" t="n"/>
      <c r="D369" s="9" t="n"/>
      <c r="E369" s="9" t="inlineStr">
        <is>
          <t>Tamil Nadu, India</t>
        </is>
      </c>
      <c r="F369" s="9">
        <f>IFERROR(LOOKUP(2,1/('Weekly Tracker'!$E$2:$E$766=$A369)/('Weekly Tracker'!$F$2:$F$766&lt;&gt;""),'Weekly Tracker'!$F$2:$F$766),"")</f>
        <v/>
      </c>
      <c r="G369" s="16">
        <f>IF(F369&lt;&gt;"",LOOKUP(2,1/('Weekly Tracker'!$E$2:$E$766=$A369)/('Weekly Tracker'!$F$2:$F$766&lt;&gt;""),'Weekly Tracker'!$G$2:$G$766),"")</f>
        <v/>
      </c>
      <c r="H369" s="9">
        <f>IFERROR(LOOKUP(2,1/('Weekly Tracker'!$E$2:$E$766=$A369)/('Weekly Tracker'!$H$2:$H$766&lt;&gt;""),'Weekly Tracker'!$H$2:$H$766),"")</f>
        <v/>
      </c>
      <c r="I369" s="16">
        <f>IF(H369&lt;&gt;"",LOOKUP(2,1/('Weekly Tracker'!$E$2:$E$766=$A369)/('Weekly Tracker'!$H$2:$H$766&lt;&gt;""),'Weekly Tracker'!$I$2:$I$766),"")</f>
        <v/>
      </c>
      <c r="J369" s="9">
        <f>IFERROR(LOOKUP(2,1/('Weekly Tracker'!$E$2:$E$766=$A369)/('Weekly Tracker'!$J$2:$J$766&lt;&gt;""),'Weekly Tracker'!$J$2:$J$766),"")</f>
        <v/>
      </c>
      <c r="K369" s="9">
        <f>IFERROR(LOOKUP(2,1/('Weekly Tracker'!$E$2:$E$766=$A369)/('Weekly Tracker'!$N$2:$N$766&lt;&gt;""),'Weekly Tracker'!$N$2:$N$766),"")</f>
        <v/>
      </c>
      <c r="L369" s="9">
        <f>IFERROR(LOOKUP(2,1/('Weekly Tracker'!$E$2:$E$766=$A369)/('Weekly Tracker'!$O$2:$O$766&lt;&gt;""),'Weekly Tracker'!$O$2:$O$766),"")</f>
        <v/>
      </c>
    </row>
    <row r="370">
      <c r="A370" s="9" t="inlineStr">
        <is>
          <t>Mahendran Urja</t>
        </is>
      </c>
      <c r="B370" s="9" t="inlineStr">
        <is>
          <t>916379889927</t>
        </is>
      </c>
      <c r="C370" s="9" t="n"/>
      <c r="D370" s="9" t="n"/>
      <c r="E370" s="9" t="inlineStr">
        <is>
          <t>Tamil Nadu, India</t>
        </is>
      </c>
      <c r="F370" s="9">
        <f>IFERROR(LOOKUP(2,1/('Weekly Tracker'!$E$2:$E$766=$A370)/('Weekly Tracker'!$F$2:$F$766&lt;&gt;""),'Weekly Tracker'!$F$2:$F$766),"")</f>
        <v/>
      </c>
      <c r="G370" s="16">
        <f>IF(F370&lt;&gt;"",LOOKUP(2,1/('Weekly Tracker'!$E$2:$E$766=$A370)/('Weekly Tracker'!$F$2:$F$766&lt;&gt;""),'Weekly Tracker'!$G$2:$G$766),"")</f>
        <v/>
      </c>
      <c r="H370" s="9">
        <f>IFERROR(LOOKUP(2,1/('Weekly Tracker'!$E$2:$E$766=$A370)/('Weekly Tracker'!$H$2:$H$766&lt;&gt;""),'Weekly Tracker'!$H$2:$H$766),"")</f>
        <v/>
      </c>
      <c r="I370" s="16">
        <f>IF(H370&lt;&gt;"",LOOKUP(2,1/('Weekly Tracker'!$E$2:$E$766=$A370)/('Weekly Tracker'!$H$2:$H$766&lt;&gt;""),'Weekly Tracker'!$I$2:$I$766),"")</f>
        <v/>
      </c>
      <c r="J370" s="9">
        <f>IFERROR(LOOKUP(2,1/('Weekly Tracker'!$E$2:$E$766=$A370)/('Weekly Tracker'!$J$2:$J$766&lt;&gt;""),'Weekly Tracker'!$J$2:$J$766),"")</f>
        <v/>
      </c>
      <c r="K370" s="9">
        <f>IFERROR(LOOKUP(2,1/('Weekly Tracker'!$E$2:$E$766=$A370)/('Weekly Tracker'!$N$2:$N$766&lt;&gt;""),'Weekly Tracker'!$N$2:$N$766),"")</f>
        <v/>
      </c>
      <c r="L370" s="9">
        <f>IFERROR(LOOKUP(2,1/('Weekly Tracker'!$E$2:$E$766=$A370)/('Weekly Tracker'!$O$2:$O$766&lt;&gt;""),'Weekly Tracker'!$O$2:$O$766),"")</f>
        <v/>
      </c>
    </row>
    <row r="371">
      <c r="A371" s="9" t="inlineStr">
        <is>
          <t>Vinoth G Mech</t>
        </is>
      </c>
      <c r="B371" s="9" t="inlineStr">
        <is>
          <t>919600970080</t>
        </is>
      </c>
      <c r="C371" s="9" t="n"/>
      <c r="D371" s="9" t="n"/>
      <c r="E371" s="9" t="n"/>
      <c r="F371" s="9">
        <f>IFERROR(LOOKUP(2,1/('Weekly Tracker'!$E$2:$E$766=$A371)/('Weekly Tracker'!$F$2:$F$766&lt;&gt;""),'Weekly Tracker'!$F$2:$F$766),"")</f>
        <v/>
      </c>
      <c r="G371" s="16">
        <f>IF(F371&lt;&gt;"",LOOKUP(2,1/('Weekly Tracker'!$E$2:$E$766=$A371)/('Weekly Tracker'!$F$2:$F$766&lt;&gt;""),'Weekly Tracker'!$G$2:$G$766),"")</f>
        <v/>
      </c>
      <c r="H371" s="9">
        <f>IFERROR(LOOKUP(2,1/('Weekly Tracker'!$E$2:$E$766=$A371)/('Weekly Tracker'!$H$2:$H$766&lt;&gt;""),'Weekly Tracker'!$H$2:$H$766),"")</f>
        <v/>
      </c>
      <c r="I371" s="16">
        <f>IF(H371&lt;&gt;"",LOOKUP(2,1/('Weekly Tracker'!$E$2:$E$766=$A371)/('Weekly Tracker'!$H$2:$H$766&lt;&gt;""),'Weekly Tracker'!$I$2:$I$766),"")</f>
        <v/>
      </c>
      <c r="J371" s="9">
        <f>IFERROR(LOOKUP(2,1/('Weekly Tracker'!$E$2:$E$766=$A371)/('Weekly Tracker'!$J$2:$J$766&lt;&gt;""),'Weekly Tracker'!$J$2:$J$766),"")</f>
        <v/>
      </c>
      <c r="K371" s="9">
        <f>IFERROR(LOOKUP(2,1/('Weekly Tracker'!$E$2:$E$766=$A371)/('Weekly Tracker'!$N$2:$N$766&lt;&gt;""),'Weekly Tracker'!$N$2:$N$766),"")</f>
        <v/>
      </c>
      <c r="L371" s="9">
        <f>IFERROR(LOOKUP(2,1/('Weekly Tracker'!$E$2:$E$766=$A371)/('Weekly Tracker'!$O$2:$O$766&lt;&gt;""),'Weekly Tracker'!$O$2:$O$766),"")</f>
        <v/>
      </c>
    </row>
    <row r="372">
      <c r="A372" s="9" t="inlineStr">
        <is>
          <t>Riyaz Grp</t>
        </is>
      </c>
      <c r="B372" s="9" t="inlineStr">
        <is>
          <t>917373975098</t>
        </is>
      </c>
      <c r="C372" s="9" t="n"/>
      <c r="D372" s="9" t="n"/>
      <c r="E372" s="9" t="n"/>
      <c r="F372" s="9">
        <f>IFERROR(LOOKUP(2,1/('Weekly Tracker'!$E$2:$E$766=$A372)/('Weekly Tracker'!$F$2:$F$766&lt;&gt;""),'Weekly Tracker'!$F$2:$F$766),"")</f>
        <v/>
      </c>
      <c r="G372" s="16">
        <f>IF(F372&lt;&gt;"",LOOKUP(2,1/('Weekly Tracker'!$E$2:$E$766=$A372)/('Weekly Tracker'!$F$2:$F$766&lt;&gt;""),'Weekly Tracker'!$G$2:$G$766),"")</f>
        <v/>
      </c>
      <c r="H372" s="9">
        <f>IFERROR(LOOKUP(2,1/('Weekly Tracker'!$E$2:$E$766=$A372)/('Weekly Tracker'!$H$2:$H$766&lt;&gt;""),'Weekly Tracker'!$H$2:$H$766),"")</f>
        <v/>
      </c>
      <c r="I372" s="16">
        <f>IF(H372&lt;&gt;"",LOOKUP(2,1/('Weekly Tracker'!$E$2:$E$766=$A372)/('Weekly Tracker'!$H$2:$H$766&lt;&gt;""),'Weekly Tracker'!$I$2:$I$766),"")</f>
        <v/>
      </c>
      <c r="J372" s="9">
        <f>IFERROR(LOOKUP(2,1/('Weekly Tracker'!$E$2:$E$766=$A372)/('Weekly Tracker'!$J$2:$J$766&lt;&gt;""),'Weekly Tracker'!$J$2:$J$766),"")</f>
        <v/>
      </c>
      <c r="K372" s="9">
        <f>IFERROR(LOOKUP(2,1/('Weekly Tracker'!$E$2:$E$766=$A372)/('Weekly Tracker'!$N$2:$N$766&lt;&gt;""),'Weekly Tracker'!$N$2:$N$766),"")</f>
        <v/>
      </c>
      <c r="L372" s="9">
        <f>IFERROR(LOOKUP(2,1/('Weekly Tracker'!$E$2:$E$766=$A372)/('Weekly Tracker'!$O$2:$O$766&lt;&gt;""),'Weekly Tracker'!$O$2:$O$766),"")</f>
        <v/>
      </c>
    </row>
    <row r="373">
      <c r="A373" s="9" t="inlineStr">
        <is>
          <t>Ranjith Mass FB</t>
        </is>
      </c>
      <c r="B373" s="9" t="inlineStr">
        <is>
          <t>918760958468, 916380101763</t>
        </is>
      </c>
      <c r="C373" s="9" t="n"/>
      <c r="D373" s="9" t="n"/>
      <c r="E373" s="9" t="n"/>
      <c r="F373" s="9">
        <f>IFERROR(LOOKUP(2,1/('Weekly Tracker'!$E$2:$E$766=$A373)/('Weekly Tracker'!$F$2:$F$766&lt;&gt;""),'Weekly Tracker'!$F$2:$F$766),"")</f>
        <v/>
      </c>
      <c r="G373" s="16">
        <f>IF(F373&lt;&gt;"",LOOKUP(2,1/('Weekly Tracker'!$E$2:$E$766=$A373)/('Weekly Tracker'!$F$2:$F$766&lt;&gt;""),'Weekly Tracker'!$G$2:$G$766),"")</f>
        <v/>
      </c>
      <c r="H373" s="9">
        <f>IFERROR(LOOKUP(2,1/('Weekly Tracker'!$E$2:$E$766=$A373)/('Weekly Tracker'!$H$2:$H$766&lt;&gt;""),'Weekly Tracker'!$H$2:$H$766),"")</f>
        <v/>
      </c>
      <c r="I373" s="16">
        <f>IF(H373&lt;&gt;"",LOOKUP(2,1/('Weekly Tracker'!$E$2:$E$766=$A373)/('Weekly Tracker'!$H$2:$H$766&lt;&gt;""),'Weekly Tracker'!$I$2:$I$766),"")</f>
        <v/>
      </c>
      <c r="J373" s="9">
        <f>IFERROR(LOOKUP(2,1/('Weekly Tracker'!$E$2:$E$766=$A373)/('Weekly Tracker'!$J$2:$J$766&lt;&gt;""),'Weekly Tracker'!$J$2:$J$766),"")</f>
        <v/>
      </c>
      <c r="K373" s="9">
        <f>IFERROR(LOOKUP(2,1/('Weekly Tracker'!$E$2:$E$766=$A373)/('Weekly Tracker'!$N$2:$N$766&lt;&gt;""),'Weekly Tracker'!$N$2:$N$766),"")</f>
        <v/>
      </c>
      <c r="L373" s="9">
        <f>IFERROR(LOOKUP(2,1/('Weekly Tracker'!$E$2:$E$766=$A373)/('Weekly Tracker'!$O$2:$O$766&lt;&gt;""),'Weekly Tracker'!$O$2:$O$766),"")</f>
        <v/>
      </c>
    </row>
    <row r="374">
      <c r="A374" s="9" t="inlineStr">
        <is>
          <t>Sivan FB</t>
        </is>
      </c>
      <c r="B374" s="9" t="inlineStr">
        <is>
          <t>918973379664</t>
        </is>
      </c>
      <c r="C374" s="9" t="n"/>
      <c r="D374" s="9" t="n"/>
      <c r="E374" s="9" t="n"/>
      <c r="F374" s="9">
        <f>IFERROR(LOOKUP(2,1/('Weekly Tracker'!$E$2:$E$766=$A374)/('Weekly Tracker'!$F$2:$F$766&lt;&gt;""),'Weekly Tracker'!$F$2:$F$766),"")</f>
        <v/>
      </c>
      <c r="G374" s="16">
        <f>IF(F374&lt;&gt;"",LOOKUP(2,1/('Weekly Tracker'!$E$2:$E$766=$A374)/('Weekly Tracker'!$F$2:$F$766&lt;&gt;""),'Weekly Tracker'!$G$2:$G$766),"")</f>
        <v/>
      </c>
      <c r="H374" s="9">
        <f>IFERROR(LOOKUP(2,1/('Weekly Tracker'!$E$2:$E$766=$A374)/('Weekly Tracker'!$H$2:$H$766&lt;&gt;""),'Weekly Tracker'!$H$2:$H$766),"")</f>
        <v/>
      </c>
      <c r="I374" s="16">
        <f>IF(H374&lt;&gt;"",LOOKUP(2,1/('Weekly Tracker'!$E$2:$E$766=$A374)/('Weekly Tracker'!$H$2:$H$766&lt;&gt;""),'Weekly Tracker'!$I$2:$I$766),"")</f>
        <v/>
      </c>
      <c r="J374" s="9">
        <f>IFERROR(LOOKUP(2,1/('Weekly Tracker'!$E$2:$E$766=$A374)/('Weekly Tracker'!$J$2:$J$766&lt;&gt;""),'Weekly Tracker'!$J$2:$J$766),"")</f>
        <v/>
      </c>
      <c r="K374" s="9">
        <f>IFERROR(LOOKUP(2,1/('Weekly Tracker'!$E$2:$E$766=$A374)/('Weekly Tracker'!$N$2:$N$766&lt;&gt;""),'Weekly Tracker'!$N$2:$N$766),"")</f>
        <v/>
      </c>
      <c r="L374" s="9">
        <f>IFERROR(LOOKUP(2,1/('Weekly Tracker'!$E$2:$E$766=$A374)/('Weekly Tracker'!$O$2:$O$766&lt;&gt;""),'Weekly Tracker'!$O$2:$O$766),"")</f>
        <v/>
      </c>
    </row>
    <row r="375">
      <c r="A375" s="9" t="inlineStr">
        <is>
          <t>Krish Kannan FB</t>
        </is>
      </c>
      <c r="B375" s="9" t="inlineStr">
        <is>
          <t>9788905118</t>
        </is>
      </c>
      <c r="C375" s="9" t="n"/>
      <c r="D375" s="9" t="n"/>
      <c r="E375" s="9" t="n"/>
      <c r="F375" s="9">
        <f>IFERROR(LOOKUP(2,1/('Weekly Tracker'!$E$2:$E$766=$A375)/('Weekly Tracker'!$F$2:$F$766&lt;&gt;""),'Weekly Tracker'!$F$2:$F$766),"")</f>
        <v/>
      </c>
      <c r="G375" s="16">
        <f>IF(F375&lt;&gt;"",LOOKUP(2,1/('Weekly Tracker'!$E$2:$E$766=$A375)/('Weekly Tracker'!$F$2:$F$766&lt;&gt;""),'Weekly Tracker'!$G$2:$G$766),"")</f>
        <v/>
      </c>
      <c r="H375" s="9">
        <f>IFERROR(LOOKUP(2,1/('Weekly Tracker'!$E$2:$E$766=$A375)/('Weekly Tracker'!$H$2:$H$766&lt;&gt;""),'Weekly Tracker'!$H$2:$H$766),"")</f>
        <v/>
      </c>
      <c r="I375" s="16">
        <f>IF(H375&lt;&gt;"",LOOKUP(2,1/('Weekly Tracker'!$E$2:$E$766=$A375)/('Weekly Tracker'!$H$2:$H$766&lt;&gt;""),'Weekly Tracker'!$I$2:$I$766),"")</f>
        <v/>
      </c>
      <c r="J375" s="9">
        <f>IFERROR(LOOKUP(2,1/('Weekly Tracker'!$E$2:$E$766=$A375)/('Weekly Tracker'!$J$2:$J$766&lt;&gt;""),'Weekly Tracker'!$J$2:$J$766),"")</f>
        <v/>
      </c>
      <c r="K375" s="9">
        <f>IFERROR(LOOKUP(2,1/('Weekly Tracker'!$E$2:$E$766=$A375)/('Weekly Tracker'!$N$2:$N$766&lt;&gt;""),'Weekly Tracker'!$N$2:$N$766),"")</f>
        <v/>
      </c>
      <c r="L375" s="9">
        <f>IFERROR(LOOKUP(2,1/('Weekly Tracker'!$E$2:$E$766=$A375)/('Weekly Tracker'!$O$2:$O$766&lt;&gt;""),'Weekly Tracker'!$O$2:$O$766),"")</f>
        <v/>
      </c>
    </row>
    <row r="376">
      <c r="A376" s="9" t="inlineStr">
        <is>
          <t>Arulanatham-Hit Urja</t>
        </is>
      </c>
      <c r="B376" s="9" t="inlineStr">
        <is>
          <t>9655348842</t>
        </is>
      </c>
      <c r="C376" s="9" t="n"/>
      <c r="D376" s="9" t="n"/>
      <c r="E376" s="9" t="n"/>
      <c r="F376" s="9">
        <f>IFERROR(LOOKUP(2,1/('Weekly Tracker'!$E$2:$E$766=$A376)/('Weekly Tracker'!$F$2:$F$766&lt;&gt;""),'Weekly Tracker'!$F$2:$F$766),"")</f>
        <v/>
      </c>
      <c r="G376" s="16">
        <f>IF(F376&lt;&gt;"",LOOKUP(2,1/('Weekly Tracker'!$E$2:$E$766=$A376)/('Weekly Tracker'!$F$2:$F$766&lt;&gt;""),'Weekly Tracker'!$G$2:$G$766),"")</f>
        <v/>
      </c>
      <c r="H376" s="9">
        <f>IFERROR(LOOKUP(2,1/('Weekly Tracker'!$E$2:$E$766=$A376)/('Weekly Tracker'!$H$2:$H$766&lt;&gt;""),'Weekly Tracker'!$H$2:$H$766),"")</f>
        <v/>
      </c>
      <c r="I376" s="16">
        <f>IF(H376&lt;&gt;"",LOOKUP(2,1/('Weekly Tracker'!$E$2:$E$766=$A376)/('Weekly Tracker'!$H$2:$H$766&lt;&gt;""),'Weekly Tracker'!$I$2:$I$766),"")</f>
        <v/>
      </c>
      <c r="J376" s="9">
        <f>IFERROR(LOOKUP(2,1/('Weekly Tracker'!$E$2:$E$766=$A376)/('Weekly Tracker'!$J$2:$J$766&lt;&gt;""),'Weekly Tracker'!$J$2:$J$766),"")</f>
        <v/>
      </c>
      <c r="K376" s="9">
        <f>IFERROR(LOOKUP(2,1/('Weekly Tracker'!$E$2:$E$766=$A376)/('Weekly Tracker'!$N$2:$N$766&lt;&gt;""),'Weekly Tracker'!$N$2:$N$766),"")</f>
        <v/>
      </c>
      <c r="L376" s="9">
        <f>IFERROR(LOOKUP(2,1/('Weekly Tracker'!$E$2:$E$766=$A376)/('Weekly Tracker'!$O$2:$O$766&lt;&gt;""),'Weekly Tracker'!$O$2:$O$766),"")</f>
        <v/>
      </c>
    </row>
    <row r="377">
      <c r="A377" s="9" t="inlineStr">
        <is>
          <t>Narendar Sharma Urja</t>
        </is>
      </c>
      <c r="B377" s="9" t="inlineStr">
        <is>
          <t>918148766367</t>
        </is>
      </c>
      <c r="C377" s="9" t="n"/>
      <c r="D377" s="9" t="n"/>
      <c r="E377" s="9" t="n"/>
      <c r="F377" s="9">
        <f>IFERROR(LOOKUP(2,1/('Weekly Tracker'!$E$2:$E$766=$A377)/('Weekly Tracker'!$F$2:$F$766&lt;&gt;""),'Weekly Tracker'!$F$2:$F$766),"")</f>
        <v/>
      </c>
      <c r="G377" s="16">
        <f>IF(F377&lt;&gt;"",LOOKUP(2,1/('Weekly Tracker'!$E$2:$E$766=$A377)/('Weekly Tracker'!$F$2:$F$766&lt;&gt;""),'Weekly Tracker'!$G$2:$G$766),"")</f>
        <v/>
      </c>
      <c r="H377" s="9">
        <f>IFERROR(LOOKUP(2,1/('Weekly Tracker'!$E$2:$E$766=$A377)/('Weekly Tracker'!$H$2:$H$766&lt;&gt;""),'Weekly Tracker'!$H$2:$H$766),"")</f>
        <v/>
      </c>
      <c r="I377" s="16">
        <f>IF(H377&lt;&gt;"",LOOKUP(2,1/('Weekly Tracker'!$E$2:$E$766=$A377)/('Weekly Tracker'!$H$2:$H$766&lt;&gt;""),'Weekly Tracker'!$I$2:$I$766),"")</f>
        <v/>
      </c>
      <c r="J377" s="9">
        <f>IFERROR(LOOKUP(2,1/('Weekly Tracker'!$E$2:$E$766=$A377)/('Weekly Tracker'!$J$2:$J$766&lt;&gt;""),'Weekly Tracker'!$J$2:$J$766),"")</f>
        <v/>
      </c>
      <c r="K377" s="9">
        <f>IFERROR(LOOKUP(2,1/('Weekly Tracker'!$E$2:$E$766=$A377)/('Weekly Tracker'!$N$2:$N$766&lt;&gt;""),'Weekly Tracker'!$N$2:$N$766),"")</f>
        <v/>
      </c>
      <c r="L377" s="9">
        <f>IFERROR(LOOKUP(2,1/('Weekly Tracker'!$E$2:$E$766=$A377)/('Weekly Tracker'!$O$2:$O$766&lt;&gt;""),'Weekly Tracker'!$O$2:$O$766),"")</f>
        <v/>
      </c>
    </row>
    <row r="378">
      <c r="A378" s="9" t="inlineStr">
        <is>
          <t>Ram IpickService</t>
        </is>
      </c>
      <c r="B378" s="9" t="inlineStr">
        <is>
          <t>+91 70109 65573</t>
        </is>
      </c>
      <c r="C378" s="9" t="n"/>
      <c r="D378" s="9" t="n"/>
      <c r="E378" s="9" t="n"/>
      <c r="F378" s="9">
        <f>IFERROR(LOOKUP(2,1/('Weekly Tracker'!$E$2:$E$766=$A378)/('Weekly Tracker'!$F$2:$F$766&lt;&gt;""),'Weekly Tracker'!$F$2:$F$766),"")</f>
        <v/>
      </c>
      <c r="G378" s="16">
        <f>IF(F378&lt;&gt;"",LOOKUP(2,1/('Weekly Tracker'!$E$2:$E$766=$A378)/('Weekly Tracker'!$F$2:$F$766&lt;&gt;""),'Weekly Tracker'!$G$2:$G$766),"")</f>
        <v/>
      </c>
      <c r="H378" s="9">
        <f>IFERROR(LOOKUP(2,1/('Weekly Tracker'!$E$2:$E$766=$A378)/('Weekly Tracker'!$H$2:$H$766&lt;&gt;""),'Weekly Tracker'!$H$2:$H$766),"")</f>
        <v/>
      </c>
      <c r="I378" s="16">
        <f>IF(H378&lt;&gt;"",LOOKUP(2,1/('Weekly Tracker'!$E$2:$E$766=$A378)/('Weekly Tracker'!$H$2:$H$766&lt;&gt;""),'Weekly Tracker'!$I$2:$I$766),"")</f>
        <v/>
      </c>
      <c r="J378" s="9">
        <f>IFERROR(LOOKUP(2,1/('Weekly Tracker'!$E$2:$E$766=$A378)/('Weekly Tracker'!$J$2:$J$766&lt;&gt;""),'Weekly Tracker'!$J$2:$J$766),"")</f>
        <v/>
      </c>
      <c r="K378" s="9">
        <f>IFERROR(LOOKUP(2,1/('Weekly Tracker'!$E$2:$E$766=$A378)/('Weekly Tracker'!$N$2:$N$766&lt;&gt;""),'Weekly Tracker'!$N$2:$N$766),"")</f>
        <v/>
      </c>
      <c r="L378" s="9">
        <f>IFERROR(LOOKUP(2,1/('Weekly Tracker'!$E$2:$E$766=$A378)/('Weekly Tracker'!$O$2:$O$766&lt;&gt;""),'Weekly Tracker'!$O$2:$O$766),"")</f>
        <v/>
      </c>
    </row>
    <row r="379">
      <c r="A379" s="9" t="inlineStr">
        <is>
          <t>SivaRanjini Hdfc life</t>
        </is>
      </c>
      <c r="B379" s="9" t="inlineStr">
        <is>
          <t>918148101312</t>
        </is>
      </c>
      <c r="C379" s="9" t="n"/>
      <c r="D379" s="9" t="n"/>
      <c r="E379" s="9" t="n"/>
      <c r="F379" s="9">
        <f>IFERROR(LOOKUP(2,1/('Weekly Tracker'!$E$2:$E$766=$A379)/('Weekly Tracker'!$F$2:$F$766&lt;&gt;""),'Weekly Tracker'!$F$2:$F$766),"")</f>
        <v/>
      </c>
      <c r="G379" s="16">
        <f>IF(F379&lt;&gt;"",LOOKUP(2,1/('Weekly Tracker'!$E$2:$E$766=$A379)/('Weekly Tracker'!$F$2:$F$766&lt;&gt;""),'Weekly Tracker'!$G$2:$G$766),"")</f>
        <v/>
      </c>
      <c r="H379" s="9">
        <f>IFERROR(LOOKUP(2,1/('Weekly Tracker'!$E$2:$E$766=$A379)/('Weekly Tracker'!$H$2:$H$766&lt;&gt;""),'Weekly Tracker'!$H$2:$H$766),"")</f>
        <v/>
      </c>
      <c r="I379" s="16">
        <f>IF(H379&lt;&gt;"",LOOKUP(2,1/('Weekly Tracker'!$E$2:$E$766=$A379)/('Weekly Tracker'!$H$2:$H$766&lt;&gt;""),'Weekly Tracker'!$I$2:$I$766),"")</f>
        <v/>
      </c>
      <c r="J379" s="9">
        <f>IFERROR(LOOKUP(2,1/('Weekly Tracker'!$E$2:$E$766=$A379)/('Weekly Tracker'!$J$2:$J$766&lt;&gt;""),'Weekly Tracker'!$J$2:$J$766),"")</f>
        <v/>
      </c>
      <c r="K379" s="9">
        <f>IFERROR(LOOKUP(2,1/('Weekly Tracker'!$E$2:$E$766=$A379)/('Weekly Tracker'!$N$2:$N$766&lt;&gt;""),'Weekly Tracker'!$N$2:$N$766),"")</f>
        <v/>
      </c>
      <c r="L379" s="9">
        <f>IFERROR(LOOKUP(2,1/('Weekly Tracker'!$E$2:$E$766=$A379)/('Weekly Tracker'!$O$2:$O$766&lt;&gt;""),'Weekly Tracker'!$O$2:$O$766),"")</f>
        <v/>
      </c>
    </row>
    <row r="380">
      <c r="A380" s="9" t="inlineStr">
        <is>
          <t>Naveen Kumar S Temple</t>
        </is>
      </c>
      <c r="B380" s="9" t="inlineStr">
        <is>
          <t>918489006555, 918608730644</t>
        </is>
      </c>
      <c r="C380" s="9" t="n"/>
      <c r="D380" s="9" t="n"/>
      <c r="E380" s="9" t="n"/>
      <c r="F380" s="9">
        <f>IFERROR(LOOKUP(2,1/('Weekly Tracker'!$E$2:$E$766=$A380)/('Weekly Tracker'!$F$2:$F$766&lt;&gt;""),'Weekly Tracker'!$F$2:$F$766),"")</f>
        <v/>
      </c>
      <c r="G380" s="16">
        <f>IF(F380&lt;&gt;"",LOOKUP(2,1/('Weekly Tracker'!$E$2:$E$766=$A380)/('Weekly Tracker'!$F$2:$F$766&lt;&gt;""),'Weekly Tracker'!$G$2:$G$766),"")</f>
        <v/>
      </c>
      <c r="H380" s="9">
        <f>IFERROR(LOOKUP(2,1/('Weekly Tracker'!$E$2:$E$766=$A380)/('Weekly Tracker'!$H$2:$H$766&lt;&gt;""),'Weekly Tracker'!$H$2:$H$766),"")</f>
        <v/>
      </c>
      <c r="I380" s="16">
        <f>IF(H380&lt;&gt;"",LOOKUP(2,1/('Weekly Tracker'!$E$2:$E$766=$A380)/('Weekly Tracker'!$H$2:$H$766&lt;&gt;""),'Weekly Tracker'!$I$2:$I$766),"")</f>
        <v/>
      </c>
      <c r="J380" s="9">
        <f>IFERROR(LOOKUP(2,1/('Weekly Tracker'!$E$2:$E$766=$A380)/('Weekly Tracker'!$J$2:$J$766&lt;&gt;""),'Weekly Tracker'!$J$2:$J$766),"")</f>
        <v/>
      </c>
      <c r="K380" s="9">
        <f>IFERROR(LOOKUP(2,1/('Weekly Tracker'!$E$2:$E$766=$A380)/('Weekly Tracker'!$N$2:$N$766&lt;&gt;""),'Weekly Tracker'!$N$2:$N$766),"")</f>
        <v/>
      </c>
      <c r="L380" s="9">
        <f>IFERROR(LOOKUP(2,1/('Weekly Tracker'!$E$2:$E$766=$A380)/('Weekly Tracker'!$O$2:$O$766&lt;&gt;""),'Weekly Tracker'!$O$2:$O$766),"")</f>
        <v/>
      </c>
    </row>
    <row r="381">
      <c r="A381" s="9" t="inlineStr">
        <is>
          <t>Deepak Naren QS</t>
        </is>
      </c>
      <c r="B381" s="9" t="inlineStr">
        <is>
          <t>9962605120</t>
        </is>
      </c>
      <c r="C381" s="9" t="n"/>
      <c r="D381" s="9" t="n"/>
      <c r="E381" s="9" t="n"/>
      <c r="F381" s="9">
        <f>IFERROR(LOOKUP(2,1/('Weekly Tracker'!$E$2:$E$766=$A381)/('Weekly Tracker'!$F$2:$F$766&lt;&gt;""),'Weekly Tracker'!$F$2:$F$766),"")</f>
        <v/>
      </c>
      <c r="G381" s="16">
        <f>IF(F381&lt;&gt;"",LOOKUP(2,1/('Weekly Tracker'!$E$2:$E$766=$A381)/('Weekly Tracker'!$F$2:$F$766&lt;&gt;""),'Weekly Tracker'!$G$2:$G$766),"")</f>
        <v/>
      </c>
      <c r="H381" s="9">
        <f>IFERROR(LOOKUP(2,1/('Weekly Tracker'!$E$2:$E$766=$A381)/('Weekly Tracker'!$H$2:$H$766&lt;&gt;""),'Weekly Tracker'!$H$2:$H$766),"")</f>
        <v/>
      </c>
      <c r="I381" s="16">
        <f>IF(H381&lt;&gt;"",LOOKUP(2,1/('Weekly Tracker'!$E$2:$E$766=$A381)/('Weekly Tracker'!$H$2:$H$766&lt;&gt;""),'Weekly Tracker'!$I$2:$I$766),"")</f>
        <v/>
      </c>
      <c r="J381" s="9">
        <f>IFERROR(LOOKUP(2,1/('Weekly Tracker'!$E$2:$E$766=$A381)/('Weekly Tracker'!$J$2:$J$766&lt;&gt;""),'Weekly Tracker'!$J$2:$J$766),"")</f>
        <v/>
      </c>
      <c r="K381" s="9">
        <f>IFERROR(LOOKUP(2,1/('Weekly Tracker'!$E$2:$E$766=$A381)/('Weekly Tracker'!$N$2:$N$766&lt;&gt;""),'Weekly Tracker'!$N$2:$N$766),"")</f>
        <v/>
      </c>
      <c r="L381" s="9">
        <f>IFERROR(LOOKUP(2,1/('Weekly Tracker'!$E$2:$E$766=$A381)/('Weekly Tracker'!$O$2:$O$766&lt;&gt;""),'Weekly Tracker'!$O$2:$O$766),"")</f>
        <v/>
      </c>
    </row>
    <row r="382">
      <c r="A382" s="9" t="inlineStr">
        <is>
          <t>Junaith Mohammad</t>
        </is>
      </c>
      <c r="B382" s="9" t="inlineStr">
        <is>
          <t>6380025157, 8122781997</t>
        </is>
      </c>
      <c r="C382" s="9" t="n"/>
      <c r="D382" s="9" t="n"/>
      <c r="E382" s="9" t="n"/>
      <c r="F382" s="9">
        <f>IFERROR(LOOKUP(2,1/('Weekly Tracker'!$E$2:$E$766=$A382)/('Weekly Tracker'!$F$2:$F$766&lt;&gt;""),'Weekly Tracker'!$F$2:$F$766),"")</f>
        <v/>
      </c>
      <c r="G382" s="16">
        <f>IF(F382&lt;&gt;"",LOOKUP(2,1/('Weekly Tracker'!$E$2:$E$766=$A382)/('Weekly Tracker'!$F$2:$F$766&lt;&gt;""),'Weekly Tracker'!$G$2:$G$766),"")</f>
        <v/>
      </c>
      <c r="H382" s="9">
        <f>IFERROR(LOOKUP(2,1/('Weekly Tracker'!$E$2:$E$766=$A382)/('Weekly Tracker'!$H$2:$H$766&lt;&gt;""),'Weekly Tracker'!$H$2:$H$766),"")</f>
        <v/>
      </c>
      <c r="I382" s="16">
        <f>IF(H382&lt;&gt;"",LOOKUP(2,1/('Weekly Tracker'!$E$2:$E$766=$A382)/('Weekly Tracker'!$H$2:$H$766&lt;&gt;""),'Weekly Tracker'!$I$2:$I$766),"")</f>
        <v/>
      </c>
      <c r="J382" s="9">
        <f>IFERROR(LOOKUP(2,1/('Weekly Tracker'!$E$2:$E$766=$A382)/('Weekly Tracker'!$J$2:$J$766&lt;&gt;""),'Weekly Tracker'!$J$2:$J$766),"")</f>
        <v/>
      </c>
      <c r="K382" s="9">
        <f>IFERROR(LOOKUP(2,1/('Weekly Tracker'!$E$2:$E$766=$A382)/('Weekly Tracker'!$N$2:$N$766&lt;&gt;""),'Weekly Tracker'!$N$2:$N$766),"")</f>
        <v/>
      </c>
      <c r="L382" s="9">
        <f>IFERROR(LOOKUP(2,1/('Weekly Tracker'!$E$2:$E$766=$A382)/('Weekly Tracker'!$O$2:$O$766&lt;&gt;""),'Weekly Tracker'!$O$2:$O$766),"")</f>
        <v/>
      </c>
    </row>
    <row r="383">
      <c r="A383" s="9" t="inlineStr">
        <is>
          <t>Azhar Mohamad</t>
        </is>
      </c>
      <c r="B383" s="9" t="inlineStr">
        <is>
          <t>96555579730</t>
        </is>
      </c>
      <c r="C383" s="9" t="n"/>
      <c r="D383" s="9" t="n"/>
      <c r="E383" s="9" t="n"/>
      <c r="F383" s="9">
        <f>IFERROR(LOOKUP(2,1/('Weekly Tracker'!$E$2:$E$766=$A383)/('Weekly Tracker'!$F$2:$F$766&lt;&gt;""),'Weekly Tracker'!$F$2:$F$766),"")</f>
        <v/>
      </c>
      <c r="G383" s="16">
        <f>IF(F383&lt;&gt;"",LOOKUP(2,1/('Weekly Tracker'!$E$2:$E$766=$A383)/('Weekly Tracker'!$F$2:$F$766&lt;&gt;""),'Weekly Tracker'!$G$2:$G$766),"")</f>
        <v/>
      </c>
      <c r="H383" s="9">
        <f>IFERROR(LOOKUP(2,1/('Weekly Tracker'!$E$2:$E$766=$A383)/('Weekly Tracker'!$H$2:$H$766&lt;&gt;""),'Weekly Tracker'!$H$2:$H$766),"")</f>
        <v/>
      </c>
      <c r="I383" s="16">
        <f>IF(H383&lt;&gt;"",LOOKUP(2,1/('Weekly Tracker'!$E$2:$E$766=$A383)/('Weekly Tracker'!$H$2:$H$766&lt;&gt;""),'Weekly Tracker'!$I$2:$I$766),"")</f>
        <v/>
      </c>
      <c r="J383" s="9">
        <f>IFERROR(LOOKUP(2,1/('Weekly Tracker'!$E$2:$E$766=$A383)/('Weekly Tracker'!$J$2:$J$766&lt;&gt;""),'Weekly Tracker'!$J$2:$J$766),"")</f>
        <v/>
      </c>
      <c r="K383" s="9">
        <f>IFERROR(LOOKUP(2,1/('Weekly Tracker'!$E$2:$E$766=$A383)/('Weekly Tracker'!$N$2:$N$766&lt;&gt;""),'Weekly Tracker'!$N$2:$N$766),"")</f>
        <v/>
      </c>
      <c r="L383" s="9">
        <f>IFERROR(LOOKUP(2,1/('Weekly Tracker'!$E$2:$E$766=$A383)/('Weekly Tracker'!$O$2:$O$766&lt;&gt;""),'Weekly Tracker'!$O$2:$O$766),"")</f>
        <v/>
      </c>
    </row>
    <row r="384">
      <c r="A384" s="9" t="inlineStr">
        <is>
          <t>Parani Dharan Grp Ucen</t>
        </is>
      </c>
      <c r="B384" s="9" t="inlineStr">
        <is>
          <t>917373183675</t>
        </is>
      </c>
      <c r="C384" s="9" t="n"/>
      <c r="D384" s="9" t="n"/>
      <c r="E384" s="9" t="n"/>
      <c r="F384" s="9">
        <f>IFERROR(LOOKUP(2,1/('Weekly Tracker'!$E$2:$E$766=$A384)/('Weekly Tracker'!$F$2:$F$766&lt;&gt;""),'Weekly Tracker'!$F$2:$F$766),"")</f>
        <v/>
      </c>
      <c r="G384" s="16">
        <f>IF(F384&lt;&gt;"",LOOKUP(2,1/('Weekly Tracker'!$E$2:$E$766=$A384)/('Weekly Tracker'!$F$2:$F$766&lt;&gt;""),'Weekly Tracker'!$G$2:$G$766),"")</f>
        <v/>
      </c>
      <c r="H384" s="9">
        <f>IFERROR(LOOKUP(2,1/('Weekly Tracker'!$E$2:$E$766=$A384)/('Weekly Tracker'!$H$2:$H$766&lt;&gt;""),'Weekly Tracker'!$H$2:$H$766),"")</f>
        <v/>
      </c>
      <c r="I384" s="16">
        <f>IF(H384&lt;&gt;"",LOOKUP(2,1/('Weekly Tracker'!$E$2:$E$766=$A384)/('Weekly Tracker'!$H$2:$H$766&lt;&gt;""),'Weekly Tracker'!$I$2:$I$766),"")</f>
        <v/>
      </c>
      <c r="J384" s="9">
        <f>IFERROR(LOOKUP(2,1/('Weekly Tracker'!$E$2:$E$766=$A384)/('Weekly Tracker'!$J$2:$J$766&lt;&gt;""),'Weekly Tracker'!$J$2:$J$766),"")</f>
        <v/>
      </c>
      <c r="K384" s="9">
        <f>IFERROR(LOOKUP(2,1/('Weekly Tracker'!$E$2:$E$766=$A384)/('Weekly Tracker'!$N$2:$N$766&lt;&gt;""),'Weekly Tracker'!$N$2:$N$766),"")</f>
        <v/>
      </c>
      <c r="L384" s="9">
        <f>IFERROR(LOOKUP(2,1/('Weekly Tracker'!$E$2:$E$766=$A384)/('Weekly Tracker'!$O$2:$O$766&lt;&gt;""),'Weekly Tracker'!$O$2:$O$766),"")</f>
        <v/>
      </c>
    </row>
    <row r="385">
      <c r="A385" s="9" t="inlineStr">
        <is>
          <t>Aravind Sha FB</t>
        </is>
      </c>
      <c r="B385" s="9" t="inlineStr">
        <is>
          <t>919360342201</t>
        </is>
      </c>
      <c r="C385" s="9" t="n"/>
      <c r="D385" s="9" t="n"/>
      <c r="E385" s="9" t="n"/>
      <c r="F385" s="9">
        <f>IFERROR(LOOKUP(2,1/('Weekly Tracker'!$E$2:$E$766=$A385)/('Weekly Tracker'!$F$2:$F$766&lt;&gt;""),'Weekly Tracker'!$F$2:$F$766),"")</f>
        <v/>
      </c>
      <c r="G385" s="16">
        <f>IF(F385&lt;&gt;"",LOOKUP(2,1/('Weekly Tracker'!$E$2:$E$766=$A385)/('Weekly Tracker'!$F$2:$F$766&lt;&gt;""),'Weekly Tracker'!$G$2:$G$766),"")</f>
        <v/>
      </c>
      <c r="H385" s="9">
        <f>IFERROR(LOOKUP(2,1/('Weekly Tracker'!$E$2:$E$766=$A385)/('Weekly Tracker'!$H$2:$H$766&lt;&gt;""),'Weekly Tracker'!$H$2:$H$766),"")</f>
        <v/>
      </c>
      <c r="I385" s="16">
        <f>IF(H385&lt;&gt;"",LOOKUP(2,1/('Weekly Tracker'!$E$2:$E$766=$A385)/('Weekly Tracker'!$H$2:$H$766&lt;&gt;""),'Weekly Tracker'!$I$2:$I$766),"")</f>
        <v/>
      </c>
      <c r="J385" s="9">
        <f>IFERROR(LOOKUP(2,1/('Weekly Tracker'!$E$2:$E$766=$A385)/('Weekly Tracker'!$J$2:$J$766&lt;&gt;""),'Weekly Tracker'!$J$2:$J$766),"")</f>
        <v/>
      </c>
      <c r="K385" s="9">
        <f>IFERROR(LOOKUP(2,1/('Weekly Tracker'!$E$2:$E$766=$A385)/('Weekly Tracker'!$N$2:$N$766&lt;&gt;""),'Weekly Tracker'!$N$2:$N$766),"")</f>
        <v/>
      </c>
      <c r="L385" s="9">
        <f>IFERROR(LOOKUP(2,1/('Weekly Tracker'!$E$2:$E$766=$A385)/('Weekly Tracker'!$O$2:$O$766&lt;&gt;""),'Weekly Tracker'!$O$2:$O$766),"")</f>
        <v/>
      </c>
    </row>
    <row r="386">
      <c r="A386" s="9" t="inlineStr">
        <is>
          <t>Hussin Cab pak Dubai</t>
        </is>
      </c>
      <c r="B386" s="9" t="inlineStr">
        <is>
          <t>971567323592</t>
        </is>
      </c>
      <c r="C386" s="9" t="n"/>
      <c r="D386" s="9" t="n"/>
      <c r="E386" s="9" t="n"/>
      <c r="F386" s="9">
        <f>IFERROR(LOOKUP(2,1/('Weekly Tracker'!$E$2:$E$766=$A386)/('Weekly Tracker'!$F$2:$F$766&lt;&gt;""),'Weekly Tracker'!$F$2:$F$766),"")</f>
        <v/>
      </c>
      <c r="G386" s="16">
        <f>IF(F386&lt;&gt;"",LOOKUP(2,1/('Weekly Tracker'!$E$2:$E$766=$A386)/('Weekly Tracker'!$F$2:$F$766&lt;&gt;""),'Weekly Tracker'!$G$2:$G$766),"")</f>
        <v/>
      </c>
      <c r="H386" s="9">
        <f>IFERROR(LOOKUP(2,1/('Weekly Tracker'!$E$2:$E$766=$A386)/('Weekly Tracker'!$H$2:$H$766&lt;&gt;""),'Weekly Tracker'!$H$2:$H$766),"")</f>
        <v/>
      </c>
      <c r="I386" s="16">
        <f>IF(H386&lt;&gt;"",LOOKUP(2,1/('Weekly Tracker'!$E$2:$E$766=$A386)/('Weekly Tracker'!$H$2:$H$766&lt;&gt;""),'Weekly Tracker'!$I$2:$I$766),"")</f>
        <v/>
      </c>
      <c r="J386" s="9">
        <f>IFERROR(LOOKUP(2,1/('Weekly Tracker'!$E$2:$E$766=$A386)/('Weekly Tracker'!$J$2:$J$766&lt;&gt;""),'Weekly Tracker'!$J$2:$J$766),"")</f>
        <v/>
      </c>
      <c r="K386" s="9">
        <f>IFERROR(LOOKUP(2,1/('Weekly Tracker'!$E$2:$E$766=$A386)/('Weekly Tracker'!$N$2:$N$766&lt;&gt;""),'Weekly Tracker'!$N$2:$N$766),"")</f>
        <v/>
      </c>
      <c r="L386" s="9">
        <f>IFERROR(LOOKUP(2,1/('Weekly Tracker'!$E$2:$E$766=$A386)/('Weekly Tracker'!$O$2:$O$766&lt;&gt;""),'Weekly Tracker'!$O$2:$O$766),"")</f>
        <v/>
      </c>
    </row>
    <row r="387">
      <c r="A387" s="9" t="inlineStr">
        <is>
          <t>Sameer Rio Ucen Grp</t>
        </is>
      </c>
      <c r="B387" s="9" t="inlineStr">
        <is>
          <t>919944056963</t>
        </is>
      </c>
      <c r="C387" s="9" t="n"/>
      <c r="D387" s="9" t="n"/>
      <c r="E387" s="9" t="n"/>
      <c r="F387" s="9">
        <f>IFERROR(LOOKUP(2,1/('Weekly Tracker'!$E$2:$E$766=$A387)/('Weekly Tracker'!$F$2:$F$766&lt;&gt;""),'Weekly Tracker'!$F$2:$F$766),"")</f>
        <v/>
      </c>
      <c r="G387" s="16">
        <f>IF(F387&lt;&gt;"",LOOKUP(2,1/('Weekly Tracker'!$E$2:$E$766=$A387)/('Weekly Tracker'!$F$2:$F$766&lt;&gt;""),'Weekly Tracker'!$G$2:$G$766),"")</f>
        <v/>
      </c>
      <c r="H387" s="9">
        <f>IFERROR(LOOKUP(2,1/('Weekly Tracker'!$E$2:$E$766=$A387)/('Weekly Tracker'!$H$2:$H$766&lt;&gt;""),'Weekly Tracker'!$H$2:$H$766),"")</f>
        <v/>
      </c>
      <c r="I387" s="16">
        <f>IF(H387&lt;&gt;"",LOOKUP(2,1/('Weekly Tracker'!$E$2:$E$766=$A387)/('Weekly Tracker'!$H$2:$H$766&lt;&gt;""),'Weekly Tracker'!$I$2:$I$766),"")</f>
        <v/>
      </c>
      <c r="J387" s="9">
        <f>IFERROR(LOOKUP(2,1/('Weekly Tracker'!$E$2:$E$766=$A387)/('Weekly Tracker'!$J$2:$J$766&lt;&gt;""),'Weekly Tracker'!$J$2:$J$766),"")</f>
        <v/>
      </c>
      <c r="K387" s="9">
        <f>IFERROR(LOOKUP(2,1/('Weekly Tracker'!$E$2:$E$766=$A387)/('Weekly Tracker'!$N$2:$N$766&lt;&gt;""),'Weekly Tracker'!$N$2:$N$766),"")</f>
        <v/>
      </c>
      <c r="L387" s="9">
        <f>IFERROR(LOOKUP(2,1/('Weekly Tracker'!$E$2:$E$766=$A387)/('Weekly Tracker'!$O$2:$O$766&lt;&gt;""),'Weekly Tracker'!$O$2:$O$766),"")</f>
        <v/>
      </c>
    </row>
    <row r="388">
      <c r="A388" s="9" t="inlineStr">
        <is>
          <t>Mariappan Sank scl</t>
        </is>
      </c>
      <c r="B388" s="9" t="inlineStr">
        <is>
          <t>917708287529</t>
        </is>
      </c>
      <c r="C388" s="9" t="n"/>
      <c r="D388" s="9" t="n"/>
      <c r="E388" s="9" t="n"/>
      <c r="F388" s="9">
        <f>IFERROR(LOOKUP(2,1/('Weekly Tracker'!$E$2:$E$766=$A388)/('Weekly Tracker'!$F$2:$F$766&lt;&gt;""),'Weekly Tracker'!$F$2:$F$766),"")</f>
        <v/>
      </c>
      <c r="G388" s="16">
        <f>IF(F388&lt;&gt;"",LOOKUP(2,1/('Weekly Tracker'!$E$2:$E$766=$A388)/('Weekly Tracker'!$F$2:$F$766&lt;&gt;""),'Weekly Tracker'!$G$2:$G$766),"")</f>
        <v/>
      </c>
      <c r="H388" s="9">
        <f>IFERROR(LOOKUP(2,1/('Weekly Tracker'!$E$2:$E$766=$A388)/('Weekly Tracker'!$H$2:$H$766&lt;&gt;""),'Weekly Tracker'!$H$2:$H$766),"")</f>
        <v/>
      </c>
      <c r="I388" s="16">
        <f>IF(H388&lt;&gt;"",LOOKUP(2,1/('Weekly Tracker'!$E$2:$E$766=$A388)/('Weekly Tracker'!$H$2:$H$766&lt;&gt;""),'Weekly Tracker'!$I$2:$I$766),"")</f>
        <v/>
      </c>
      <c r="J388" s="9">
        <f>IFERROR(LOOKUP(2,1/('Weekly Tracker'!$E$2:$E$766=$A388)/('Weekly Tracker'!$J$2:$J$766&lt;&gt;""),'Weekly Tracker'!$J$2:$J$766),"")</f>
        <v/>
      </c>
      <c r="K388" s="9">
        <f>IFERROR(LOOKUP(2,1/('Weekly Tracker'!$E$2:$E$766=$A388)/('Weekly Tracker'!$N$2:$N$766&lt;&gt;""),'Weekly Tracker'!$N$2:$N$766),"")</f>
        <v/>
      </c>
      <c r="L388" s="9">
        <f>IFERROR(LOOKUP(2,1/('Weekly Tracker'!$E$2:$E$766=$A388)/('Weekly Tracker'!$O$2:$O$766&lt;&gt;""),'Weekly Tracker'!$O$2:$O$766),"")</f>
        <v/>
      </c>
    </row>
    <row r="389">
      <c r="A389" s="9" t="inlineStr">
        <is>
          <t>Subramaniyan Finance Service</t>
        </is>
      </c>
      <c r="B389" s="9" t="inlineStr">
        <is>
          <t>9841578587</t>
        </is>
      </c>
      <c r="C389" s="9" t="n"/>
      <c r="D389" s="9" t="n"/>
      <c r="E389" s="9" t="n"/>
      <c r="F389" s="9">
        <f>IFERROR(LOOKUP(2,1/('Weekly Tracker'!$E$2:$E$766=$A389)/('Weekly Tracker'!$F$2:$F$766&lt;&gt;""),'Weekly Tracker'!$F$2:$F$766),"")</f>
        <v/>
      </c>
      <c r="G389" s="16">
        <f>IF(F389&lt;&gt;"",LOOKUP(2,1/('Weekly Tracker'!$E$2:$E$766=$A389)/('Weekly Tracker'!$F$2:$F$766&lt;&gt;""),'Weekly Tracker'!$G$2:$G$766),"")</f>
        <v/>
      </c>
      <c r="H389" s="9">
        <f>IFERROR(LOOKUP(2,1/('Weekly Tracker'!$E$2:$E$766=$A389)/('Weekly Tracker'!$H$2:$H$766&lt;&gt;""),'Weekly Tracker'!$H$2:$H$766),"")</f>
        <v/>
      </c>
      <c r="I389" s="16">
        <f>IF(H389&lt;&gt;"",LOOKUP(2,1/('Weekly Tracker'!$E$2:$E$766=$A389)/('Weekly Tracker'!$H$2:$H$766&lt;&gt;""),'Weekly Tracker'!$I$2:$I$766),"")</f>
        <v/>
      </c>
      <c r="J389" s="9">
        <f>IFERROR(LOOKUP(2,1/('Weekly Tracker'!$E$2:$E$766=$A389)/('Weekly Tracker'!$J$2:$J$766&lt;&gt;""),'Weekly Tracker'!$J$2:$J$766),"")</f>
        <v/>
      </c>
      <c r="K389" s="9">
        <f>IFERROR(LOOKUP(2,1/('Weekly Tracker'!$E$2:$E$766=$A389)/('Weekly Tracker'!$N$2:$N$766&lt;&gt;""),'Weekly Tracker'!$N$2:$N$766),"")</f>
        <v/>
      </c>
      <c r="L389" s="9">
        <f>IFERROR(LOOKUP(2,1/('Weekly Tracker'!$E$2:$E$766=$A389)/('Weekly Tracker'!$O$2:$O$766&lt;&gt;""),'Weekly Tracker'!$O$2:$O$766),"")</f>
        <v/>
      </c>
    </row>
    <row r="390">
      <c r="A390" s="9" t="inlineStr">
        <is>
          <t>Aravind Junior Grp</t>
        </is>
      </c>
      <c r="B390" s="9" t="inlineStr">
        <is>
          <t>917845351569</t>
        </is>
      </c>
      <c r="C390" s="9" t="n"/>
      <c r="D390" s="9" t="n"/>
      <c r="E390" s="9" t="n"/>
      <c r="F390" s="9">
        <f>IFERROR(LOOKUP(2,1/('Weekly Tracker'!$E$2:$E$766=$A390)/('Weekly Tracker'!$F$2:$F$766&lt;&gt;""),'Weekly Tracker'!$F$2:$F$766),"")</f>
        <v/>
      </c>
      <c r="G390" s="16">
        <f>IF(F390&lt;&gt;"",LOOKUP(2,1/('Weekly Tracker'!$E$2:$E$766=$A390)/('Weekly Tracker'!$F$2:$F$766&lt;&gt;""),'Weekly Tracker'!$G$2:$G$766),"")</f>
        <v/>
      </c>
      <c r="H390" s="9">
        <f>IFERROR(LOOKUP(2,1/('Weekly Tracker'!$E$2:$E$766=$A390)/('Weekly Tracker'!$H$2:$H$766&lt;&gt;""),'Weekly Tracker'!$H$2:$H$766),"")</f>
        <v/>
      </c>
      <c r="I390" s="16">
        <f>IF(H390&lt;&gt;"",LOOKUP(2,1/('Weekly Tracker'!$E$2:$E$766=$A390)/('Weekly Tracker'!$H$2:$H$766&lt;&gt;""),'Weekly Tracker'!$I$2:$I$766),"")</f>
        <v/>
      </c>
      <c r="J390" s="9">
        <f>IFERROR(LOOKUP(2,1/('Weekly Tracker'!$E$2:$E$766=$A390)/('Weekly Tracker'!$J$2:$J$766&lt;&gt;""),'Weekly Tracker'!$J$2:$J$766),"")</f>
        <v/>
      </c>
      <c r="K390" s="9">
        <f>IFERROR(LOOKUP(2,1/('Weekly Tracker'!$E$2:$E$766=$A390)/('Weekly Tracker'!$N$2:$N$766&lt;&gt;""),'Weekly Tracker'!$N$2:$N$766),"")</f>
        <v/>
      </c>
      <c r="L390" s="9">
        <f>IFERROR(LOOKUP(2,1/('Weekly Tracker'!$E$2:$E$766=$A390)/('Weekly Tracker'!$O$2:$O$766&lt;&gt;""),'Weekly Tracker'!$O$2:$O$766),"")</f>
        <v/>
      </c>
    </row>
    <row r="391">
      <c r="A391" s="9" t="inlineStr">
        <is>
          <t>Ajit Sandhavan(Pradeep) Urja</t>
        </is>
      </c>
      <c r="B391" s="9" t="inlineStr">
        <is>
          <t>8508649215</t>
        </is>
      </c>
      <c r="C391" s="9" t="n"/>
      <c r="D391" s="9" t="n"/>
      <c r="E391" s="9" t="n"/>
      <c r="F391" s="9">
        <f>IFERROR(LOOKUP(2,1/('Weekly Tracker'!$E$2:$E$766=$A391)/('Weekly Tracker'!$F$2:$F$766&lt;&gt;""),'Weekly Tracker'!$F$2:$F$766),"")</f>
        <v/>
      </c>
      <c r="G391" s="16">
        <f>IF(F391&lt;&gt;"",LOOKUP(2,1/('Weekly Tracker'!$E$2:$E$766=$A391)/('Weekly Tracker'!$F$2:$F$766&lt;&gt;""),'Weekly Tracker'!$G$2:$G$766),"")</f>
        <v/>
      </c>
      <c r="H391" s="9">
        <f>IFERROR(LOOKUP(2,1/('Weekly Tracker'!$E$2:$E$766=$A391)/('Weekly Tracker'!$H$2:$H$766&lt;&gt;""),'Weekly Tracker'!$H$2:$H$766),"")</f>
        <v/>
      </c>
      <c r="I391" s="16">
        <f>IF(H391&lt;&gt;"",LOOKUP(2,1/('Weekly Tracker'!$E$2:$E$766=$A391)/('Weekly Tracker'!$H$2:$H$766&lt;&gt;""),'Weekly Tracker'!$I$2:$I$766),"")</f>
        <v/>
      </c>
      <c r="J391" s="9">
        <f>IFERROR(LOOKUP(2,1/('Weekly Tracker'!$E$2:$E$766=$A391)/('Weekly Tracker'!$J$2:$J$766&lt;&gt;""),'Weekly Tracker'!$J$2:$J$766),"")</f>
        <v/>
      </c>
      <c r="K391" s="9">
        <f>IFERROR(LOOKUP(2,1/('Weekly Tracker'!$E$2:$E$766=$A391)/('Weekly Tracker'!$N$2:$N$766&lt;&gt;""),'Weekly Tracker'!$N$2:$N$766),"")</f>
        <v/>
      </c>
      <c r="L391" s="9">
        <f>IFERROR(LOOKUP(2,1/('Weekly Tracker'!$E$2:$E$766=$A391)/('Weekly Tracker'!$O$2:$O$766&lt;&gt;""),'Weekly Tracker'!$O$2:$O$766),"")</f>
        <v/>
      </c>
    </row>
    <row r="392">
      <c r="A392" s="9" t="inlineStr">
        <is>
          <t>Sameer Ahamad FB</t>
        </is>
      </c>
      <c r="B392" s="9" t="inlineStr">
        <is>
          <t>96565659759</t>
        </is>
      </c>
      <c r="C392" s="9" t="n"/>
      <c r="D392" s="9" t="n"/>
      <c r="E392" s="9" t="n"/>
      <c r="F392" s="9">
        <f>IFERROR(LOOKUP(2,1/('Weekly Tracker'!$E$2:$E$766=$A392)/('Weekly Tracker'!$F$2:$F$766&lt;&gt;""),'Weekly Tracker'!$F$2:$F$766),"")</f>
        <v/>
      </c>
      <c r="G392" s="16">
        <f>IF(F392&lt;&gt;"",LOOKUP(2,1/('Weekly Tracker'!$E$2:$E$766=$A392)/('Weekly Tracker'!$F$2:$F$766&lt;&gt;""),'Weekly Tracker'!$G$2:$G$766),"")</f>
        <v/>
      </c>
      <c r="H392" s="9">
        <f>IFERROR(LOOKUP(2,1/('Weekly Tracker'!$E$2:$E$766=$A392)/('Weekly Tracker'!$H$2:$H$766&lt;&gt;""),'Weekly Tracker'!$H$2:$H$766),"")</f>
        <v/>
      </c>
      <c r="I392" s="16">
        <f>IF(H392&lt;&gt;"",LOOKUP(2,1/('Weekly Tracker'!$E$2:$E$766=$A392)/('Weekly Tracker'!$H$2:$H$766&lt;&gt;""),'Weekly Tracker'!$I$2:$I$766),"")</f>
        <v/>
      </c>
      <c r="J392" s="9">
        <f>IFERROR(LOOKUP(2,1/('Weekly Tracker'!$E$2:$E$766=$A392)/('Weekly Tracker'!$J$2:$J$766&lt;&gt;""),'Weekly Tracker'!$J$2:$J$766),"")</f>
        <v/>
      </c>
      <c r="K392" s="9">
        <f>IFERROR(LOOKUP(2,1/('Weekly Tracker'!$E$2:$E$766=$A392)/('Weekly Tracker'!$N$2:$N$766&lt;&gt;""),'Weekly Tracker'!$N$2:$N$766),"")</f>
        <v/>
      </c>
      <c r="L392" s="9">
        <f>IFERROR(LOOKUP(2,1/('Weekly Tracker'!$E$2:$E$766=$A392)/('Weekly Tracker'!$O$2:$O$766&lt;&gt;""),'Weekly Tracker'!$O$2:$O$766),"")</f>
        <v/>
      </c>
    </row>
    <row r="393">
      <c r="A393" s="9" t="inlineStr">
        <is>
          <t>Musthak Rahaman HCL</t>
        </is>
      </c>
      <c r="B393" s="9" t="inlineStr">
        <is>
          <t>6363221947</t>
        </is>
      </c>
      <c r="C393" s="9" t="n"/>
      <c r="D393" s="9" t="n"/>
      <c r="E393" s="9" t="n"/>
      <c r="F393" s="9">
        <f>IFERROR(LOOKUP(2,1/('Weekly Tracker'!$E$2:$E$766=$A393)/('Weekly Tracker'!$F$2:$F$766&lt;&gt;""),'Weekly Tracker'!$F$2:$F$766),"")</f>
        <v/>
      </c>
      <c r="G393" s="16">
        <f>IF(F393&lt;&gt;"",LOOKUP(2,1/('Weekly Tracker'!$E$2:$E$766=$A393)/('Weekly Tracker'!$F$2:$F$766&lt;&gt;""),'Weekly Tracker'!$G$2:$G$766),"")</f>
        <v/>
      </c>
      <c r="H393" s="9">
        <f>IFERROR(LOOKUP(2,1/('Weekly Tracker'!$E$2:$E$766=$A393)/('Weekly Tracker'!$H$2:$H$766&lt;&gt;""),'Weekly Tracker'!$H$2:$H$766),"")</f>
        <v/>
      </c>
      <c r="I393" s="16">
        <f>IF(H393&lt;&gt;"",LOOKUP(2,1/('Weekly Tracker'!$E$2:$E$766=$A393)/('Weekly Tracker'!$H$2:$H$766&lt;&gt;""),'Weekly Tracker'!$I$2:$I$766),"")</f>
        <v/>
      </c>
      <c r="J393" s="9">
        <f>IFERROR(LOOKUP(2,1/('Weekly Tracker'!$E$2:$E$766=$A393)/('Weekly Tracker'!$J$2:$J$766&lt;&gt;""),'Weekly Tracker'!$J$2:$J$766),"")</f>
        <v/>
      </c>
      <c r="K393" s="9">
        <f>IFERROR(LOOKUP(2,1/('Weekly Tracker'!$E$2:$E$766=$A393)/('Weekly Tracker'!$N$2:$N$766&lt;&gt;""),'Weekly Tracker'!$N$2:$N$766),"")</f>
        <v/>
      </c>
      <c r="L393" s="9">
        <f>IFERROR(LOOKUP(2,1/('Weekly Tracker'!$E$2:$E$766=$A393)/('Weekly Tracker'!$O$2:$O$766&lt;&gt;""),'Weekly Tracker'!$O$2:$O$766),"")</f>
        <v/>
      </c>
    </row>
    <row r="394">
      <c r="A394" s="9" t="inlineStr">
        <is>
          <t>Mukesh Kumar QS</t>
        </is>
      </c>
      <c r="B394" s="9" t="inlineStr">
        <is>
          <t>9943577805</t>
        </is>
      </c>
      <c r="C394" s="9" t="n"/>
      <c r="D394" s="9" t="n"/>
      <c r="E394" s="9" t="n"/>
      <c r="F394" s="9">
        <f>IFERROR(LOOKUP(2,1/('Weekly Tracker'!$E$2:$E$766=$A394)/('Weekly Tracker'!$F$2:$F$766&lt;&gt;""),'Weekly Tracker'!$F$2:$F$766),"")</f>
        <v/>
      </c>
      <c r="G394" s="16">
        <f>IF(F394&lt;&gt;"",LOOKUP(2,1/('Weekly Tracker'!$E$2:$E$766=$A394)/('Weekly Tracker'!$F$2:$F$766&lt;&gt;""),'Weekly Tracker'!$G$2:$G$766),"")</f>
        <v/>
      </c>
      <c r="H394" s="9">
        <f>IFERROR(LOOKUP(2,1/('Weekly Tracker'!$E$2:$E$766=$A394)/('Weekly Tracker'!$H$2:$H$766&lt;&gt;""),'Weekly Tracker'!$H$2:$H$766),"")</f>
        <v/>
      </c>
      <c r="I394" s="16">
        <f>IF(H394&lt;&gt;"",LOOKUP(2,1/('Weekly Tracker'!$E$2:$E$766=$A394)/('Weekly Tracker'!$H$2:$H$766&lt;&gt;""),'Weekly Tracker'!$I$2:$I$766),"")</f>
        <v/>
      </c>
      <c r="J394" s="9">
        <f>IFERROR(LOOKUP(2,1/('Weekly Tracker'!$E$2:$E$766=$A394)/('Weekly Tracker'!$J$2:$J$766&lt;&gt;""),'Weekly Tracker'!$J$2:$J$766),"")</f>
        <v/>
      </c>
      <c r="K394" s="9">
        <f>IFERROR(LOOKUP(2,1/('Weekly Tracker'!$E$2:$E$766=$A394)/('Weekly Tracker'!$N$2:$N$766&lt;&gt;""),'Weekly Tracker'!$N$2:$N$766),"")</f>
        <v/>
      </c>
      <c r="L394" s="9">
        <f>IFERROR(LOOKUP(2,1/('Weekly Tracker'!$E$2:$E$766=$A394)/('Weekly Tracker'!$O$2:$O$766&lt;&gt;""),'Weekly Tracker'!$O$2:$O$766),"")</f>
        <v/>
      </c>
    </row>
    <row r="395">
      <c r="A395" s="9" t="inlineStr">
        <is>
          <t>Karthik Junior FB</t>
        </is>
      </c>
      <c r="B395" s="9" t="inlineStr">
        <is>
          <t>919043267100</t>
        </is>
      </c>
      <c r="C395" s="9" t="n"/>
      <c r="D395" s="9" t="n"/>
      <c r="E395" s="9" t="inlineStr">
        <is>
          <t>Tamil Nadu, India</t>
        </is>
      </c>
      <c r="F395" s="9">
        <f>IFERROR(LOOKUP(2,1/('Weekly Tracker'!$E$2:$E$766=$A395)/('Weekly Tracker'!$F$2:$F$766&lt;&gt;""),'Weekly Tracker'!$F$2:$F$766),"")</f>
        <v/>
      </c>
      <c r="G395" s="16">
        <f>IF(F395&lt;&gt;"",LOOKUP(2,1/('Weekly Tracker'!$E$2:$E$766=$A395)/('Weekly Tracker'!$F$2:$F$766&lt;&gt;""),'Weekly Tracker'!$G$2:$G$766),"")</f>
        <v/>
      </c>
      <c r="H395" s="9">
        <f>IFERROR(LOOKUP(2,1/('Weekly Tracker'!$E$2:$E$766=$A395)/('Weekly Tracker'!$H$2:$H$766&lt;&gt;""),'Weekly Tracker'!$H$2:$H$766),"")</f>
        <v/>
      </c>
      <c r="I395" s="16">
        <f>IF(H395&lt;&gt;"",LOOKUP(2,1/('Weekly Tracker'!$E$2:$E$766=$A395)/('Weekly Tracker'!$H$2:$H$766&lt;&gt;""),'Weekly Tracker'!$I$2:$I$766),"")</f>
        <v/>
      </c>
      <c r="J395" s="9">
        <f>IFERROR(LOOKUP(2,1/('Weekly Tracker'!$E$2:$E$766=$A395)/('Weekly Tracker'!$J$2:$J$766&lt;&gt;""),'Weekly Tracker'!$J$2:$J$766),"")</f>
        <v/>
      </c>
      <c r="K395" s="9">
        <f>IFERROR(LOOKUP(2,1/('Weekly Tracker'!$E$2:$E$766=$A395)/('Weekly Tracker'!$N$2:$N$766&lt;&gt;""),'Weekly Tracker'!$N$2:$N$766),"")</f>
        <v/>
      </c>
      <c r="L395" s="9">
        <f>IFERROR(LOOKUP(2,1/('Weekly Tracker'!$E$2:$E$766=$A395)/('Weekly Tracker'!$O$2:$O$766&lt;&gt;""),'Weekly Tracker'!$O$2:$O$766),"")</f>
        <v/>
      </c>
    </row>
    <row r="396">
      <c r="A396" s="9" t="inlineStr">
        <is>
          <t>Mithun Urja</t>
        </is>
      </c>
      <c r="B396" s="9" t="inlineStr">
        <is>
          <t>8940274151</t>
        </is>
      </c>
      <c r="C396" s="9" t="n"/>
      <c r="D396" s="9" t="n"/>
      <c r="E396" s="9" t="n"/>
      <c r="F396" s="9">
        <f>IFERROR(LOOKUP(2,1/('Weekly Tracker'!$E$2:$E$766=$A396)/('Weekly Tracker'!$F$2:$F$766&lt;&gt;""),'Weekly Tracker'!$F$2:$F$766),"")</f>
        <v/>
      </c>
      <c r="G396" s="16">
        <f>IF(F396&lt;&gt;"",LOOKUP(2,1/('Weekly Tracker'!$E$2:$E$766=$A396)/('Weekly Tracker'!$F$2:$F$766&lt;&gt;""),'Weekly Tracker'!$G$2:$G$766),"")</f>
        <v/>
      </c>
      <c r="H396" s="9">
        <f>IFERROR(LOOKUP(2,1/('Weekly Tracker'!$E$2:$E$766=$A396)/('Weekly Tracker'!$H$2:$H$766&lt;&gt;""),'Weekly Tracker'!$H$2:$H$766),"")</f>
        <v/>
      </c>
      <c r="I396" s="16">
        <f>IF(H396&lt;&gt;"",LOOKUP(2,1/('Weekly Tracker'!$E$2:$E$766=$A396)/('Weekly Tracker'!$H$2:$H$766&lt;&gt;""),'Weekly Tracker'!$I$2:$I$766),"")</f>
        <v/>
      </c>
      <c r="J396" s="9">
        <f>IFERROR(LOOKUP(2,1/('Weekly Tracker'!$E$2:$E$766=$A396)/('Weekly Tracker'!$J$2:$J$766&lt;&gt;""),'Weekly Tracker'!$J$2:$J$766),"")</f>
        <v/>
      </c>
      <c r="K396" s="9">
        <f>IFERROR(LOOKUP(2,1/('Weekly Tracker'!$E$2:$E$766=$A396)/('Weekly Tracker'!$N$2:$N$766&lt;&gt;""),'Weekly Tracker'!$N$2:$N$766),"")</f>
        <v/>
      </c>
      <c r="L396" s="9">
        <f>IFERROR(LOOKUP(2,1/('Weekly Tracker'!$E$2:$E$766=$A396)/('Weekly Tracker'!$O$2:$O$766&lt;&gt;""),'Weekly Tracker'!$O$2:$O$766),"")</f>
        <v/>
      </c>
    </row>
    <row r="397">
      <c r="A397" s="9" t="inlineStr">
        <is>
          <t>Pavi Bhupathy Urja</t>
        </is>
      </c>
      <c r="B397" s="9" t="inlineStr">
        <is>
          <t>9710693832</t>
        </is>
      </c>
      <c r="C397" s="9" t="n"/>
      <c r="D397" s="9" t="n"/>
      <c r="E397" s="9" t="n"/>
      <c r="F397" s="9">
        <f>IFERROR(LOOKUP(2,1/('Weekly Tracker'!$E$2:$E$766=$A397)/('Weekly Tracker'!$F$2:$F$766&lt;&gt;""),'Weekly Tracker'!$F$2:$F$766),"")</f>
        <v/>
      </c>
      <c r="G397" s="16">
        <f>IF(F397&lt;&gt;"",LOOKUP(2,1/('Weekly Tracker'!$E$2:$E$766=$A397)/('Weekly Tracker'!$F$2:$F$766&lt;&gt;""),'Weekly Tracker'!$G$2:$G$766),"")</f>
        <v/>
      </c>
      <c r="H397" s="9">
        <f>IFERROR(LOOKUP(2,1/('Weekly Tracker'!$E$2:$E$766=$A397)/('Weekly Tracker'!$H$2:$H$766&lt;&gt;""),'Weekly Tracker'!$H$2:$H$766),"")</f>
        <v/>
      </c>
      <c r="I397" s="16">
        <f>IF(H397&lt;&gt;"",LOOKUP(2,1/('Weekly Tracker'!$E$2:$E$766=$A397)/('Weekly Tracker'!$H$2:$H$766&lt;&gt;""),'Weekly Tracker'!$I$2:$I$766),"")</f>
        <v/>
      </c>
      <c r="J397" s="9">
        <f>IFERROR(LOOKUP(2,1/('Weekly Tracker'!$E$2:$E$766=$A397)/('Weekly Tracker'!$J$2:$J$766&lt;&gt;""),'Weekly Tracker'!$J$2:$J$766),"")</f>
        <v/>
      </c>
      <c r="K397" s="9">
        <f>IFERROR(LOOKUP(2,1/('Weekly Tracker'!$E$2:$E$766=$A397)/('Weekly Tracker'!$N$2:$N$766&lt;&gt;""),'Weekly Tracker'!$N$2:$N$766),"")</f>
        <v/>
      </c>
      <c r="L397" s="9">
        <f>IFERROR(LOOKUP(2,1/('Weekly Tracker'!$E$2:$E$766=$A397)/('Weekly Tracker'!$O$2:$O$766&lt;&gt;""),'Weekly Tracker'!$O$2:$O$766),"")</f>
        <v/>
      </c>
    </row>
    <row r="398">
      <c r="A398" s="9" t="inlineStr">
        <is>
          <t>Mohamad House Rent</t>
        </is>
      </c>
      <c r="B398" s="9" t="inlineStr">
        <is>
          <t>918939890666</t>
        </is>
      </c>
      <c r="C398" s="9" t="n"/>
      <c r="D398" s="9" t="n"/>
      <c r="E398" s="9" t="n"/>
      <c r="F398" s="9">
        <f>IFERROR(LOOKUP(2,1/('Weekly Tracker'!$E$2:$E$766=$A398)/('Weekly Tracker'!$F$2:$F$766&lt;&gt;""),'Weekly Tracker'!$F$2:$F$766),"")</f>
        <v/>
      </c>
      <c r="G398" s="16">
        <f>IF(F398&lt;&gt;"",LOOKUP(2,1/('Weekly Tracker'!$E$2:$E$766=$A398)/('Weekly Tracker'!$F$2:$F$766&lt;&gt;""),'Weekly Tracker'!$G$2:$G$766),"")</f>
        <v/>
      </c>
      <c r="H398" s="9">
        <f>IFERROR(LOOKUP(2,1/('Weekly Tracker'!$E$2:$E$766=$A398)/('Weekly Tracker'!$H$2:$H$766&lt;&gt;""),'Weekly Tracker'!$H$2:$H$766),"")</f>
        <v/>
      </c>
      <c r="I398" s="16">
        <f>IF(H398&lt;&gt;"",LOOKUP(2,1/('Weekly Tracker'!$E$2:$E$766=$A398)/('Weekly Tracker'!$H$2:$H$766&lt;&gt;""),'Weekly Tracker'!$I$2:$I$766),"")</f>
        <v/>
      </c>
      <c r="J398" s="9">
        <f>IFERROR(LOOKUP(2,1/('Weekly Tracker'!$E$2:$E$766=$A398)/('Weekly Tracker'!$J$2:$J$766&lt;&gt;""),'Weekly Tracker'!$J$2:$J$766),"")</f>
        <v/>
      </c>
      <c r="K398" s="9">
        <f>IFERROR(LOOKUP(2,1/('Weekly Tracker'!$E$2:$E$766=$A398)/('Weekly Tracker'!$N$2:$N$766&lt;&gt;""),'Weekly Tracker'!$N$2:$N$766),"")</f>
        <v/>
      </c>
      <c r="L398" s="9">
        <f>IFERROR(LOOKUP(2,1/('Weekly Tracker'!$E$2:$E$766=$A398)/('Weekly Tracker'!$O$2:$O$766&lt;&gt;""),'Weekly Tracker'!$O$2:$O$766),"")</f>
        <v/>
      </c>
    </row>
    <row r="399">
      <c r="A399" s="9" t="inlineStr">
        <is>
          <t>Porselvan doco</t>
        </is>
      </c>
      <c r="B399" s="9" t="inlineStr">
        <is>
          <t>919042610298</t>
        </is>
      </c>
      <c r="C399" s="9" t="n"/>
      <c r="D399" s="9" t="n"/>
      <c r="E399" s="9" t="n"/>
      <c r="F399" s="9">
        <f>IFERROR(LOOKUP(2,1/('Weekly Tracker'!$E$2:$E$766=$A399)/('Weekly Tracker'!$F$2:$F$766&lt;&gt;""),'Weekly Tracker'!$F$2:$F$766),"")</f>
        <v/>
      </c>
      <c r="G399" s="16">
        <f>IF(F399&lt;&gt;"",LOOKUP(2,1/('Weekly Tracker'!$E$2:$E$766=$A399)/('Weekly Tracker'!$F$2:$F$766&lt;&gt;""),'Weekly Tracker'!$G$2:$G$766),"")</f>
        <v/>
      </c>
      <c r="H399" s="9">
        <f>IFERROR(LOOKUP(2,1/('Weekly Tracker'!$E$2:$E$766=$A399)/('Weekly Tracker'!$H$2:$H$766&lt;&gt;""),'Weekly Tracker'!$H$2:$H$766),"")</f>
        <v/>
      </c>
      <c r="I399" s="16">
        <f>IF(H399&lt;&gt;"",LOOKUP(2,1/('Weekly Tracker'!$E$2:$E$766=$A399)/('Weekly Tracker'!$H$2:$H$766&lt;&gt;""),'Weekly Tracker'!$I$2:$I$766),"")</f>
        <v/>
      </c>
      <c r="J399" s="9">
        <f>IFERROR(LOOKUP(2,1/('Weekly Tracker'!$E$2:$E$766=$A399)/('Weekly Tracker'!$J$2:$J$766&lt;&gt;""),'Weekly Tracker'!$J$2:$J$766),"")</f>
        <v/>
      </c>
      <c r="K399" s="9">
        <f>IFERROR(LOOKUP(2,1/('Weekly Tracker'!$E$2:$E$766=$A399)/('Weekly Tracker'!$N$2:$N$766&lt;&gt;""),'Weekly Tracker'!$N$2:$N$766),"")</f>
        <v/>
      </c>
      <c r="L399" s="9">
        <f>IFERROR(LOOKUP(2,1/('Weekly Tracker'!$E$2:$E$766=$A399)/('Weekly Tracker'!$O$2:$O$766&lt;&gt;""),'Weekly Tracker'!$O$2:$O$766),"")</f>
        <v/>
      </c>
    </row>
    <row r="400">
      <c r="A400" s="9" t="inlineStr">
        <is>
          <t>Kanishk Singh HCL</t>
        </is>
      </c>
      <c r="B400" s="9" t="inlineStr">
        <is>
          <t>919873108136</t>
        </is>
      </c>
      <c r="C400" s="9" t="n"/>
      <c r="D400" s="9" t="n"/>
      <c r="E400" s="9" t="n"/>
      <c r="F400" s="9">
        <f>IFERROR(LOOKUP(2,1/('Weekly Tracker'!$E$2:$E$766=$A400)/('Weekly Tracker'!$F$2:$F$766&lt;&gt;""),'Weekly Tracker'!$F$2:$F$766),"")</f>
        <v/>
      </c>
      <c r="G400" s="16">
        <f>IF(F400&lt;&gt;"",LOOKUP(2,1/('Weekly Tracker'!$E$2:$E$766=$A400)/('Weekly Tracker'!$F$2:$F$766&lt;&gt;""),'Weekly Tracker'!$G$2:$G$766),"")</f>
        <v/>
      </c>
      <c r="H400" s="9">
        <f>IFERROR(LOOKUP(2,1/('Weekly Tracker'!$E$2:$E$766=$A400)/('Weekly Tracker'!$H$2:$H$766&lt;&gt;""),'Weekly Tracker'!$H$2:$H$766),"")</f>
        <v/>
      </c>
      <c r="I400" s="16">
        <f>IF(H400&lt;&gt;"",LOOKUP(2,1/('Weekly Tracker'!$E$2:$E$766=$A400)/('Weekly Tracker'!$H$2:$H$766&lt;&gt;""),'Weekly Tracker'!$I$2:$I$766),"")</f>
        <v/>
      </c>
      <c r="J400" s="9">
        <f>IFERROR(LOOKUP(2,1/('Weekly Tracker'!$E$2:$E$766=$A400)/('Weekly Tracker'!$J$2:$J$766&lt;&gt;""),'Weekly Tracker'!$J$2:$J$766),"")</f>
        <v/>
      </c>
      <c r="K400" s="9">
        <f>IFERROR(LOOKUP(2,1/('Weekly Tracker'!$E$2:$E$766=$A400)/('Weekly Tracker'!$N$2:$N$766&lt;&gt;""),'Weekly Tracker'!$N$2:$N$766),"")</f>
        <v/>
      </c>
      <c r="L400" s="9">
        <f>IFERROR(LOOKUP(2,1/('Weekly Tracker'!$E$2:$E$766=$A400)/('Weekly Tracker'!$O$2:$O$766&lt;&gt;""),'Weekly Tracker'!$O$2:$O$766),"")</f>
        <v/>
      </c>
    </row>
    <row r="401">
      <c r="A401" s="9" t="inlineStr">
        <is>
          <t>Dhinakaran Ele Medipakkam</t>
        </is>
      </c>
      <c r="B401" s="9" t="inlineStr">
        <is>
          <t>919176376311</t>
        </is>
      </c>
      <c r="C401" s="9" t="n"/>
      <c r="D401" s="9" t="n"/>
      <c r="E401" s="9" t="n"/>
      <c r="F401" s="9">
        <f>IFERROR(LOOKUP(2,1/('Weekly Tracker'!$E$2:$E$766=$A401)/('Weekly Tracker'!$F$2:$F$766&lt;&gt;""),'Weekly Tracker'!$F$2:$F$766),"")</f>
        <v/>
      </c>
      <c r="G401" s="16">
        <f>IF(F401&lt;&gt;"",LOOKUP(2,1/('Weekly Tracker'!$E$2:$E$766=$A401)/('Weekly Tracker'!$F$2:$F$766&lt;&gt;""),'Weekly Tracker'!$G$2:$G$766),"")</f>
        <v/>
      </c>
      <c r="H401" s="9">
        <f>IFERROR(LOOKUP(2,1/('Weekly Tracker'!$E$2:$E$766=$A401)/('Weekly Tracker'!$H$2:$H$766&lt;&gt;""),'Weekly Tracker'!$H$2:$H$766),"")</f>
        <v/>
      </c>
      <c r="I401" s="16">
        <f>IF(H401&lt;&gt;"",LOOKUP(2,1/('Weekly Tracker'!$E$2:$E$766=$A401)/('Weekly Tracker'!$H$2:$H$766&lt;&gt;""),'Weekly Tracker'!$I$2:$I$766),"")</f>
        <v/>
      </c>
      <c r="J401" s="9">
        <f>IFERROR(LOOKUP(2,1/('Weekly Tracker'!$E$2:$E$766=$A401)/('Weekly Tracker'!$J$2:$J$766&lt;&gt;""),'Weekly Tracker'!$J$2:$J$766),"")</f>
        <v/>
      </c>
      <c r="K401" s="9">
        <f>IFERROR(LOOKUP(2,1/('Weekly Tracker'!$E$2:$E$766=$A401)/('Weekly Tracker'!$N$2:$N$766&lt;&gt;""),'Weekly Tracker'!$N$2:$N$766),"")</f>
        <v/>
      </c>
      <c r="L401" s="9">
        <f>IFERROR(LOOKUP(2,1/('Weekly Tracker'!$E$2:$E$766=$A401)/('Weekly Tracker'!$O$2:$O$766&lt;&gt;""),'Weekly Tracker'!$O$2:$O$766),"")</f>
        <v/>
      </c>
    </row>
    <row r="402">
      <c r="A402" s="9" t="inlineStr">
        <is>
          <t>Sugantha Kumar Scl</t>
        </is>
      </c>
      <c r="B402" s="9" t="inlineStr">
        <is>
          <t>917200628457</t>
        </is>
      </c>
      <c r="C402" s="9" t="n"/>
      <c r="D402" s="9" t="n"/>
      <c r="E402" s="9" t="n"/>
      <c r="F402" s="9">
        <f>IFERROR(LOOKUP(2,1/('Weekly Tracker'!$E$2:$E$766=$A402)/('Weekly Tracker'!$F$2:$F$766&lt;&gt;""),'Weekly Tracker'!$F$2:$F$766),"")</f>
        <v/>
      </c>
      <c r="G402" s="16">
        <f>IF(F402&lt;&gt;"",LOOKUP(2,1/('Weekly Tracker'!$E$2:$E$766=$A402)/('Weekly Tracker'!$F$2:$F$766&lt;&gt;""),'Weekly Tracker'!$G$2:$G$766),"")</f>
        <v/>
      </c>
      <c r="H402" s="9">
        <f>IFERROR(LOOKUP(2,1/('Weekly Tracker'!$E$2:$E$766=$A402)/('Weekly Tracker'!$H$2:$H$766&lt;&gt;""),'Weekly Tracker'!$H$2:$H$766),"")</f>
        <v/>
      </c>
      <c r="I402" s="16">
        <f>IF(H402&lt;&gt;"",LOOKUP(2,1/('Weekly Tracker'!$E$2:$E$766=$A402)/('Weekly Tracker'!$H$2:$H$766&lt;&gt;""),'Weekly Tracker'!$I$2:$I$766),"")</f>
        <v/>
      </c>
      <c r="J402" s="9">
        <f>IFERROR(LOOKUP(2,1/('Weekly Tracker'!$E$2:$E$766=$A402)/('Weekly Tracker'!$J$2:$J$766&lt;&gt;""),'Weekly Tracker'!$J$2:$J$766),"")</f>
        <v/>
      </c>
      <c r="K402" s="9">
        <f>IFERROR(LOOKUP(2,1/('Weekly Tracker'!$E$2:$E$766=$A402)/('Weekly Tracker'!$N$2:$N$766&lt;&gt;""),'Weekly Tracker'!$N$2:$N$766),"")</f>
        <v/>
      </c>
      <c r="L402" s="9">
        <f>IFERROR(LOOKUP(2,1/('Weekly Tracker'!$E$2:$E$766=$A402)/('Weekly Tracker'!$O$2:$O$766&lt;&gt;""),'Weekly Tracker'!$O$2:$O$766),"")</f>
        <v/>
      </c>
    </row>
    <row r="403">
      <c r="A403" s="9" t="inlineStr">
        <is>
          <t>Stephen Icici Acc-opp</t>
        </is>
      </c>
      <c r="B403" s="9" t="inlineStr">
        <is>
          <t>89398 65753</t>
        </is>
      </c>
      <c r="C403" s="9" t="n"/>
      <c r="D403" s="9" t="n"/>
      <c r="E403" s="9" t="n"/>
      <c r="F403" s="9">
        <f>IFERROR(LOOKUP(2,1/('Weekly Tracker'!$E$2:$E$766=$A403)/('Weekly Tracker'!$F$2:$F$766&lt;&gt;""),'Weekly Tracker'!$F$2:$F$766),"")</f>
        <v/>
      </c>
      <c r="G403" s="16">
        <f>IF(F403&lt;&gt;"",LOOKUP(2,1/('Weekly Tracker'!$E$2:$E$766=$A403)/('Weekly Tracker'!$F$2:$F$766&lt;&gt;""),'Weekly Tracker'!$G$2:$G$766),"")</f>
        <v/>
      </c>
      <c r="H403" s="9">
        <f>IFERROR(LOOKUP(2,1/('Weekly Tracker'!$E$2:$E$766=$A403)/('Weekly Tracker'!$H$2:$H$766&lt;&gt;""),'Weekly Tracker'!$H$2:$H$766),"")</f>
        <v/>
      </c>
      <c r="I403" s="16">
        <f>IF(H403&lt;&gt;"",LOOKUP(2,1/('Weekly Tracker'!$E$2:$E$766=$A403)/('Weekly Tracker'!$H$2:$H$766&lt;&gt;""),'Weekly Tracker'!$I$2:$I$766),"")</f>
        <v/>
      </c>
      <c r="J403" s="9">
        <f>IFERROR(LOOKUP(2,1/('Weekly Tracker'!$E$2:$E$766=$A403)/('Weekly Tracker'!$J$2:$J$766&lt;&gt;""),'Weekly Tracker'!$J$2:$J$766),"")</f>
        <v/>
      </c>
      <c r="K403" s="9">
        <f>IFERROR(LOOKUP(2,1/('Weekly Tracker'!$E$2:$E$766=$A403)/('Weekly Tracker'!$N$2:$N$766&lt;&gt;""),'Weekly Tracker'!$N$2:$N$766),"")</f>
        <v/>
      </c>
      <c r="L403" s="9">
        <f>IFERROR(LOOKUP(2,1/('Weekly Tracker'!$E$2:$E$766=$A403)/('Weekly Tracker'!$O$2:$O$766&lt;&gt;""),'Weekly Tracker'!$O$2:$O$766),"")</f>
        <v/>
      </c>
    </row>
    <row r="404">
      <c r="A404" s="9" t="inlineStr">
        <is>
          <t>Vinoth Bro Gym</t>
        </is>
      </c>
      <c r="B404" s="9" t="inlineStr">
        <is>
          <t>9884124248</t>
        </is>
      </c>
      <c r="C404" s="9" t="n"/>
      <c r="D404" s="9" t="n"/>
      <c r="E404" s="9" t="n"/>
      <c r="F404" s="9">
        <f>IFERROR(LOOKUP(2,1/('Weekly Tracker'!$E$2:$E$766=$A404)/('Weekly Tracker'!$F$2:$F$766&lt;&gt;""),'Weekly Tracker'!$F$2:$F$766),"")</f>
        <v/>
      </c>
      <c r="G404" s="16">
        <f>IF(F404&lt;&gt;"",LOOKUP(2,1/('Weekly Tracker'!$E$2:$E$766=$A404)/('Weekly Tracker'!$F$2:$F$766&lt;&gt;""),'Weekly Tracker'!$G$2:$G$766),"")</f>
        <v/>
      </c>
      <c r="H404" s="9">
        <f>IFERROR(LOOKUP(2,1/('Weekly Tracker'!$E$2:$E$766=$A404)/('Weekly Tracker'!$H$2:$H$766&lt;&gt;""),'Weekly Tracker'!$H$2:$H$766),"")</f>
        <v/>
      </c>
      <c r="I404" s="16">
        <f>IF(H404&lt;&gt;"",LOOKUP(2,1/('Weekly Tracker'!$E$2:$E$766=$A404)/('Weekly Tracker'!$H$2:$H$766&lt;&gt;""),'Weekly Tracker'!$I$2:$I$766),"")</f>
        <v/>
      </c>
      <c r="J404" s="9">
        <f>IFERROR(LOOKUP(2,1/('Weekly Tracker'!$E$2:$E$766=$A404)/('Weekly Tracker'!$J$2:$J$766&lt;&gt;""),'Weekly Tracker'!$J$2:$J$766),"")</f>
        <v/>
      </c>
      <c r="K404" s="9">
        <f>IFERROR(LOOKUP(2,1/('Weekly Tracker'!$E$2:$E$766=$A404)/('Weekly Tracker'!$N$2:$N$766&lt;&gt;""),'Weekly Tracker'!$N$2:$N$766),"")</f>
        <v/>
      </c>
      <c r="L404" s="9">
        <f>IFERROR(LOOKUP(2,1/('Weekly Tracker'!$E$2:$E$766=$A404)/('Weekly Tracker'!$O$2:$O$766&lt;&gt;""),'Weekly Tracker'!$O$2:$O$766),"")</f>
        <v/>
      </c>
    </row>
    <row r="405">
      <c r="A405" s="9" t="inlineStr">
        <is>
          <t>Abdur Rasad Urja</t>
        </is>
      </c>
      <c r="B405" s="9" t="inlineStr">
        <is>
          <t>8680000762</t>
        </is>
      </c>
      <c r="C405" s="9" t="n"/>
      <c r="D405" s="9" t="n"/>
      <c r="E405" s="9" t="n"/>
      <c r="F405" s="9">
        <f>IFERROR(LOOKUP(2,1/('Weekly Tracker'!$E$2:$E$766=$A405)/('Weekly Tracker'!$F$2:$F$766&lt;&gt;""),'Weekly Tracker'!$F$2:$F$766),"")</f>
        <v/>
      </c>
      <c r="G405" s="16">
        <f>IF(F405&lt;&gt;"",LOOKUP(2,1/('Weekly Tracker'!$E$2:$E$766=$A405)/('Weekly Tracker'!$F$2:$F$766&lt;&gt;""),'Weekly Tracker'!$G$2:$G$766),"")</f>
        <v/>
      </c>
      <c r="H405" s="9">
        <f>IFERROR(LOOKUP(2,1/('Weekly Tracker'!$E$2:$E$766=$A405)/('Weekly Tracker'!$H$2:$H$766&lt;&gt;""),'Weekly Tracker'!$H$2:$H$766),"")</f>
        <v/>
      </c>
      <c r="I405" s="16">
        <f>IF(H405&lt;&gt;"",LOOKUP(2,1/('Weekly Tracker'!$E$2:$E$766=$A405)/('Weekly Tracker'!$H$2:$H$766&lt;&gt;""),'Weekly Tracker'!$I$2:$I$766),"")</f>
        <v/>
      </c>
      <c r="J405" s="9">
        <f>IFERROR(LOOKUP(2,1/('Weekly Tracker'!$E$2:$E$766=$A405)/('Weekly Tracker'!$J$2:$J$766&lt;&gt;""),'Weekly Tracker'!$J$2:$J$766),"")</f>
        <v/>
      </c>
      <c r="K405" s="9">
        <f>IFERROR(LOOKUP(2,1/('Weekly Tracker'!$E$2:$E$766=$A405)/('Weekly Tracker'!$N$2:$N$766&lt;&gt;""),'Weekly Tracker'!$N$2:$N$766),"")</f>
        <v/>
      </c>
      <c r="L405" s="9">
        <f>IFERROR(LOOKUP(2,1/('Weekly Tracker'!$E$2:$E$766=$A405)/('Weekly Tracker'!$O$2:$O$766&lt;&gt;""),'Weekly Tracker'!$O$2:$O$766),"")</f>
        <v/>
      </c>
    </row>
    <row r="406">
      <c r="A406" s="9" t="inlineStr">
        <is>
          <t>Venkatesh M HCL</t>
        </is>
      </c>
      <c r="B406" s="9" t="inlineStr">
        <is>
          <t>7019057217</t>
        </is>
      </c>
      <c r="C406" s="9" t="n"/>
      <c r="D406" s="9" t="n"/>
      <c r="E406" s="9" t="n"/>
      <c r="F406" s="9">
        <f>IFERROR(LOOKUP(2,1/('Weekly Tracker'!$E$2:$E$766=$A406)/('Weekly Tracker'!$F$2:$F$766&lt;&gt;""),'Weekly Tracker'!$F$2:$F$766),"")</f>
        <v/>
      </c>
      <c r="G406" s="16">
        <f>IF(F406&lt;&gt;"",LOOKUP(2,1/('Weekly Tracker'!$E$2:$E$766=$A406)/('Weekly Tracker'!$F$2:$F$766&lt;&gt;""),'Weekly Tracker'!$G$2:$G$766),"")</f>
        <v/>
      </c>
      <c r="H406" s="9">
        <f>IFERROR(LOOKUP(2,1/('Weekly Tracker'!$E$2:$E$766=$A406)/('Weekly Tracker'!$H$2:$H$766&lt;&gt;""),'Weekly Tracker'!$H$2:$H$766),"")</f>
        <v/>
      </c>
      <c r="I406" s="16">
        <f>IF(H406&lt;&gt;"",LOOKUP(2,1/('Weekly Tracker'!$E$2:$E$766=$A406)/('Weekly Tracker'!$H$2:$H$766&lt;&gt;""),'Weekly Tracker'!$I$2:$I$766),"")</f>
        <v/>
      </c>
      <c r="J406" s="9">
        <f>IFERROR(LOOKUP(2,1/('Weekly Tracker'!$E$2:$E$766=$A406)/('Weekly Tracker'!$J$2:$J$766&lt;&gt;""),'Weekly Tracker'!$J$2:$J$766),"")</f>
        <v/>
      </c>
      <c r="K406" s="9">
        <f>IFERROR(LOOKUP(2,1/('Weekly Tracker'!$E$2:$E$766=$A406)/('Weekly Tracker'!$N$2:$N$766&lt;&gt;""),'Weekly Tracker'!$N$2:$N$766),"")</f>
        <v/>
      </c>
      <c r="L406" s="9">
        <f>IFERROR(LOOKUP(2,1/('Weekly Tracker'!$E$2:$E$766=$A406)/('Weekly Tracker'!$O$2:$O$766&lt;&gt;""),'Weekly Tracker'!$O$2:$O$766),"")</f>
        <v/>
      </c>
    </row>
    <row r="407">
      <c r="A407" s="9" t="inlineStr">
        <is>
          <t>Bala Gym Junior</t>
        </is>
      </c>
      <c r="B407" s="9" t="inlineStr">
        <is>
          <t>918072588549, 919003742163</t>
        </is>
      </c>
      <c r="C407" s="9" t="n"/>
      <c r="D407" s="9" t="n"/>
      <c r="E407" s="9" t="n"/>
      <c r="F407" s="9">
        <f>IFERROR(LOOKUP(2,1/('Weekly Tracker'!$E$2:$E$766=$A407)/('Weekly Tracker'!$F$2:$F$766&lt;&gt;""),'Weekly Tracker'!$F$2:$F$766),"")</f>
        <v/>
      </c>
      <c r="G407" s="16">
        <f>IF(F407&lt;&gt;"",LOOKUP(2,1/('Weekly Tracker'!$E$2:$E$766=$A407)/('Weekly Tracker'!$F$2:$F$766&lt;&gt;""),'Weekly Tracker'!$G$2:$G$766),"")</f>
        <v/>
      </c>
      <c r="H407" s="9">
        <f>IFERROR(LOOKUP(2,1/('Weekly Tracker'!$E$2:$E$766=$A407)/('Weekly Tracker'!$H$2:$H$766&lt;&gt;""),'Weekly Tracker'!$H$2:$H$766),"")</f>
        <v/>
      </c>
      <c r="I407" s="16">
        <f>IF(H407&lt;&gt;"",LOOKUP(2,1/('Weekly Tracker'!$E$2:$E$766=$A407)/('Weekly Tracker'!$H$2:$H$766&lt;&gt;""),'Weekly Tracker'!$I$2:$I$766),"")</f>
        <v/>
      </c>
      <c r="J407" s="9">
        <f>IFERROR(LOOKUP(2,1/('Weekly Tracker'!$E$2:$E$766=$A407)/('Weekly Tracker'!$J$2:$J$766&lt;&gt;""),'Weekly Tracker'!$J$2:$J$766),"")</f>
        <v/>
      </c>
      <c r="K407" s="9">
        <f>IFERROR(LOOKUP(2,1/('Weekly Tracker'!$E$2:$E$766=$A407)/('Weekly Tracker'!$N$2:$N$766&lt;&gt;""),'Weekly Tracker'!$N$2:$N$766),"")</f>
        <v/>
      </c>
      <c r="L407" s="9">
        <f>IFERROR(LOOKUP(2,1/('Weekly Tracker'!$E$2:$E$766=$A407)/('Weekly Tracker'!$O$2:$O$766&lt;&gt;""),'Weekly Tracker'!$O$2:$O$766),"")</f>
        <v/>
      </c>
    </row>
    <row r="408">
      <c r="A408" s="9" t="inlineStr">
        <is>
          <t>Arun Bro Qs</t>
        </is>
      </c>
      <c r="B408" s="9" t="inlineStr">
        <is>
          <t>919003084412</t>
        </is>
      </c>
      <c r="C408" s="9" t="n"/>
      <c r="D408" s="9" t="n"/>
      <c r="E408" s="9" t="n"/>
      <c r="F408" s="9">
        <f>IFERROR(LOOKUP(2,1/('Weekly Tracker'!$E$2:$E$766=$A408)/('Weekly Tracker'!$F$2:$F$766&lt;&gt;""),'Weekly Tracker'!$F$2:$F$766),"")</f>
        <v/>
      </c>
      <c r="G408" s="16">
        <f>IF(F408&lt;&gt;"",LOOKUP(2,1/('Weekly Tracker'!$E$2:$E$766=$A408)/('Weekly Tracker'!$F$2:$F$766&lt;&gt;""),'Weekly Tracker'!$G$2:$G$766),"")</f>
        <v/>
      </c>
      <c r="H408" s="9">
        <f>IFERROR(LOOKUP(2,1/('Weekly Tracker'!$E$2:$E$766=$A408)/('Weekly Tracker'!$H$2:$H$766&lt;&gt;""),'Weekly Tracker'!$H$2:$H$766),"")</f>
        <v/>
      </c>
      <c r="I408" s="16">
        <f>IF(H408&lt;&gt;"",LOOKUP(2,1/('Weekly Tracker'!$E$2:$E$766=$A408)/('Weekly Tracker'!$H$2:$H$766&lt;&gt;""),'Weekly Tracker'!$I$2:$I$766),"")</f>
        <v/>
      </c>
      <c r="J408" s="9">
        <f>IFERROR(LOOKUP(2,1/('Weekly Tracker'!$E$2:$E$766=$A408)/('Weekly Tracker'!$J$2:$J$766&lt;&gt;""),'Weekly Tracker'!$J$2:$J$766),"")</f>
        <v/>
      </c>
      <c r="K408" s="9">
        <f>IFERROR(LOOKUP(2,1/('Weekly Tracker'!$E$2:$E$766=$A408)/('Weekly Tracker'!$N$2:$N$766&lt;&gt;""),'Weekly Tracker'!$N$2:$N$766),"")</f>
        <v/>
      </c>
      <c r="L408" s="9">
        <f>IFERROR(LOOKUP(2,1/('Weekly Tracker'!$E$2:$E$766=$A408)/('Weekly Tracker'!$O$2:$O$766&lt;&gt;""),'Weekly Tracker'!$O$2:$O$766),"")</f>
        <v/>
      </c>
    </row>
    <row r="409">
      <c r="A409" s="9" t="inlineStr">
        <is>
          <t>Uday Kumar Urja</t>
        </is>
      </c>
      <c r="B409" s="9" t="inlineStr">
        <is>
          <t>919492171015</t>
        </is>
      </c>
      <c r="C409" s="9" t="n"/>
      <c r="D409" s="9" t="n"/>
      <c r="E409" s="9" t="n"/>
      <c r="F409" s="9">
        <f>IFERROR(LOOKUP(2,1/('Weekly Tracker'!$E$2:$E$766=$A409)/('Weekly Tracker'!$F$2:$F$766&lt;&gt;""),'Weekly Tracker'!$F$2:$F$766),"")</f>
        <v/>
      </c>
      <c r="G409" s="16">
        <f>IF(F409&lt;&gt;"",LOOKUP(2,1/('Weekly Tracker'!$E$2:$E$766=$A409)/('Weekly Tracker'!$F$2:$F$766&lt;&gt;""),'Weekly Tracker'!$G$2:$G$766),"")</f>
        <v/>
      </c>
      <c r="H409" s="9">
        <f>IFERROR(LOOKUP(2,1/('Weekly Tracker'!$E$2:$E$766=$A409)/('Weekly Tracker'!$H$2:$H$766&lt;&gt;""),'Weekly Tracker'!$H$2:$H$766),"")</f>
        <v/>
      </c>
      <c r="I409" s="16">
        <f>IF(H409&lt;&gt;"",LOOKUP(2,1/('Weekly Tracker'!$E$2:$E$766=$A409)/('Weekly Tracker'!$H$2:$H$766&lt;&gt;""),'Weekly Tracker'!$I$2:$I$766),"")</f>
        <v/>
      </c>
      <c r="J409" s="9">
        <f>IFERROR(LOOKUP(2,1/('Weekly Tracker'!$E$2:$E$766=$A409)/('Weekly Tracker'!$J$2:$J$766&lt;&gt;""),'Weekly Tracker'!$J$2:$J$766),"")</f>
        <v/>
      </c>
      <c r="K409" s="9">
        <f>IFERROR(LOOKUP(2,1/('Weekly Tracker'!$E$2:$E$766=$A409)/('Weekly Tracker'!$N$2:$N$766&lt;&gt;""),'Weekly Tracker'!$N$2:$N$766),"")</f>
        <v/>
      </c>
      <c r="L409" s="9">
        <f>IFERROR(LOOKUP(2,1/('Weekly Tracker'!$E$2:$E$766=$A409)/('Weekly Tracker'!$O$2:$O$766&lt;&gt;""),'Weekly Tracker'!$O$2:$O$766),"")</f>
        <v/>
      </c>
    </row>
    <row r="410">
      <c r="A410" s="9" t="inlineStr">
        <is>
          <t>Nagenthran-Nattamai Scl</t>
        </is>
      </c>
      <c r="B410" s="9" t="inlineStr">
        <is>
          <t>+91 99404 69149</t>
        </is>
      </c>
      <c r="C410" s="9" t="n"/>
      <c r="D410" s="9" t="n"/>
      <c r="E410" s="9" t="n"/>
      <c r="F410" s="9">
        <f>IFERROR(LOOKUP(2,1/('Weekly Tracker'!$E$2:$E$766=$A410)/('Weekly Tracker'!$F$2:$F$766&lt;&gt;""),'Weekly Tracker'!$F$2:$F$766),"")</f>
        <v/>
      </c>
      <c r="G410" s="16">
        <f>IF(F410&lt;&gt;"",LOOKUP(2,1/('Weekly Tracker'!$E$2:$E$766=$A410)/('Weekly Tracker'!$F$2:$F$766&lt;&gt;""),'Weekly Tracker'!$G$2:$G$766),"")</f>
        <v/>
      </c>
      <c r="H410" s="9">
        <f>IFERROR(LOOKUP(2,1/('Weekly Tracker'!$E$2:$E$766=$A410)/('Weekly Tracker'!$H$2:$H$766&lt;&gt;""),'Weekly Tracker'!$H$2:$H$766),"")</f>
        <v/>
      </c>
      <c r="I410" s="16">
        <f>IF(H410&lt;&gt;"",LOOKUP(2,1/('Weekly Tracker'!$E$2:$E$766=$A410)/('Weekly Tracker'!$H$2:$H$766&lt;&gt;""),'Weekly Tracker'!$I$2:$I$766),"")</f>
        <v/>
      </c>
      <c r="J410" s="9">
        <f>IFERROR(LOOKUP(2,1/('Weekly Tracker'!$E$2:$E$766=$A410)/('Weekly Tracker'!$J$2:$J$766&lt;&gt;""),'Weekly Tracker'!$J$2:$J$766),"")</f>
        <v/>
      </c>
      <c r="K410" s="9">
        <f>IFERROR(LOOKUP(2,1/('Weekly Tracker'!$E$2:$E$766=$A410)/('Weekly Tracker'!$N$2:$N$766&lt;&gt;""),'Weekly Tracker'!$N$2:$N$766),"")</f>
        <v/>
      </c>
      <c r="L410" s="9">
        <f>IFERROR(LOOKUP(2,1/('Weekly Tracker'!$E$2:$E$766=$A410)/('Weekly Tracker'!$O$2:$O$766&lt;&gt;""),'Weekly Tracker'!$O$2:$O$766),"")</f>
        <v/>
      </c>
    </row>
    <row r="411">
      <c r="A411" s="9" t="inlineStr">
        <is>
          <t>Saravanan NearbyHome</t>
        </is>
      </c>
      <c r="B411" s="9" t="inlineStr">
        <is>
          <t>918144411062, 919840898841</t>
        </is>
      </c>
      <c r="C411" s="9" t="n"/>
      <c r="D411" s="9" t="n"/>
      <c r="E411" s="9" t="n"/>
      <c r="F411" s="9">
        <f>IFERROR(LOOKUP(2,1/('Weekly Tracker'!$E$2:$E$766=$A411)/('Weekly Tracker'!$F$2:$F$766&lt;&gt;""),'Weekly Tracker'!$F$2:$F$766),"")</f>
        <v/>
      </c>
      <c r="G411" s="16">
        <f>IF(F411&lt;&gt;"",LOOKUP(2,1/('Weekly Tracker'!$E$2:$E$766=$A411)/('Weekly Tracker'!$F$2:$F$766&lt;&gt;""),'Weekly Tracker'!$G$2:$G$766),"")</f>
        <v/>
      </c>
      <c r="H411" s="9">
        <f>IFERROR(LOOKUP(2,1/('Weekly Tracker'!$E$2:$E$766=$A411)/('Weekly Tracker'!$H$2:$H$766&lt;&gt;""),'Weekly Tracker'!$H$2:$H$766),"")</f>
        <v/>
      </c>
      <c r="I411" s="16">
        <f>IF(H411&lt;&gt;"",LOOKUP(2,1/('Weekly Tracker'!$E$2:$E$766=$A411)/('Weekly Tracker'!$H$2:$H$766&lt;&gt;""),'Weekly Tracker'!$I$2:$I$766),"")</f>
        <v/>
      </c>
      <c r="J411" s="9">
        <f>IFERROR(LOOKUP(2,1/('Weekly Tracker'!$E$2:$E$766=$A411)/('Weekly Tracker'!$J$2:$J$766&lt;&gt;""),'Weekly Tracker'!$J$2:$J$766),"")</f>
        <v/>
      </c>
      <c r="K411" s="9">
        <f>IFERROR(LOOKUP(2,1/('Weekly Tracker'!$E$2:$E$766=$A411)/('Weekly Tracker'!$N$2:$N$766&lt;&gt;""),'Weekly Tracker'!$N$2:$N$766),"")</f>
        <v/>
      </c>
      <c r="L411" s="9">
        <f>IFERROR(LOOKUP(2,1/('Weekly Tracker'!$E$2:$E$766=$A411)/('Weekly Tracker'!$O$2:$O$766&lt;&gt;""),'Weekly Tracker'!$O$2:$O$766),"")</f>
        <v/>
      </c>
    </row>
    <row r="412">
      <c r="A412" s="9" t="inlineStr">
        <is>
          <t>Aravindhan HCL</t>
        </is>
      </c>
      <c r="B412" s="9" t="inlineStr">
        <is>
          <t>9361773034</t>
        </is>
      </c>
      <c r="C412" s="9" t="n"/>
      <c r="D412" s="9" t="n"/>
      <c r="E412" s="9" t="n"/>
      <c r="F412" s="9">
        <f>IFERROR(LOOKUP(2,1/('Weekly Tracker'!$E$2:$E$766=$A412)/('Weekly Tracker'!$F$2:$F$766&lt;&gt;""),'Weekly Tracker'!$F$2:$F$766),"")</f>
        <v/>
      </c>
      <c r="G412" s="16">
        <f>IF(F412&lt;&gt;"",LOOKUP(2,1/('Weekly Tracker'!$E$2:$E$766=$A412)/('Weekly Tracker'!$F$2:$F$766&lt;&gt;""),'Weekly Tracker'!$G$2:$G$766),"")</f>
        <v/>
      </c>
      <c r="H412" s="9">
        <f>IFERROR(LOOKUP(2,1/('Weekly Tracker'!$E$2:$E$766=$A412)/('Weekly Tracker'!$H$2:$H$766&lt;&gt;""),'Weekly Tracker'!$H$2:$H$766),"")</f>
        <v/>
      </c>
      <c r="I412" s="16">
        <f>IF(H412&lt;&gt;"",LOOKUP(2,1/('Weekly Tracker'!$E$2:$E$766=$A412)/('Weekly Tracker'!$H$2:$H$766&lt;&gt;""),'Weekly Tracker'!$I$2:$I$766),"")</f>
        <v/>
      </c>
      <c r="J412" s="9">
        <f>IFERROR(LOOKUP(2,1/('Weekly Tracker'!$E$2:$E$766=$A412)/('Weekly Tracker'!$J$2:$J$766&lt;&gt;""),'Weekly Tracker'!$J$2:$J$766),"")</f>
        <v/>
      </c>
      <c r="K412" s="9">
        <f>IFERROR(LOOKUP(2,1/('Weekly Tracker'!$E$2:$E$766=$A412)/('Weekly Tracker'!$N$2:$N$766&lt;&gt;""),'Weekly Tracker'!$N$2:$N$766),"")</f>
        <v/>
      </c>
      <c r="L412" s="9">
        <f>IFERROR(LOOKUP(2,1/('Weekly Tracker'!$E$2:$E$766=$A412)/('Weekly Tracker'!$O$2:$O$766&lt;&gt;""),'Weekly Tracker'!$O$2:$O$766),"")</f>
        <v/>
      </c>
    </row>
    <row r="413">
      <c r="A413" s="9" t="inlineStr">
        <is>
          <t>Thillairajan FB</t>
        </is>
      </c>
      <c r="B413" s="9" t="inlineStr">
        <is>
          <t>9360504104</t>
        </is>
      </c>
      <c r="C413" s="9" t="n"/>
      <c r="D413" s="9" t="n"/>
      <c r="E413" s="9" t="n"/>
      <c r="F413" s="9">
        <f>IFERROR(LOOKUP(2,1/('Weekly Tracker'!$E$2:$E$766=$A413)/('Weekly Tracker'!$F$2:$F$766&lt;&gt;""),'Weekly Tracker'!$F$2:$F$766),"")</f>
        <v/>
      </c>
      <c r="G413" s="16">
        <f>IF(F413&lt;&gt;"",LOOKUP(2,1/('Weekly Tracker'!$E$2:$E$766=$A413)/('Weekly Tracker'!$F$2:$F$766&lt;&gt;""),'Weekly Tracker'!$G$2:$G$766),"")</f>
        <v/>
      </c>
      <c r="H413" s="9">
        <f>IFERROR(LOOKUP(2,1/('Weekly Tracker'!$E$2:$E$766=$A413)/('Weekly Tracker'!$H$2:$H$766&lt;&gt;""),'Weekly Tracker'!$H$2:$H$766),"")</f>
        <v/>
      </c>
      <c r="I413" s="16">
        <f>IF(H413&lt;&gt;"",LOOKUP(2,1/('Weekly Tracker'!$E$2:$E$766=$A413)/('Weekly Tracker'!$H$2:$H$766&lt;&gt;""),'Weekly Tracker'!$I$2:$I$766),"")</f>
        <v/>
      </c>
      <c r="J413" s="9">
        <f>IFERROR(LOOKUP(2,1/('Weekly Tracker'!$E$2:$E$766=$A413)/('Weekly Tracker'!$J$2:$J$766&lt;&gt;""),'Weekly Tracker'!$J$2:$J$766),"")</f>
        <v/>
      </c>
      <c r="K413" s="9">
        <f>IFERROR(LOOKUP(2,1/('Weekly Tracker'!$E$2:$E$766=$A413)/('Weekly Tracker'!$N$2:$N$766&lt;&gt;""),'Weekly Tracker'!$N$2:$N$766),"")</f>
        <v/>
      </c>
      <c r="L413" s="9">
        <f>IFERROR(LOOKUP(2,1/('Weekly Tracker'!$E$2:$E$766=$A413)/('Weekly Tracker'!$O$2:$O$766&lt;&gt;""),'Weekly Tracker'!$O$2:$O$766),"")</f>
        <v/>
      </c>
    </row>
    <row r="414">
      <c r="A414" s="9" t="inlineStr">
        <is>
          <t>Raja Durai Grp Ucen</t>
        </is>
      </c>
      <c r="B414" s="9" t="inlineStr">
        <is>
          <t>917708277344</t>
        </is>
      </c>
      <c r="C414" s="9" t="n"/>
      <c r="D414" s="9" t="n"/>
      <c r="E414" s="9" t="n"/>
      <c r="F414" s="9">
        <f>IFERROR(LOOKUP(2,1/('Weekly Tracker'!$E$2:$E$766=$A414)/('Weekly Tracker'!$F$2:$F$766&lt;&gt;""),'Weekly Tracker'!$F$2:$F$766),"")</f>
        <v/>
      </c>
      <c r="G414" s="16">
        <f>IF(F414&lt;&gt;"",LOOKUP(2,1/('Weekly Tracker'!$E$2:$E$766=$A414)/('Weekly Tracker'!$F$2:$F$766&lt;&gt;""),'Weekly Tracker'!$G$2:$G$766),"")</f>
        <v/>
      </c>
      <c r="H414" s="9">
        <f>IFERROR(LOOKUP(2,1/('Weekly Tracker'!$E$2:$E$766=$A414)/('Weekly Tracker'!$H$2:$H$766&lt;&gt;""),'Weekly Tracker'!$H$2:$H$766),"")</f>
        <v/>
      </c>
      <c r="I414" s="16">
        <f>IF(H414&lt;&gt;"",LOOKUP(2,1/('Weekly Tracker'!$E$2:$E$766=$A414)/('Weekly Tracker'!$H$2:$H$766&lt;&gt;""),'Weekly Tracker'!$I$2:$I$766),"")</f>
        <v/>
      </c>
      <c r="J414" s="9">
        <f>IFERROR(LOOKUP(2,1/('Weekly Tracker'!$E$2:$E$766=$A414)/('Weekly Tracker'!$J$2:$J$766&lt;&gt;""),'Weekly Tracker'!$J$2:$J$766),"")</f>
        <v/>
      </c>
      <c r="K414" s="9">
        <f>IFERROR(LOOKUP(2,1/('Weekly Tracker'!$E$2:$E$766=$A414)/('Weekly Tracker'!$N$2:$N$766&lt;&gt;""),'Weekly Tracker'!$N$2:$N$766),"")</f>
        <v/>
      </c>
      <c r="L414" s="9">
        <f>IFERROR(LOOKUP(2,1/('Weekly Tracker'!$E$2:$E$766=$A414)/('Weekly Tracker'!$O$2:$O$766&lt;&gt;""),'Weekly Tracker'!$O$2:$O$766),"")</f>
        <v/>
      </c>
    </row>
    <row r="415">
      <c r="A415" s="9" t="inlineStr">
        <is>
          <t>Bhuvaneshwari Urja</t>
        </is>
      </c>
      <c r="B415" s="9" t="inlineStr">
        <is>
          <t>917299567905</t>
        </is>
      </c>
      <c r="C415" s="9" t="n"/>
      <c r="D415" s="9" t="n"/>
      <c r="E415" s="9" t="n"/>
      <c r="F415" s="9">
        <f>IFERROR(LOOKUP(2,1/('Weekly Tracker'!$E$2:$E$766=$A415)/('Weekly Tracker'!$F$2:$F$766&lt;&gt;""),'Weekly Tracker'!$F$2:$F$766),"")</f>
        <v/>
      </c>
      <c r="G415" s="16">
        <f>IF(F415&lt;&gt;"",LOOKUP(2,1/('Weekly Tracker'!$E$2:$E$766=$A415)/('Weekly Tracker'!$F$2:$F$766&lt;&gt;""),'Weekly Tracker'!$G$2:$G$766),"")</f>
        <v/>
      </c>
      <c r="H415" s="9">
        <f>IFERROR(LOOKUP(2,1/('Weekly Tracker'!$E$2:$E$766=$A415)/('Weekly Tracker'!$H$2:$H$766&lt;&gt;""),'Weekly Tracker'!$H$2:$H$766),"")</f>
        <v/>
      </c>
      <c r="I415" s="16">
        <f>IF(H415&lt;&gt;"",LOOKUP(2,1/('Weekly Tracker'!$E$2:$E$766=$A415)/('Weekly Tracker'!$H$2:$H$766&lt;&gt;""),'Weekly Tracker'!$I$2:$I$766),"")</f>
        <v/>
      </c>
      <c r="J415" s="9">
        <f>IFERROR(LOOKUP(2,1/('Weekly Tracker'!$E$2:$E$766=$A415)/('Weekly Tracker'!$J$2:$J$766&lt;&gt;""),'Weekly Tracker'!$J$2:$J$766),"")</f>
        <v/>
      </c>
      <c r="K415" s="9">
        <f>IFERROR(LOOKUP(2,1/('Weekly Tracker'!$E$2:$E$766=$A415)/('Weekly Tracker'!$N$2:$N$766&lt;&gt;""),'Weekly Tracker'!$N$2:$N$766),"")</f>
        <v/>
      </c>
      <c r="L415" s="9">
        <f>IFERROR(LOOKUP(2,1/('Weekly Tracker'!$E$2:$E$766=$A415)/('Weekly Tracker'!$O$2:$O$766&lt;&gt;""),'Weekly Tracker'!$O$2:$O$766),"")</f>
        <v/>
      </c>
    </row>
    <row r="416">
      <c r="A416" s="9" t="inlineStr">
        <is>
          <t>Manikandan Jeyam FB</t>
        </is>
      </c>
      <c r="B416" s="9" t="inlineStr">
        <is>
          <t>9840863351</t>
        </is>
      </c>
      <c r="C416" s="9" t="n"/>
      <c r="D416" s="9" t="n"/>
      <c r="E416" s="9" t="n"/>
      <c r="F416" s="9">
        <f>IFERROR(LOOKUP(2,1/('Weekly Tracker'!$E$2:$E$766=$A416)/('Weekly Tracker'!$F$2:$F$766&lt;&gt;""),'Weekly Tracker'!$F$2:$F$766),"")</f>
        <v/>
      </c>
      <c r="G416" s="16">
        <f>IF(F416&lt;&gt;"",LOOKUP(2,1/('Weekly Tracker'!$E$2:$E$766=$A416)/('Weekly Tracker'!$F$2:$F$766&lt;&gt;""),'Weekly Tracker'!$G$2:$G$766),"")</f>
        <v/>
      </c>
      <c r="H416" s="9">
        <f>IFERROR(LOOKUP(2,1/('Weekly Tracker'!$E$2:$E$766=$A416)/('Weekly Tracker'!$H$2:$H$766&lt;&gt;""),'Weekly Tracker'!$H$2:$H$766),"")</f>
        <v/>
      </c>
      <c r="I416" s="16">
        <f>IF(H416&lt;&gt;"",LOOKUP(2,1/('Weekly Tracker'!$E$2:$E$766=$A416)/('Weekly Tracker'!$H$2:$H$766&lt;&gt;""),'Weekly Tracker'!$I$2:$I$766),"")</f>
        <v/>
      </c>
      <c r="J416" s="9">
        <f>IFERROR(LOOKUP(2,1/('Weekly Tracker'!$E$2:$E$766=$A416)/('Weekly Tracker'!$J$2:$J$766&lt;&gt;""),'Weekly Tracker'!$J$2:$J$766),"")</f>
        <v/>
      </c>
      <c r="K416" s="9">
        <f>IFERROR(LOOKUP(2,1/('Weekly Tracker'!$E$2:$E$766=$A416)/('Weekly Tracker'!$N$2:$N$766&lt;&gt;""),'Weekly Tracker'!$N$2:$N$766),"")</f>
        <v/>
      </c>
      <c r="L416" s="9">
        <f>IFERROR(LOOKUP(2,1/('Weekly Tracker'!$E$2:$E$766=$A416)/('Weekly Tracker'!$O$2:$O$766&lt;&gt;""),'Weekly Tracker'!$O$2:$O$766),"")</f>
        <v/>
      </c>
    </row>
    <row r="417">
      <c r="A417" s="9" t="inlineStr">
        <is>
          <t>Praveen Junior Fb</t>
        </is>
      </c>
      <c r="B417" s="9" t="inlineStr">
        <is>
          <t>9789954952</t>
        </is>
      </c>
      <c r="C417" s="9" t="n"/>
      <c r="D417" s="9" t="n"/>
      <c r="E417" s="9" t="n"/>
      <c r="F417" s="9">
        <f>IFERROR(LOOKUP(2,1/('Weekly Tracker'!$E$2:$E$766=$A417)/('Weekly Tracker'!$F$2:$F$766&lt;&gt;""),'Weekly Tracker'!$F$2:$F$766),"")</f>
        <v/>
      </c>
      <c r="G417" s="16">
        <f>IF(F417&lt;&gt;"",LOOKUP(2,1/('Weekly Tracker'!$E$2:$E$766=$A417)/('Weekly Tracker'!$F$2:$F$766&lt;&gt;""),'Weekly Tracker'!$G$2:$G$766),"")</f>
        <v/>
      </c>
      <c r="H417" s="9">
        <f>IFERROR(LOOKUP(2,1/('Weekly Tracker'!$E$2:$E$766=$A417)/('Weekly Tracker'!$H$2:$H$766&lt;&gt;""),'Weekly Tracker'!$H$2:$H$766),"")</f>
        <v/>
      </c>
      <c r="I417" s="16">
        <f>IF(H417&lt;&gt;"",LOOKUP(2,1/('Weekly Tracker'!$E$2:$E$766=$A417)/('Weekly Tracker'!$H$2:$H$766&lt;&gt;""),'Weekly Tracker'!$I$2:$I$766),"")</f>
        <v/>
      </c>
      <c r="J417" s="9">
        <f>IFERROR(LOOKUP(2,1/('Weekly Tracker'!$E$2:$E$766=$A417)/('Weekly Tracker'!$J$2:$J$766&lt;&gt;""),'Weekly Tracker'!$J$2:$J$766),"")</f>
        <v/>
      </c>
      <c r="K417" s="9">
        <f>IFERROR(LOOKUP(2,1/('Weekly Tracker'!$E$2:$E$766=$A417)/('Weekly Tracker'!$N$2:$N$766&lt;&gt;""),'Weekly Tracker'!$N$2:$N$766),"")</f>
        <v/>
      </c>
      <c r="L417" s="9">
        <f>IFERROR(LOOKUP(2,1/('Weekly Tracker'!$E$2:$E$766=$A417)/('Weekly Tracker'!$O$2:$O$766&lt;&gt;""),'Weekly Tracker'!$O$2:$O$766),"")</f>
        <v/>
      </c>
    </row>
    <row r="418">
      <c r="A418" s="9" t="inlineStr">
        <is>
          <t>Vinoth DA Urja</t>
        </is>
      </c>
      <c r="B418" s="9" t="inlineStr">
        <is>
          <t>917502672313</t>
        </is>
      </c>
      <c r="C418" s="9" t="n"/>
      <c r="D418" s="9" t="n"/>
      <c r="E418" s="9" t="n"/>
      <c r="F418" s="9">
        <f>IFERROR(LOOKUP(2,1/('Weekly Tracker'!$E$2:$E$766=$A418)/('Weekly Tracker'!$F$2:$F$766&lt;&gt;""),'Weekly Tracker'!$F$2:$F$766),"")</f>
        <v/>
      </c>
      <c r="G418" s="16">
        <f>IF(F418&lt;&gt;"",LOOKUP(2,1/('Weekly Tracker'!$E$2:$E$766=$A418)/('Weekly Tracker'!$F$2:$F$766&lt;&gt;""),'Weekly Tracker'!$G$2:$G$766),"")</f>
        <v/>
      </c>
      <c r="H418" s="9">
        <f>IFERROR(LOOKUP(2,1/('Weekly Tracker'!$E$2:$E$766=$A418)/('Weekly Tracker'!$H$2:$H$766&lt;&gt;""),'Weekly Tracker'!$H$2:$H$766),"")</f>
        <v/>
      </c>
      <c r="I418" s="16">
        <f>IF(H418&lt;&gt;"",LOOKUP(2,1/('Weekly Tracker'!$E$2:$E$766=$A418)/('Weekly Tracker'!$H$2:$H$766&lt;&gt;""),'Weekly Tracker'!$I$2:$I$766),"")</f>
        <v/>
      </c>
      <c r="J418" s="9">
        <f>IFERROR(LOOKUP(2,1/('Weekly Tracker'!$E$2:$E$766=$A418)/('Weekly Tracker'!$J$2:$J$766&lt;&gt;""),'Weekly Tracker'!$J$2:$J$766),"")</f>
        <v/>
      </c>
      <c r="K418" s="9">
        <f>IFERROR(LOOKUP(2,1/('Weekly Tracker'!$E$2:$E$766=$A418)/('Weekly Tracker'!$N$2:$N$766&lt;&gt;""),'Weekly Tracker'!$N$2:$N$766),"")</f>
        <v/>
      </c>
      <c r="L418" s="9">
        <f>IFERROR(LOOKUP(2,1/('Weekly Tracker'!$E$2:$E$766=$A418)/('Weekly Tracker'!$O$2:$O$766&lt;&gt;""),'Weekly Tracker'!$O$2:$O$766),"")</f>
        <v/>
      </c>
    </row>
    <row r="419">
      <c r="A419" s="9" t="inlineStr">
        <is>
          <t>Sathiesh Casagrand</t>
        </is>
      </c>
      <c r="B419" s="9" t="inlineStr">
        <is>
          <t>918925591961</t>
        </is>
      </c>
      <c r="C419" s="9" t="n"/>
      <c r="D419" s="9" t="n"/>
      <c r="E419" s="9" t="n"/>
      <c r="F419" s="9">
        <f>IFERROR(LOOKUP(2,1/('Weekly Tracker'!$E$2:$E$766=$A419)/('Weekly Tracker'!$F$2:$F$766&lt;&gt;""),'Weekly Tracker'!$F$2:$F$766),"")</f>
        <v/>
      </c>
      <c r="G419" s="16">
        <f>IF(F419&lt;&gt;"",LOOKUP(2,1/('Weekly Tracker'!$E$2:$E$766=$A419)/('Weekly Tracker'!$F$2:$F$766&lt;&gt;""),'Weekly Tracker'!$G$2:$G$766),"")</f>
        <v/>
      </c>
      <c r="H419" s="9">
        <f>IFERROR(LOOKUP(2,1/('Weekly Tracker'!$E$2:$E$766=$A419)/('Weekly Tracker'!$H$2:$H$766&lt;&gt;""),'Weekly Tracker'!$H$2:$H$766),"")</f>
        <v/>
      </c>
      <c r="I419" s="16">
        <f>IF(H419&lt;&gt;"",LOOKUP(2,1/('Weekly Tracker'!$E$2:$E$766=$A419)/('Weekly Tracker'!$H$2:$H$766&lt;&gt;""),'Weekly Tracker'!$I$2:$I$766),"")</f>
        <v/>
      </c>
      <c r="J419" s="9">
        <f>IFERROR(LOOKUP(2,1/('Weekly Tracker'!$E$2:$E$766=$A419)/('Weekly Tracker'!$J$2:$J$766&lt;&gt;""),'Weekly Tracker'!$J$2:$J$766),"")</f>
        <v/>
      </c>
      <c r="K419" s="9">
        <f>IFERROR(LOOKUP(2,1/('Weekly Tracker'!$E$2:$E$766=$A419)/('Weekly Tracker'!$N$2:$N$766&lt;&gt;""),'Weekly Tracker'!$N$2:$N$766),"")</f>
        <v/>
      </c>
      <c r="L419" s="9">
        <f>IFERROR(LOOKUP(2,1/('Weekly Tracker'!$E$2:$E$766=$A419)/('Weekly Tracker'!$O$2:$O$766&lt;&gt;""),'Weekly Tracker'!$O$2:$O$766),"")</f>
        <v/>
      </c>
    </row>
    <row r="420">
      <c r="A420" s="9" t="inlineStr">
        <is>
          <t>Karjala Mohitha HCL</t>
        </is>
      </c>
      <c r="B420" s="9" t="inlineStr">
        <is>
          <t>9182289355</t>
        </is>
      </c>
      <c r="C420" s="9" t="n"/>
      <c r="D420" s="9" t="n"/>
      <c r="E420" s="9" t="n"/>
      <c r="F420" s="9">
        <f>IFERROR(LOOKUP(2,1/('Weekly Tracker'!$E$2:$E$766=$A420)/('Weekly Tracker'!$F$2:$F$766&lt;&gt;""),'Weekly Tracker'!$F$2:$F$766),"")</f>
        <v/>
      </c>
      <c r="G420" s="16">
        <f>IF(F420&lt;&gt;"",LOOKUP(2,1/('Weekly Tracker'!$E$2:$E$766=$A420)/('Weekly Tracker'!$F$2:$F$766&lt;&gt;""),'Weekly Tracker'!$G$2:$G$766),"")</f>
        <v/>
      </c>
      <c r="H420" s="9">
        <f>IFERROR(LOOKUP(2,1/('Weekly Tracker'!$E$2:$E$766=$A420)/('Weekly Tracker'!$H$2:$H$766&lt;&gt;""),'Weekly Tracker'!$H$2:$H$766),"")</f>
        <v/>
      </c>
      <c r="I420" s="16">
        <f>IF(H420&lt;&gt;"",LOOKUP(2,1/('Weekly Tracker'!$E$2:$E$766=$A420)/('Weekly Tracker'!$H$2:$H$766&lt;&gt;""),'Weekly Tracker'!$I$2:$I$766),"")</f>
        <v/>
      </c>
      <c r="J420" s="9">
        <f>IFERROR(LOOKUP(2,1/('Weekly Tracker'!$E$2:$E$766=$A420)/('Weekly Tracker'!$J$2:$J$766&lt;&gt;""),'Weekly Tracker'!$J$2:$J$766),"")</f>
        <v/>
      </c>
      <c r="K420" s="9">
        <f>IFERROR(LOOKUP(2,1/('Weekly Tracker'!$E$2:$E$766=$A420)/('Weekly Tracker'!$N$2:$N$766&lt;&gt;""),'Weekly Tracker'!$N$2:$N$766),"")</f>
        <v/>
      </c>
      <c r="L420" s="9">
        <f>IFERROR(LOOKUP(2,1/('Weekly Tracker'!$E$2:$E$766=$A420)/('Weekly Tracker'!$O$2:$O$766&lt;&gt;""),'Weekly Tracker'!$O$2:$O$766),"")</f>
        <v/>
      </c>
    </row>
    <row r="421">
      <c r="A421" s="9" t="inlineStr">
        <is>
          <t>Eswarsaks Grp Ucen</t>
        </is>
      </c>
      <c r="B421" s="9" t="inlineStr">
        <is>
          <t>917806944183</t>
        </is>
      </c>
      <c r="C421" s="9" t="n"/>
      <c r="D421" s="9" t="n"/>
      <c r="E421" s="9" t="n"/>
      <c r="F421" s="9">
        <f>IFERROR(LOOKUP(2,1/('Weekly Tracker'!$E$2:$E$766=$A421)/('Weekly Tracker'!$F$2:$F$766&lt;&gt;""),'Weekly Tracker'!$F$2:$F$766),"")</f>
        <v/>
      </c>
      <c r="G421" s="16">
        <f>IF(F421&lt;&gt;"",LOOKUP(2,1/('Weekly Tracker'!$E$2:$E$766=$A421)/('Weekly Tracker'!$F$2:$F$766&lt;&gt;""),'Weekly Tracker'!$G$2:$G$766),"")</f>
        <v/>
      </c>
      <c r="H421" s="9">
        <f>IFERROR(LOOKUP(2,1/('Weekly Tracker'!$E$2:$E$766=$A421)/('Weekly Tracker'!$H$2:$H$766&lt;&gt;""),'Weekly Tracker'!$H$2:$H$766),"")</f>
        <v/>
      </c>
      <c r="I421" s="16">
        <f>IF(H421&lt;&gt;"",LOOKUP(2,1/('Weekly Tracker'!$E$2:$E$766=$A421)/('Weekly Tracker'!$H$2:$H$766&lt;&gt;""),'Weekly Tracker'!$I$2:$I$766),"")</f>
        <v/>
      </c>
      <c r="J421" s="9">
        <f>IFERROR(LOOKUP(2,1/('Weekly Tracker'!$E$2:$E$766=$A421)/('Weekly Tracker'!$J$2:$J$766&lt;&gt;""),'Weekly Tracker'!$J$2:$J$766),"")</f>
        <v/>
      </c>
      <c r="K421" s="9">
        <f>IFERROR(LOOKUP(2,1/('Weekly Tracker'!$E$2:$E$766=$A421)/('Weekly Tracker'!$N$2:$N$766&lt;&gt;""),'Weekly Tracker'!$N$2:$N$766),"")</f>
        <v/>
      </c>
      <c r="L421" s="9">
        <f>IFERROR(LOOKUP(2,1/('Weekly Tracker'!$E$2:$E$766=$A421)/('Weekly Tracker'!$O$2:$O$766&lt;&gt;""),'Weekly Tracker'!$O$2:$O$766),"")</f>
        <v/>
      </c>
    </row>
    <row r="422">
      <c r="A422" s="9" t="inlineStr">
        <is>
          <t>Balaji Honda Service</t>
        </is>
      </c>
      <c r="B422" s="9" t="inlineStr">
        <is>
          <t>9150007633</t>
        </is>
      </c>
      <c r="C422" s="9" t="n"/>
      <c r="D422" s="9" t="n"/>
      <c r="E422" s="9" t="n"/>
      <c r="F422" s="9">
        <f>IFERROR(LOOKUP(2,1/('Weekly Tracker'!$E$2:$E$766=$A422)/('Weekly Tracker'!$F$2:$F$766&lt;&gt;""),'Weekly Tracker'!$F$2:$F$766),"")</f>
        <v/>
      </c>
      <c r="G422" s="16">
        <f>IF(F422&lt;&gt;"",LOOKUP(2,1/('Weekly Tracker'!$E$2:$E$766=$A422)/('Weekly Tracker'!$F$2:$F$766&lt;&gt;""),'Weekly Tracker'!$G$2:$G$766),"")</f>
        <v/>
      </c>
      <c r="H422" s="9">
        <f>IFERROR(LOOKUP(2,1/('Weekly Tracker'!$E$2:$E$766=$A422)/('Weekly Tracker'!$H$2:$H$766&lt;&gt;""),'Weekly Tracker'!$H$2:$H$766),"")</f>
        <v/>
      </c>
      <c r="I422" s="16">
        <f>IF(H422&lt;&gt;"",LOOKUP(2,1/('Weekly Tracker'!$E$2:$E$766=$A422)/('Weekly Tracker'!$H$2:$H$766&lt;&gt;""),'Weekly Tracker'!$I$2:$I$766),"")</f>
        <v/>
      </c>
      <c r="J422" s="9">
        <f>IFERROR(LOOKUP(2,1/('Weekly Tracker'!$E$2:$E$766=$A422)/('Weekly Tracker'!$J$2:$J$766&lt;&gt;""),'Weekly Tracker'!$J$2:$J$766),"")</f>
        <v/>
      </c>
      <c r="K422" s="9">
        <f>IFERROR(LOOKUP(2,1/('Weekly Tracker'!$E$2:$E$766=$A422)/('Weekly Tracker'!$N$2:$N$766&lt;&gt;""),'Weekly Tracker'!$N$2:$N$766),"")</f>
        <v/>
      </c>
      <c r="L422" s="9">
        <f>IFERROR(LOOKUP(2,1/('Weekly Tracker'!$E$2:$E$766=$A422)/('Weekly Tracker'!$O$2:$O$766&lt;&gt;""),'Weekly Tracker'!$O$2:$O$766),"")</f>
        <v/>
      </c>
    </row>
    <row r="423">
      <c r="A423" s="9" t="inlineStr">
        <is>
          <t>Vimal Xavier FB</t>
        </is>
      </c>
      <c r="B423" s="9" t="inlineStr">
        <is>
          <t>9790032872</t>
        </is>
      </c>
      <c r="C423" s="9" t="n"/>
      <c r="D423" s="9" t="n"/>
      <c r="E423" s="9" t="n"/>
      <c r="F423" s="9">
        <f>IFERROR(LOOKUP(2,1/('Weekly Tracker'!$E$2:$E$766=$A423)/('Weekly Tracker'!$F$2:$F$766&lt;&gt;""),'Weekly Tracker'!$F$2:$F$766),"")</f>
        <v/>
      </c>
      <c r="G423" s="16">
        <f>IF(F423&lt;&gt;"",LOOKUP(2,1/('Weekly Tracker'!$E$2:$E$766=$A423)/('Weekly Tracker'!$F$2:$F$766&lt;&gt;""),'Weekly Tracker'!$G$2:$G$766),"")</f>
        <v/>
      </c>
      <c r="H423" s="9">
        <f>IFERROR(LOOKUP(2,1/('Weekly Tracker'!$E$2:$E$766=$A423)/('Weekly Tracker'!$H$2:$H$766&lt;&gt;""),'Weekly Tracker'!$H$2:$H$766),"")</f>
        <v/>
      </c>
      <c r="I423" s="16">
        <f>IF(H423&lt;&gt;"",LOOKUP(2,1/('Weekly Tracker'!$E$2:$E$766=$A423)/('Weekly Tracker'!$H$2:$H$766&lt;&gt;""),'Weekly Tracker'!$I$2:$I$766),"")</f>
        <v/>
      </c>
      <c r="J423" s="9">
        <f>IFERROR(LOOKUP(2,1/('Weekly Tracker'!$E$2:$E$766=$A423)/('Weekly Tracker'!$J$2:$J$766&lt;&gt;""),'Weekly Tracker'!$J$2:$J$766),"")</f>
        <v/>
      </c>
      <c r="K423" s="9">
        <f>IFERROR(LOOKUP(2,1/('Weekly Tracker'!$E$2:$E$766=$A423)/('Weekly Tracker'!$N$2:$N$766&lt;&gt;""),'Weekly Tracker'!$N$2:$N$766),"")</f>
        <v/>
      </c>
      <c r="L423" s="9">
        <f>IFERROR(LOOKUP(2,1/('Weekly Tracker'!$E$2:$E$766=$A423)/('Weekly Tracker'!$O$2:$O$766&lt;&gt;""),'Weekly Tracker'!$O$2:$O$766),"")</f>
        <v/>
      </c>
    </row>
    <row r="424">
      <c r="A424" s="9" t="inlineStr">
        <is>
          <t>HDFC Whatsappbanking</t>
        </is>
      </c>
      <c r="B424" s="9" t="inlineStr">
        <is>
          <t>70659 70659</t>
        </is>
      </c>
      <c r="C424" s="9" t="n"/>
      <c r="D424" s="9" t="n"/>
      <c r="E424" s="9" t="n"/>
      <c r="F424" s="9">
        <f>IFERROR(LOOKUP(2,1/('Weekly Tracker'!$E$2:$E$766=$A424)/('Weekly Tracker'!$F$2:$F$766&lt;&gt;""),'Weekly Tracker'!$F$2:$F$766),"")</f>
        <v/>
      </c>
      <c r="G424" s="16">
        <f>IF(F424&lt;&gt;"",LOOKUP(2,1/('Weekly Tracker'!$E$2:$E$766=$A424)/('Weekly Tracker'!$F$2:$F$766&lt;&gt;""),'Weekly Tracker'!$G$2:$G$766),"")</f>
        <v/>
      </c>
      <c r="H424" s="9">
        <f>IFERROR(LOOKUP(2,1/('Weekly Tracker'!$E$2:$E$766=$A424)/('Weekly Tracker'!$H$2:$H$766&lt;&gt;""),'Weekly Tracker'!$H$2:$H$766),"")</f>
        <v/>
      </c>
      <c r="I424" s="16">
        <f>IF(H424&lt;&gt;"",LOOKUP(2,1/('Weekly Tracker'!$E$2:$E$766=$A424)/('Weekly Tracker'!$H$2:$H$766&lt;&gt;""),'Weekly Tracker'!$I$2:$I$766),"")</f>
        <v/>
      </c>
      <c r="J424" s="9">
        <f>IFERROR(LOOKUP(2,1/('Weekly Tracker'!$E$2:$E$766=$A424)/('Weekly Tracker'!$J$2:$J$766&lt;&gt;""),'Weekly Tracker'!$J$2:$J$766),"")</f>
        <v/>
      </c>
      <c r="K424" s="9">
        <f>IFERROR(LOOKUP(2,1/('Weekly Tracker'!$E$2:$E$766=$A424)/('Weekly Tracker'!$N$2:$N$766&lt;&gt;""),'Weekly Tracker'!$N$2:$N$766),"")</f>
        <v/>
      </c>
      <c r="L424" s="9">
        <f>IFERROR(LOOKUP(2,1/('Weekly Tracker'!$E$2:$E$766=$A424)/('Weekly Tracker'!$O$2:$O$766&lt;&gt;""),'Weekly Tracker'!$O$2:$O$766),"")</f>
        <v/>
      </c>
    </row>
    <row r="425">
      <c r="A425" s="9" t="inlineStr">
        <is>
          <t>Natraj Ucen Grp</t>
        </is>
      </c>
      <c r="B425" s="9" t="inlineStr">
        <is>
          <t>919789210152</t>
        </is>
      </c>
      <c r="C425" s="9" t="n"/>
      <c r="D425" s="9" t="n"/>
      <c r="E425" s="9" t="n"/>
      <c r="F425" s="9">
        <f>IFERROR(LOOKUP(2,1/('Weekly Tracker'!$E$2:$E$766=$A425)/('Weekly Tracker'!$F$2:$F$766&lt;&gt;""),'Weekly Tracker'!$F$2:$F$766),"")</f>
        <v/>
      </c>
      <c r="G425" s="16">
        <f>IF(F425&lt;&gt;"",LOOKUP(2,1/('Weekly Tracker'!$E$2:$E$766=$A425)/('Weekly Tracker'!$F$2:$F$766&lt;&gt;""),'Weekly Tracker'!$G$2:$G$766),"")</f>
        <v/>
      </c>
      <c r="H425" s="9">
        <f>IFERROR(LOOKUP(2,1/('Weekly Tracker'!$E$2:$E$766=$A425)/('Weekly Tracker'!$H$2:$H$766&lt;&gt;""),'Weekly Tracker'!$H$2:$H$766),"")</f>
        <v/>
      </c>
      <c r="I425" s="16">
        <f>IF(H425&lt;&gt;"",LOOKUP(2,1/('Weekly Tracker'!$E$2:$E$766=$A425)/('Weekly Tracker'!$H$2:$H$766&lt;&gt;""),'Weekly Tracker'!$I$2:$I$766),"")</f>
        <v/>
      </c>
      <c r="J425" s="9">
        <f>IFERROR(LOOKUP(2,1/('Weekly Tracker'!$E$2:$E$766=$A425)/('Weekly Tracker'!$J$2:$J$766&lt;&gt;""),'Weekly Tracker'!$J$2:$J$766),"")</f>
        <v/>
      </c>
      <c r="K425" s="9">
        <f>IFERROR(LOOKUP(2,1/('Weekly Tracker'!$E$2:$E$766=$A425)/('Weekly Tracker'!$N$2:$N$766&lt;&gt;""),'Weekly Tracker'!$N$2:$N$766),"")</f>
        <v/>
      </c>
      <c r="L425" s="9">
        <f>IFERROR(LOOKUP(2,1/('Weekly Tracker'!$E$2:$E$766=$A425)/('Weekly Tracker'!$O$2:$O$766&lt;&gt;""),'Weekly Tracker'!$O$2:$O$766),"")</f>
        <v/>
      </c>
    </row>
    <row r="426">
      <c r="A426" s="9" t="inlineStr">
        <is>
          <t>Anusuya C ECE</t>
        </is>
      </c>
      <c r="B426" s="9" t="inlineStr">
        <is>
          <t>919003887250</t>
        </is>
      </c>
      <c r="C426" s="9" t="n"/>
      <c r="D426" s="9" t="n"/>
      <c r="E426" s="9" t="n"/>
      <c r="F426" s="9">
        <f>IFERROR(LOOKUP(2,1/('Weekly Tracker'!$E$2:$E$766=$A426)/('Weekly Tracker'!$F$2:$F$766&lt;&gt;""),'Weekly Tracker'!$F$2:$F$766),"")</f>
        <v/>
      </c>
      <c r="G426" s="16">
        <f>IF(F426&lt;&gt;"",LOOKUP(2,1/('Weekly Tracker'!$E$2:$E$766=$A426)/('Weekly Tracker'!$F$2:$F$766&lt;&gt;""),'Weekly Tracker'!$G$2:$G$766),"")</f>
        <v/>
      </c>
      <c r="H426" s="9">
        <f>IFERROR(LOOKUP(2,1/('Weekly Tracker'!$E$2:$E$766=$A426)/('Weekly Tracker'!$H$2:$H$766&lt;&gt;""),'Weekly Tracker'!$H$2:$H$766),"")</f>
        <v/>
      </c>
      <c r="I426" s="16">
        <f>IF(H426&lt;&gt;"",LOOKUP(2,1/('Weekly Tracker'!$E$2:$E$766=$A426)/('Weekly Tracker'!$H$2:$H$766&lt;&gt;""),'Weekly Tracker'!$I$2:$I$766),"")</f>
        <v/>
      </c>
      <c r="J426" s="9">
        <f>IFERROR(LOOKUP(2,1/('Weekly Tracker'!$E$2:$E$766=$A426)/('Weekly Tracker'!$J$2:$J$766&lt;&gt;""),'Weekly Tracker'!$J$2:$J$766),"")</f>
        <v/>
      </c>
      <c r="K426" s="9">
        <f>IFERROR(LOOKUP(2,1/('Weekly Tracker'!$E$2:$E$766=$A426)/('Weekly Tracker'!$N$2:$N$766&lt;&gt;""),'Weekly Tracker'!$N$2:$N$766),"")</f>
        <v/>
      </c>
      <c r="L426" s="9">
        <f>IFERROR(LOOKUP(2,1/('Weekly Tracker'!$E$2:$E$766=$A426)/('Weekly Tracker'!$O$2:$O$766&lt;&gt;""),'Weekly Tracker'!$O$2:$O$766),"")</f>
        <v/>
      </c>
    </row>
    <row r="427">
      <c r="A427" s="9" t="inlineStr">
        <is>
          <t>Pallantla Chetena Infy</t>
        </is>
      </c>
      <c r="B427" s="9" t="inlineStr">
        <is>
          <t>6289196831</t>
        </is>
      </c>
      <c r="C427" s="9" t="n"/>
      <c r="D427" s="9" t="n"/>
      <c r="E427" s="9" t="n"/>
      <c r="F427" s="9">
        <f>IFERROR(LOOKUP(2,1/('Weekly Tracker'!$E$2:$E$766=$A427)/('Weekly Tracker'!$F$2:$F$766&lt;&gt;""),'Weekly Tracker'!$F$2:$F$766),"")</f>
        <v/>
      </c>
      <c r="G427" s="16">
        <f>IF(F427&lt;&gt;"",LOOKUP(2,1/('Weekly Tracker'!$E$2:$E$766=$A427)/('Weekly Tracker'!$F$2:$F$766&lt;&gt;""),'Weekly Tracker'!$G$2:$G$766),"")</f>
        <v/>
      </c>
      <c r="H427" s="9">
        <f>IFERROR(LOOKUP(2,1/('Weekly Tracker'!$E$2:$E$766=$A427)/('Weekly Tracker'!$H$2:$H$766&lt;&gt;""),'Weekly Tracker'!$H$2:$H$766),"")</f>
        <v/>
      </c>
      <c r="I427" s="16">
        <f>IF(H427&lt;&gt;"",LOOKUP(2,1/('Weekly Tracker'!$E$2:$E$766=$A427)/('Weekly Tracker'!$H$2:$H$766&lt;&gt;""),'Weekly Tracker'!$I$2:$I$766),"")</f>
        <v/>
      </c>
      <c r="J427" s="9">
        <f>IFERROR(LOOKUP(2,1/('Weekly Tracker'!$E$2:$E$766=$A427)/('Weekly Tracker'!$J$2:$J$766&lt;&gt;""),'Weekly Tracker'!$J$2:$J$766),"")</f>
        <v/>
      </c>
      <c r="K427" s="9">
        <f>IFERROR(LOOKUP(2,1/('Weekly Tracker'!$E$2:$E$766=$A427)/('Weekly Tracker'!$N$2:$N$766&lt;&gt;""),'Weekly Tracker'!$N$2:$N$766),"")</f>
        <v/>
      </c>
      <c r="L427" s="9">
        <f>IFERROR(LOOKUP(2,1/('Weekly Tracker'!$E$2:$E$766=$A427)/('Weekly Tracker'!$O$2:$O$766&lt;&gt;""),'Weekly Tracker'!$O$2:$O$766),"")</f>
        <v/>
      </c>
    </row>
    <row r="428">
      <c r="A428" s="9" t="inlineStr">
        <is>
          <t>Senthil Jun FB</t>
        </is>
      </c>
      <c r="B428" s="9" t="inlineStr">
        <is>
          <t>917395991232</t>
        </is>
      </c>
      <c r="C428" s="9" t="n"/>
      <c r="D428" s="9" t="n"/>
      <c r="E428" s="9" t="n"/>
      <c r="F428" s="9">
        <f>IFERROR(LOOKUP(2,1/('Weekly Tracker'!$E$2:$E$766=$A428)/('Weekly Tracker'!$F$2:$F$766&lt;&gt;""),'Weekly Tracker'!$F$2:$F$766),"")</f>
        <v/>
      </c>
      <c r="G428" s="16">
        <f>IF(F428&lt;&gt;"",LOOKUP(2,1/('Weekly Tracker'!$E$2:$E$766=$A428)/('Weekly Tracker'!$F$2:$F$766&lt;&gt;""),'Weekly Tracker'!$G$2:$G$766),"")</f>
        <v/>
      </c>
      <c r="H428" s="9">
        <f>IFERROR(LOOKUP(2,1/('Weekly Tracker'!$E$2:$E$766=$A428)/('Weekly Tracker'!$H$2:$H$766&lt;&gt;""),'Weekly Tracker'!$H$2:$H$766),"")</f>
        <v/>
      </c>
      <c r="I428" s="16">
        <f>IF(H428&lt;&gt;"",LOOKUP(2,1/('Weekly Tracker'!$E$2:$E$766=$A428)/('Weekly Tracker'!$H$2:$H$766&lt;&gt;""),'Weekly Tracker'!$I$2:$I$766),"")</f>
        <v/>
      </c>
      <c r="J428" s="9">
        <f>IFERROR(LOOKUP(2,1/('Weekly Tracker'!$E$2:$E$766=$A428)/('Weekly Tracker'!$J$2:$J$766&lt;&gt;""),'Weekly Tracker'!$J$2:$J$766),"")</f>
        <v/>
      </c>
      <c r="K428" s="9">
        <f>IFERROR(LOOKUP(2,1/('Weekly Tracker'!$E$2:$E$766=$A428)/('Weekly Tracker'!$N$2:$N$766&lt;&gt;""),'Weekly Tracker'!$N$2:$N$766),"")</f>
        <v/>
      </c>
      <c r="L428" s="9">
        <f>IFERROR(LOOKUP(2,1/('Weekly Tracker'!$E$2:$E$766=$A428)/('Weekly Tracker'!$O$2:$O$766&lt;&gt;""),'Weekly Tracker'!$O$2:$O$766),"")</f>
        <v/>
      </c>
    </row>
    <row r="429">
      <c r="A429" s="9" t="inlineStr">
        <is>
          <t>Selva kumar Infosys</t>
        </is>
      </c>
      <c r="B429" s="9" t="inlineStr">
        <is>
          <t>919659432781</t>
        </is>
      </c>
      <c r="C429" s="9" t="n"/>
      <c r="D429" s="9" t="n"/>
      <c r="E429" s="9" t="n"/>
      <c r="F429" s="9">
        <f>IFERROR(LOOKUP(2,1/('Weekly Tracker'!$E$2:$E$766=$A429)/('Weekly Tracker'!$F$2:$F$766&lt;&gt;""),'Weekly Tracker'!$F$2:$F$766),"")</f>
        <v/>
      </c>
      <c r="G429" s="16">
        <f>IF(F429&lt;&gt;"",LOOKUP(2,1/('Weekly Tracker'!$E$2:$E$766=$A429)/('Weekly Tracker'!$F$2:$F$766&lt;&gt;""),'Weekly Tracker'!$G$2:$G$766),"")</f>
        <v/>
      </c>
      <c r="H429" s="9">
        <f>IFERROR(LOOKUP(2,1/('Weekly Tracker'!$E$2:$E$766=$A429)/('Weekly Tracker'!$H$2:$H$766&lt;&gt;""),'Weekly Tracker'!$H$2:$H$766),"")</f>
        <v/>
      </c>
      <c r="I429" s="16">
        <f>IF(H429&lt;&gt;"",LOOKUP(2,1/('Weekly Tracker'!$E$2:$E$766=$A429)/('Weekly Tracker'!$H$2:$H$766&lt;&gt;""),'Weekly Tracker'!$I$2:$I$766),"")</f>
        <v/>
      </c>
      <c r="J429" s="9">
        <f>IFERROR(LOOKUP(2,1/('Weekly Tracker'!$E$2:$E$766=$A429)/('Weekly Tracker'!$J$2:$J$766&lt;&gt;""),'Weekly Tracker'!$J$2:$J$766),"")</f>
        <v/>
      </c>
      <c r="K429" s="9">
        <f>IFERROR(LOOKUP(2,1/('Weekly Tracker'!$E$2:$E$766=$A429)/('Weekly Tracker'!$N$2:$N$766&lt;&gt;""),'Weekly Tracker'!$N$2:$N$766),"")</f>
        <v/>
      </c>
      <c r="L429" s="9">
        <f>IFERROR(LOOKUP(2,1/('Weekly Tracker'!$E$2:$E$766=$A429)/('Weekly Tracker'!$O$2:$O$766&lt;&gt;""),'Weekly Tracker'!$O$2:$O$766),"")</f>
        <v/>
      </c>
    </row>
    <row r="430">
      <c r="A430" s="9" t="inlineStr">
        <is>
          <t>Mano Priya Grp Ucen</t>
        </is>
      </c>
      <c r="B430" s="9" t="inlineStr">
        <is>
          <t>918050131386</t>
        </is>
      </c>
      <c r="C430" s="9" t="n"/>
      <c r="D430" s="9" t="n"/>
      <c r="E430" s="9" t="n"/>
      <c r="F430" s="9">
        <f>IFERROR(LOOKUP(2,1/('Weekly Tracker'!$E$2:$E$766=$A430)/('Weekly Tracker'!$F$2:$F$766&lt;&gt;""),'Weekly Tracker'!$F$2:$F$766),"")</f>
        <v/>
      </c>
      <c r="G430" s="16">
        <f>IF(F430&lt;&gt;"",LOOKUP(2,1/('Weekly Tracker'!$E$2:$E$766=$A430)/('Weekly Tracker'!$F$2:$F$766&lt;&gt;""),'Weekly Tracker'!$G$2:$G$766),"")</f>
        <v/>
      </c>
      <c r="H430" s="9">
        <f>IFERROR(LOOKUP(2,1/('Weekly Tracker'!$E$2:$E$766=$A430)/('Weekly Tracker'!$H$2:$H$766&lt;&gt;""),'Weekly Tracker'!$H$2:$H$766),"")</f>
        <v/>
      </c>
      <c r="I430" s="16">
        <f>IF(H430&lt;&gt;"",LOOKUP(2,1/('Weekly Tracker'!$E$2:$E$766=$A430)/('Weekly Tracker'!$H$2:$H$766&lt;&gt;""),'Weekly Tracker'!$I$2:$I$766),"")</f>
        <v/>
      </c>
      <c r="J430" s="9">
        <f>IFERROR(LOOKUP(2,1/('Weekly Tracker'!$E$2:$E$766=$A430)/('Weekly Tracker'!$J$2:$J$766&lt;&gt;""),'Weekly Tracker'!$J$2:$J$766),"")</f>
        <v/>
      </c>
      <c r="K430" s="9">
        <f>IFERROR(LOOKUP(2,1/('Weekly Tracker'!$E$2:$E$766=$A430)/('Weekly Tracker'!$N$2:$N$766&lt;&gt;""),'Weekly Tracker'!$N$2:$N$766),"")</f>
        <v/>
      </c>
      <c r="L430" s="9">
        <f>IFERROR(LOOKUP(2,1/('Weekly Tracker'!$E$2:$E$766=$A430)/('Weekly Tracker'!$O$2:$O$766&lt;&gt;""),'Weekly Tracker'!$O$2:$O$766),"")</f>
        <v/>
      </c>
    </row>
    <row r="431">
      <c r="A431" s="9" t="inlineStr">
        <is>
          <t>Jeyanthi Jey Junior Grp</t>
        </is>
      </c>
      <c r="B431" s="9" t="inlineStr">
        <is>
          <t>916379422927</t>
        </is>
      </c>
      <c r="C431" s="9" t="n"/>
      <c r="D431" s="9" t="n"/>
      <c r="E431" s="9" t="n"/>
      <c r="F431" s="9">
        <f>IFERROR(LOOKUP(2,1/('Weekly Tracker'!$E$2:$E$766=$A431)/('Weekly Tracker'!$F$2:$F$766&lt;&gt;""),'Weekly Tracker'!$F$2:$F$766),"")</f>
        <v/>
      </c>
      <c r="G431" s="16">
        <f>IF(F431&lt;&gt;"",LOOKUP(2,1/('Weekly Tracker'!$E$2:$E$766=$A431)/('Weekly Tracker'!$F$2:$F$766&lt;&gt;""),'Weekly Tracker'!$G$2:$G$766),"")</f>
        <v/>
      </c>
      <c r="H431" s="9">
        <f>IFERROR(LOOKUP(2,1/('Weekly Tracker'!$E$2:$E$766=$A431)/('Weekly Tracker'!$H$2:$H$766&lt;&gt;""),'Weekly Tracker'!$H$2:$H$766),"")</f>
        <v/>
      </c>
      <c r="I431" s="16">
        <f>IF(H431&lt;&gt;"",LOOKUP(2,1/('Weekly Tracker'!$E$2:$E$766=$A431)/('Weekly Tracker'!$H$2:$H$766&lt;&gt;""),'Weekly Tracker'!$I$2:$I$766),"")</f>
        <v/>
      </c>
      <c r="J431" s="9">
        <f>IFERROR(LOOKUP(2,1/('Weekly Tracker'!$E$2:$E$766=$A431)/('Weekly Tracker'!$J$2:$J$766&lt;&gt;""),'Weekly Tracker'!$J$2:$J$766),"")</f>
        <v/>
      </c>
      <c r="K431" s="9">
        <f>IFERROR(LOOKUP(2,1/('Weekly Tracker'!$E$2:$E$766=$A431)/('Weekly Tracker'!$N$2:$N$766&lt;&gt;""),'Weekly Tracker'!$N$2:$N$766),"")</f>
        <v/>
      </c>
      <c r="L431" s="9">
        <f>IFERROR(LOOKUP(2,1/('Weekly Tracker'!$E$2:$E$766=$A431)/('Weekly Tracker'!$O$2:$O$766&lt;&gt;""),'Weekly Tracker'!$O$2:$O$766),"")</f>
        <v/>
      </c>
    </row>
    <row r="432">
      <c r="A432" s="9" t="inlineStr">
        <is>
          <t>Alponse Albert FB</t>
        </is>
      </c>
      <c r="B432" s="9" t="inlineStr">
        <is>
          <t>9688198996</t>
        </is>
      </c>
      <c r="C432" s="9" t="n"/>
      <c r="D432" s="9" t="n"/>
      <c r="E432" s="9" t="n"/>
      <c r="F432" s="9">
        <f>IFERROR(LOOKUP(2,1/('Weekly Tracker'!$E$2:$E$766=$A432)/('Weekly Tracker'!$F$2:$F$766&lt;&gt;""),'Weekly Tracker'!$F$2:$F$766),"")</f>
        <v/>
      </c>
      <c r="G432" s="16">
        <f>IF(F432&lt;&gt;"",LOOKUP(2,1/('Weekly Tracker'!$E$2:$E$766=$A432)/('Weekly Tracker'!$F$2:$F$766&lt;&gt;""),'Weekly Tracker'!$G$2:$G$766),"")</f>
        <v/>
      </c>
      <c r="H432" s="9">
        <f>IFERROR(LOOKUP(2,1/('Weekly Tracker'!$E$2:$E$766=$A432)/('Weekly Tracker'!$H$2:$H$766&lt;&gt;""),'Weekly Tracker'!$H$2:$H$766),"")</f>
        <v/>
      </c>
      <c r="I432" s="16">
        <f>IF(H432&lt;&gt;"",LOOKUP(2,1/('Weekly Tracker'!$E$2:$E$766=$A432)/('Weekly Tracker'!$H$2:$H$766&lt;&gt;""),'Weekly Tracker'!$I$2:$I$766),"")</f>
        <v/>
      </c>
      <c r="J432" s="9">
        <f>IFERROR(LOOKUP(2,1/('Weekly Tracker'!$E$2:$E$766=$A432)/('Weekly Tracker'!$J$2:$J$766&lt;&gt;""),'Weekly Tracker'!$J$2:$J$766),"")</f>
        <v/>
      </c>
      <c r="K432" s="9">
        <f>IFERROR(LOOKUP(2,1/('Weekly Tracker'!$E$2:$E$766=$A432)/('Weekly Tracker'!$N$2:$N$766&lt;&gt;""),'Weekly Tracker'!$N$2:$N$766),"")</f>
        <v/>
      </c>
      <c r="L432" s="9">
        <f>IFERROR(LOOKUP(2,1/('Weekly Tracker'!$E$2:$E$766=$A432)/('Weekly Tracker'!$O$2:$O$766&lt;&gt;""),'Weekly Tracker'!$O$2:$O$766),"")</f>
        <v/>
      </c>
    </row>
    <row r="433">
      <c r="A433" s="9" t="inlineStr">
        <is>
          <t>Arul Antony Urja</t>
        </is>
      </c>
      <c r="B433" s="9" t="inlineStr">
        <is>
          <t>917395932279</t>
        </is>
      </c>
      <c r="C433" s="9" t="n"/>
      <c r="D433" s="9" t="n"/>
      <c r="E433" s="9" t="n"/>
      <c r="F433" s="9">
        <f>IFERROR(LOOKUP(2,1/('Weekly Tracker'!$E$2:$E$766=$A433)/('Weekly Tracker'!$F$2:$F$766&lt;&gt;""),'Weekly Tracker'!$F$2:$F$766),"")</f>
        <v/>
      </c>
      <c r="G433" s="16">
        <f>IF(F433&lt;&gt;"",LOOKUP(2,1/('Weekly Tracker'!$E$2:$E$766=$A433)/('Weekly Tracker'!$F$2:$F$766&lt;&gt;""),'Weekly Tracker'!$G$2:$G$766),"")</f>
        <v/>
      </c>
      <c r="H433" s="9">
        <f>IFERROR(LOOKUP(2,1/('Weekly Tracker'!$E$2:$E$766=$A433)/('Weekly Tracker'!$H$2:$H$766&lt;&gt;""),'Weekly Tracker'!$H$2:$H$766),"")</f>
        <v/>
      </c>
      <c r="I433" s="16">
        <f>IF(H433&lt;&gt;"",LOOKUP(2,1/('Weekly Tracker'!$E$2:$E$766=$A433)/('Weekly Tracker'!$H$2:$H$766&lt;&gt;""),'Weekly Tracker'!$I$2:$I$766),"")</f>
        <v/>
      </c>
      <c r="J433" s="9">
        <f>IFERROR(LOOKUP(2,1/('Weekly Tracker'!$E$2:$E$766=$A433)/('Weekly Tracker'!$J$2:$J$766&lt;&gt;""),'Weekly Tracker'!$J$2:$J$766),"")</f>
        <v/>
      </c>
      <c r="K433" s="9">
        <f>IFERROR(LOOKUP(2,1/('Weekly Tracker'!$E$2:$E$766=$A433)/('Weekly Tracker'!$N$2:$N$766&lt;&gt;""),'Weekly Tracker'!$N$2:$N$766),"")</f>
        <v/>
      </c>
      <c r="L433" s="9">
        <f>IFERROR(LOOKUP(2,1/('Weekly Tracker'!$E$2:$E$766=$A433)/('Weekly Tracker'!$O$2:$O$766&lt;&gt;""),'Weekly Tracker'!$O$2:$O$766),"")</f>
        <v/>
      </c>
    </row>
    <row r="434">
      <c r="A434" s="9" t="inlineStr">
        <is>
          <t>Selvam Urja</t>
        </is>
      </c>
      <c r="B434" s="9" t="inlineStr">
        <is>
          <t>919629188113</t>
        </is>
      </c>
      <c r="C434" s="9" t="n"/>
      <c r="D434" s="9" t="n"/>
      <c r="E434" s="9" t="n"/>
      <c r="F434" s="9">
        <f>IFERROR(LOOKUP(2,1/('Weekly Tracker'!$E$2:$E$766=$A434)/('Weekly Tracker'!$F$2:$F$766&lt;&gt;""),'Weekly Tracker'!$F$2:$F$766),"")</f>
        <v/>
      </c>
      <c r="G434" s="16">
        <f>IF(F434&lt;&gt;"",LOOKUP(2,1/('Weekly Tracker'!$E$2:$E$766=$A434)/('Weekly Tracker'!$F$2:$F$766&lt;&gt;""),'Weekly Tracker'!$G$2:$G$766),"")</f>
        <v/>
      </c>
      <c r="H434" s="9">
        <f>IFERROR(LOOKUP(2,1/('Weekly Tracker'!$E$2:$E$766=$A434)/('Weekly Tracker'!$H$2:$H$766&lt;&gt;""),'Weekly Tracker'!$H$2:$H$766),"")</f>
        <v/>
      </c>
      <c r="I434" s="16">
        <f>IF(H434&lt;&gt;"",LOOKUP(2,1/('Weekly Tracker'!$E$2:$E$766=$A434)/('Weekly Tracker'!$H$2:$H$766&lt;&gt;""),'Weekly Tracker'!$I$2:$I$766),"")</f>
        <v/>
      </c>
      <c r="J434" s="9">
        <f>IFERROR(LOOKUP(2,1/('Weekly Tracker'!$E$2:$E$766=$A434)/('Weekly Tracker'!$J$2:$J$766&lt;&gt;""),'Weekly Tracker'!$J$2:$J$766),"")</f>
        <v/>
      </c>
      <c r="K434" s="9">
        <f>IFERROR(LOOKUP(2,1/('Weekly Tracker'!$E$2:$E$766=$A434)/('Weekly Tracker'!$N$2:$N$766&lt;&gt;""),'Weekly Tracker'!$N$2:$N$766),"")</f>
        <v/>
      </c>
      <c r="L434" s="9">
        <f>IFERROR(LOOKUP(2,1/('Weekly Tracker'!$E$2:$E$766=$A434)/('Weekly Tracker'!$O$2:$O$766&lt;&gt;""),'Weekly Tracker'!$O$2:$O$766),"")</f>
        <v/>
      </c>
    </row>
    <row r="435">
      <c r="A435" s="9" t="inlineStr">
        <is>
          <t>Sharath Kumar Urja</t>
        </is>
      </c>
      <c r="B435" s="9" t="inlineStr">
        <is>
          <t>7418108138</t>
        </is>
      </c>
      <c r="C435" s="9" t="n"/>
      <c r="D435" s="9" t="n"/>
      <c r="E435" s="9" t="n"/>
      <c r="F435" s="9">
        <f>IFERROR(LOOKUP(2,1/('Weekly Tracker'!$E$2:$E$766=$A435)/('Weekly Tracker'!$F$2:$F$766&lt;&gt;""),'Weekly Tracker'!$F$2:$F$766),"")</f>
        <v/>
      </c>
      <c r="G435" s="16">
        <f>IF(F435&lt;&gt;"",LOOKUP(2,1/('Weekly Tracker'!$E$2:$E$766=$A435)/('Weekly Tracker'!$F$2:$F$766&lt;&gt;""),'Weekly Tracker'!$G$2:$G$766),"")</f>
        <v/>
      </c>
      <c r="H435" s="9">
        <f>IFERROR(LOOKUP(2,1/('Weekly Tracker'!$E$2:$E$766=$A435)/('Weekly Tracker'!$H$2:$H$766&lt;&gt;""),'Weekly Tracker'!$H$2:$H$766),"")</f>
        <v/>
      </c>
      <c r="I435" s="16">
        <f>IF(H435&lt;&gt;"",LOOKUP(2,1/('Weekly Tracker'!$E$2:$E$766=$A435)/('Weekly Tracker'!$H$2:$H$766&lt;&gt;""),'Weekly Tracker'!$I$2:$I$766),"")</f>
        <v/>
      </c>
      <c r="J435" s="9">
        <f>IFERROR(LOOKUP(2,1/('Weekly Tracker'!$E$2:$E$766=$A435)/('Weekly Tracker'!$J$2:$J$766&lt;&gt;""),'Weekly Tracker'!$J$2:$J$766),"")</f>
        <v/>
      </c>
      <c r="K435" s="9">
        <f>IFERROR(LOOKUP(2,1/('Weekly Tracker'!$E$2:$E$766=$A435)/('Weekly Tracker'!$N$2:$N$766&lt;&gt;""),'Weekly Tracker'!$N$2:$N$766),"")</f>
        <v/>
      </c>
      <c r="L435" s="9">
        <f>IFERROR(LOOKUP(2,1/('Weekly Tracker'!$E$2:$E$766=$A435)/('Weekly Tracker'!$O$2:$O$766&lt;&gt;""),'Weekly Tracker'!$O$2:$O$766),"")</f>
        <v/>
      </c>
    </row>
    <row r="436">
      <c r="A436" s="9" t="inlineStr">
        <is>
          <t>Ajiyad Aerhub</t>
        </is>
      </c>
      <c r="B436" s="9" t="inlineStr">
        <is>
          <t>7358582029</t>
        </is>
      </c>
      <c r="C436" s="9" t="n"/>
      <c r="D436" s="9" t="n"/>
      <c r="E436" s="9" t="n"/>
      <c r="F436" s="9">
        <f>IFERROR(LOOKUP(2,1/('Weekly Tracker'!$E$2:$E$766=$A436)/('Weekly Tracker'!$F$2:$F$766&lt;&gt;""),'Weekly Tracker'!$F$2:$F$766),"")</f>
        <v/>
      </c>
      <c r="G436" s="16">
        <f>IF(F436&lt;&gt;"",LOOKUP(2,1/('Weekly Tracker'!$E$2:$E$766=$A436)/('Weekly Tracker'!$F$2:$F$766&lt;&gt;""),'Weekly Tracker'!$G$2:$G$766),"")</f>
        <v/>
      </c>
      <c r="H436" s="9">
        <f>IFERROR(LOOKUP(2,1/('Weekly Tracker'!$E$2:$E$766=$A436)/('Weekly Tracker'!$H$2:$H$766&lt;&gt;""),'Weekly Tracker'!$H$2:$H$766),"")</f>
        <v/>
      </c>
      <c r="I436" s="16">
        <f>IF(H436&lt;&gt;"",LOOKUP(2,1/('Weekly Tracker'!$E$2:$E$766=$A436)/('Weekly Tracker'!$H$2:$H$766&lt;&gt;""),'Weekly Tracker'!$I$2:$I$766),"")</f>
        <v/>
      </c>
      <c r="J436" s="9">
        <f>IFERROR(LOOKUP(2,1/('Weekly Tracker'!$E$2:$E$766=$A436)/('Weekly Tracker'!$J$2:$J$766&lt;&gt;""),'Weekly Tracker'!$J$2:$J$766),"")</f>
        <v/>
      </c>
      <c r="K436" s="9">
        <f>IFERROR(LOOKUP(2,1/('Weekly Tracker'!$E$2:$E$766=$A436)/('Weekly Tracker'!$N$2:$N$766&lt;&gt;""),'Weekly Tracker'!$N$2:$N$766),"")</f>
        <v/>
      </c>
      <c r="L436" s="9">
        <f>IFERROR(LOOKUP(2,1/('Weekly Tracker'!$E$2:$E$766=$A436)/('Weekly Tracker'!$O$2:$O$766&lt;&gt;""),'Weekly Tracker'!$O$2:$O$766),"")</f>
        <v/>
      </c>
    </row>
    <row r="437">
      <c r="A437" s="9" t="inlineStr">
        <is>
          <t>Lakshmanan Grp Ucen</t>
        </is>
      </c>
      <c r="B437" s="9" t="inlineStr">
        <is>
          <t>918012152987</t>
        </is>
      </c>
      <c r="C437" s="9" t="n"/>
      <c r="D437" s="9" t="n"/>
      <c r="E437" s="9" t="n"/>
      <c r="F437" s="9">
        <f>IFERROR(LOOKUP(2,1/('Weekly Tracker'!$E$2:$E$766=$A437)/('Weekly Tracker'!$F$2:$F$766&lt;&gt;""),'Weekly Tracker'!$F$2:$F$766),"")</f>
        <v/>
      </c>
      <c r="G437" s="16">
        <f>IF(F437&lt;&gt;"",LOOKUP(2,1/('Weekly Tracker'!$E$2:$E$766=$A437)/('Weekly Tracker'!$F$2:$F$766&lt;&gt;""),'Weekly Tracker'!$G$2:$G$766),"")</f>
        <v/>
      </c>
      <c r="H437" s="9">
        <f>IFERROR(LOOKUP(2,1/('Weekly Tracker'!$E$2:$E$766=$A437)/('Weekly Tracker'!$H$2:$H$766&lt;&gt;""),'Weekly Tracker'!$H$2:$H$766),"")</f>
        <v/>
      </c>
      <c r="I437" s="16">
        <f>IF(H437&lt;&gt;"",LOOKUP(2,1/('Weekly Tracker'!$E$2:$E$766=$A437)/('Weekly Tracker'!$H$2:$H$766&lt;&gt;""),'Weekly Tracker'!$I$2:$I$766),"")</f>
        <v/>
      </c>
      <c r="J437" s="9">
        <f>IFERROR(LOOKUP(2,1/('Weekly Tracker'!$E$2:$E$766=$A437)/('Weekly Tracker'!$J$2:$J$766&lt;&gt;""),'Weekly Tracker'!$J$2:$J$766),"")</f>
        <v/>
      </c>
      <c r="K437" s="9">
        <f>IFERROR(LOOKUP(2,1/('Weekly Tracker'!$E$2:$E$766=$A437)/('Weekly Tracker'!$N$2:$N$766&lt;&gt;""),'Weekly Tracker'!$N$2:$N$766),"")</f>
        <v/>
      </c>
      <c r="L437" s="9">
        <f>IFERROR(LOOKUP(2,1/('Weekly Tracker'!$E$2:$E$766=$A437)/('Weekly Tracker'!$O$2:$O$766&lt;&gt;""),'Weekly Tracker'!$O$2:$O$766),"")</f>
        <v/>
      </c>
    </row>
    <row r="438">
      <c r="A438" s="9" t="inlineStr">
        <is>
          <t>Harish FB Qs</t>
        </is>
      </c>
      <c r="B438" s="9" t="inlineStr">
        <is>
          <t>9840147197</t>
        </is>
      </c>
      <c r="C438" s="9" t="n"/>
      <c r="D438" s="9" t="n"/>
      <c r="E438" s="9" t="n"/>
      <c r="F438" s="9">
        <f>IFERROR(LOOKUP(2,1/('Weekly Tracker'!$E$2:$E$766=$A438)/('Weekly Tracker'!$F$2:$F$766&lt;&gt;""),'Weekly Tracker'!$F$2:$F$766),"")</f>
        <v/>
      </c>
      <c r="G438" s="16">
        <f>IF(F438&lt;&gt;"",LOOKUP(2,1/('Weekly Tracker'!$E$2:$E$766=$A438)/('Weekly Tracker'!$F$2:$F$766&lt;&gt;""),'Weekly Tracker'!$G$2:$G$766),"")</f>
        <v/>
      </c>
      <c r="H438" s="9">
        <f>IFERROR(LOOKUP(2,1/('Weekly Tracker'!$E$2:$E$766=$A438)/('Weekly Tracker'!$H$2:$H$766&lt;&gt;""),'Weekly Tracker'!$H$2:$H$766),"")</f>
        <v/>
      </c>
      <c r="I438" s="16">
        <f>IF(H438&lt;&gt;"",LOOKUP(2,1/('Weekly Tracker'!$E$2:$E$766=$A438)/('Weekly Tracker'!$H$2:$H$766&lt;&gt;""),'Weekly Tracker'!$I$2:$I$766),"")</f>
        <v/>
      </c>
      <c r="J438" s="9">
        <f>IFERROR(LOOKUP(2,1/('Weekly Tracker'!$E$2:$E$766=$A438)/('Weekly Tracker'!$J$2:$J$766&lt;&gt;""),'Weekly Tracker'!$J$2:$J$766),"")</f>
        <v/>
      </c>
      <c r="K438" s="9">
        <f>IFERROR(LOOKUP(2,1/('Weekly Tracker'!$E$2:$E$766=$A438)/('Weekly Tracker'!$N$2:$N$766&lt;&gt;""),'Weekly Tracker'!$N$2:$N$766),"")</f>
        <v/>
      </c>
      <c r="L438" s="9">
        <f>IFERROR(LOOKUP(2,1/('Weekly Tracker'!$E$2:$E$766=$A438)/('Weekly Tracker'!$O$2:$O$766&lt;&gt;""),'Weekly Tracker'!$O$2:$O$766),"")</f>
        <v/>
      </c>
    </row>
    <row r="439">
      <c r="A439" s="9" t="inlineStr">
        <is>
          <t>Aishwarya Srinivasan Urja</t>
        </is>
      </c>
      <c r="B439" s="9" t="inlineStr">
        <is>
          <t>919600219418</t>
        </is>
      </c>
      <c r="C439" s="9" t="n"/>
      <c r="D439" s="9" t="n"/>
      <c r="E439" s="9" t="n"/>
      <c r="F439" s="9">
        <f>IFERROR(LOOKUP(2,1/('Weekly Tracker'!$E$2:$E$766=$A439)/('Weekly Tracker'!$F$2:$F$766&lt;&gt;""),'Weekly Tracker'!$F$2:$F$766),"")</f>
        <v/>
      </c>
      <c r="G439" s="16">
        <f>IF(F439&lt;&gt;"",LOOKUP(2,1/('Weekly Tracker'!$E$2:$E$766=$A439)/('Weekly Tracker'!$F$2:$F$766&lt;&gt;""),'Weekly Tracker'!$G$2:$G$766),"")</f>
        <v/>
      </c>
      <c r="H439" s="9">
        <f>IFERROR(LOOKUP(2,1/('Weekly Tracker'!$E$2:$E$766=$A439)/('Weekly Tracker'!$H$2:$H$766&lt;&gt;""),'Weekly Tracker'!$H$2:$H$766),"")</f>
        <v/>
      </c>
      <c r="I439" s="16">
        <f>IF(H439&lt;&gt;"",LOOKUP(2,1/('Weekly Tracker'!$E$2:$E$766=$A439)/('Weekly Tracker'!$H$2:$H$766&lt;&gt;""),'Weekly Tracker'!$I$2:$I$766),"")</f>
        <v/>
      </c>
      <c r="J439" s="9">
        <f>IFERROR(LOOKUP(2,1/('Weekly Tracker'!$E$2:$E$766=$A439)/('Weekly Tracker'!$J$2:$J$766&lt;&gt;""),'Weekly Tracker'!$J$2:$J$766),"")</f>
        <v/>
      </c>
      <c r="K439" s="9">
        <f>IFERROR(LOOKUP(2,1/('Weekly Tracker'!$E$2:$E$766=$A439)/('Weekly Tracker'!$N$2:$N$766&lt;&gt;""),'Weekly Tracker'!$N$2:$N$766),"")</f>
        <v/>
      </c>
      <c r="L439" s="9">
        <f>IFERROR(LOOKUP(2,1/('Weekly Tracker'!$E$2:$E$766=$A439)/('Weekly Tracker'!$O$2:$O$766&lt;&gt;""),'Weekly Tracker'!$O$2:$O$766),"")</f>
        <v/>
      </c>
    </row>
    <row r="440">
      <c r="A440" s="9" t="inlineStr">
        <is>
          <t>Srinivasan own</t>
        </is>
      </c>
      <c r="B440" s="9" t="inlineStr">
        <is>
          <t>917904693297</t>
        </is>
      </c>
      <c r="C440" s="9" t="n"/>
      <c r="D440" s="9" t="n"/>
      <c r="E440" s="9" t="n"/>
      <c r="F440" s="9">
        <f>IFERROR(LOOKUP(2,1/('Weekly Tracker'!$E$2:$E$766=$A440)/('Weekly Tracker'!$F$2:$F$766&lt;&gt;""),'Weekly Tracker'!$F$2:$F$766),"")</f>
        <v/>
      </c>
      <c r="G440" s="16">
        <f>IF(F440&lt;&gt;"",LOOKUP(2,1/('Weekly Tracker'!$E$2:$E$766=$A440)/('Weekly Tracker'!$F$2:$F$766&lt;&gt;""),'Weekly Tracker'!$G$2:$G$766),"")</f>
        <v/>
      </c>
      <c r="H440" s="9">
        <f>IFERROR(LOOKUP(2,1/('Weekly Tracker'!$E$2:$E$766=$A440)/('Weekly Tracker'!$H$2:$H$766&lt;&gt;""),'Weekly Tracker'!$H$2:$H$766),"")</f>
        <v/>
      </c>
      <c r="I440" s="16">
        <f>IF(H440&lt;&gt;"",LOOKUP(2,1/('Weekly Tracker'!$E$2:$E$766=$A440)/('Weekly Tracker'!$H$2:$H$766&lt;&gt;""),'Weekly Tracker'!$I$2:$I$766),"")</f>
        <v/>
      </c>
      <c r="J440" s="9">
        <f>IFERROR(LOOKUP(2,1/('Weekly Tracker'!$E$2:$E$766=$A440)/('Weekly Tracker'!$J$2:$J$766&lt;&gt;""),'Weekly Tracker'!$J$2:$J$766),"")</f>
        <v/>
      </c>
      <c r="K440" s="9">
        <f>IFERROR(LOOKUP(2,1/('Weekly Tracker'!$E$2:$E$766=$A440)/('Weekly Tracker'!$N$2:$N$766&lt;&gt;""),'Weekly Tracker'!$N$2:$N$766),"")</f>
        <v/>
      </c>
      <c r="L440" s="9">
        <f>IFERROR(LOOKUP(2,1/('Weekly Tracker'!$E$2:$E$766=$A440)/('Weekly Tracker'!$O$2:$O$766&lt;&gt;""),'Weekly Tracker'!$O$2:$O$766),"")</f>
        <v/>
      </c>
    </row>
    <row r="441">
      <c r="A441" s="9" t="inlineStr">
        <is>
          <t>Goli Karthik Infy</t>
        </is>
      </c>
      <c r="B441" s="9" t="inlineStr">
        <is>
          <t>8179014015</t>
        </is>
      </c>
      <c r="C441" s="9" t="n"/>
      <c r="D441" s="9" t="n"/>
      <c r="E441" s="9" t="n"/>
      <c r="F441" s="9">
        <f>IFERROR(LOOKUP(2,1/('Weekly Tracker'!$E$2:$E$766=$A441)/('Weekly Tracker'!$F$2:$F$766&lt;&gt;""),'Weekly Tracker'!$F$2:$F$766),"")</f>
        <v/>
      </c>
      <c r="G441" s="16">
        <f>IF(F441&lt;&gt;"",LOOKUP(2,1/('Weekly Tracker'!$E$2:$E$766=$A441)/('Weekly Tracker'!$F$2:$F$766&lt;&gt;""),'Weekly Tracker'!$G$2:$G$766),"")</f>
        <v/>
      </c>
      <c r="H441" s="9">
        <f>IFERROR(LOOKUP(2,1/('Weekly Tracker'!$E$2:$E$766=$A441)/('Weekly Tracker'!$H$2:$H$766&lt;&gt;""),'Weekly Tracker'!$H$2:$H$766),"")</f>
        <v/>
      </c>
      <c r="I441" s="16">
        <f>IF(H441&lt;&gt;"",LOOKUP(2,1/('Weekly Tracker'!$E$2:$E$766=$A441)/('Weekly Tracker'!$H$2:$H$766&lt;&gt;""),'Weekly Tracker'!$I$2:$I$766),"")</f>
        <v/>
      </c>
      <c r="J441" s="9">
        <f>IFERROR(LOOKUP(2,1/('Weekly Tracker'!$E$2:$E$766=$A441)/('Weekly Tracker'!$J$2:$J$766&lt;&gt;""),'Weekly Tracker'!$J$2:$J$766),"")</f>
        <v/>
      </c>
      <c r="K441" s="9">
        <f>IFERROR(LOOKUP(2,1/('Weekly Tracker'!$E$2:$E$766=$A441)/('Weekly Tracker'!$N$2:$N$766&lt;&gt;""),'Weekly Tracker'!$N$2:$N$766),"")</f>
        <v/>
      </c>
      <c r="L441" s="9">
        <f>IFERROR(LOOKUP(2,1/('Weekly Tracker'!$E$2:$E$766=$A441)/('Weekly Tracker'!$O$2:$O$766&lt;&gt;""),'Weekly Tracker'!$O$2:$O$766),"")</f>
        <v/>
      </c>
    </row>
    <row r="442">
      <c r="A442" s="9" t="inlineStr">
        <is>
          <t>Hari Qa Urja</t>
        </is>
      </c>
      <c r="B442" s="9" t="inlineStr">
        <is>
          <t>919791124852</t>
        </is>
      </c>
      <c r="C442" s="9" t="n"/>
      <c r="D442" s="9" t="n"/>
      <c r="E442" s="9" t="n"/>
      <c r="F442" s="9">
        <f>IFERROR(LOOKUP(2,1/('Weekly Tracker'!$E$2:$E$766=$A442)/('Weekly Tracker'!$F$2:$F$766&lt;&gt;""),'Weekly Tracker'!$F$2:$F$766),"")</f>
        <v/>
      </c>
      <c r="G442" s="16">
        <f>IF(F442&lt;&gt;"",LOOKUP(2,1/('Weekly Tracker'!$E$2:$E$766=$A442)/('Weekly Tracker'!$F$2:$F$766&lt;&gt;""),'Weekly Tracker'!$G$2:$G$766),"")</f>
        <v/>
      </c>
      <c r="H442" s="9">
        <f>IFERROR(LOOKUP(2,1/('Weekly Tracker'!$E$2:$E$766=$A442)/('Weekly Tracker'!$H$2:$H$766&lt;&gt;""),'Weekly Tracker'!$H$2:$H$766),"")</f>
        <v/>
      </c>
      <c r="I442" s="16">
        <f>IF(H442&lt;&gt;"",LOOKUP(2,1/('Weekly Tracker'!$E$2:$E$766=$A442)/('Weekly Tracker'!$H$2:$H$766&lt;&gt;""),'Weekly Tracker'!$I$2:$I$766),"")</f>
        <v/>
      </c>
      <c r="J442" s="9">
        <f>IFERROR(LOOKUP(2,1/('Weekly Tracker'!$E$2:$E$766=$A442)/('Weekly Tracker'!$J$2:$J$766&lt;&gt;""),'Weekly Tracker'!$J$2:$J$766),"")</f>
        <v/>
      </c>
      <c r="K442" s="9">
        <f>IFERROR(LOOKUP(2,1/('Weekly Tracker'!$E$2:$E$766=$A442)/('Weekly Tracker'!$N$2:$N$766&lt;&gt;""),'Weekly Tracker'!$N$2:$N$766),"")</f>
        <v/>
      </c>
      <c r="L442" s="9">
        <f>IFERROR(LOOKUP(2,1/('Weekly Tracker'!$E$2:$E$766=$A442)/('Weekly Tracker'!$O$2:$O$766&lt;&gt;""),'Weekly Tracker'!$O$2:$O$766),"")</f>
        <v/>
      </c>
    </row>
    <row r="443">
      <c r="A443" s="9" t="inlineStr">
        <is>
          <t>Mari Indigo FB</t>
        </is>
      </c>
      <c r="B443" s="9" t="inlineStr">
        <is>
          <t>6379301533</t>
        </is>
      </c>
      <c r="C443" s="9" t="n"/>
      <c r="D443" s="9" t="n"/>
      <c r="E443" s="9" t="n"/>
      <c r="F443" s="9">
        <f>IFERROR(LOOKUP(2,1/('Weekly Tracker'!$E$2:$E$766=$A443)/('Weekly Tracker'!$F$2:$F$766&lt;&gt;""),'Weekly Tracker'!$F$2:$F$766),"")</f>
        <v/>
      </c>
      <c r="G443" s="16">
        <f>IF(F443&lt;&gt;"",LOOKUP(2,1/('Weekly Tracker'!$E$2:$E$766=$A443)/('Weekly Tracker'!$F$2:$F$766&lt;&gt;""),'Weekly Tracker'!$G$2:$G$766),"")</f>
        <v/>
      </c>
      <c r="H443" s="9">
        <f>IFERROR(LOOKUP(2,1/('Weekly Tracker'!$E$2:$E$766=$A443)/('Weekly Tracker'!$H$2:$H$766&lt;&gt;""),'Weekly Tracker'!$H$2:$H$766),"")</f>
        <v/>
      </c>
      <c r="I443" s="16">
        <f>IF(H443&lt;&gt;"",LOOKUP(2,1/('Weekly Tracker'!$E$2:$E$766=$A443)/('Weekly Tracker'!$H$2:$H$766&lt;&gt;""),'Weekly Tracker'!$I$2:$I$766),"")</f>
        <v/>
      </c>
      <c r="J443" s="9">
        <f>IFERROR(LOOKUP(2,1/('Weekly Tracker'!$E$2:$E$766=$A443)/('Weekly Tracker'!$J$2:$J$766&lt;&gt;""),'Weekly Tracker'!$J$2:$J$766),"")</f>
        <v/>
      </c>
      <c r="K443" s="9">
        <f>IFERROR(LOOKUP(2,1/('Weekly Tracker'!$E$2:$E$766=$A443)/('Weekly Tracker'!$N$2:$N$766&lt;&gt;""),'Weekly Tracker'!$N$2:$N$766),"")</f>
        <v/>
      </c>
      <c r="L443" s="9">
        <f>IFERROR(LOOKUP(2,1/('Weekly Tracker'!$E$2:$E$766=$A443)/('Weekly Tracker'!$O$2:$O$766&lt;&gt;""),'Weekly Tracker'!$O$2:$O$766),"")</f>
        <v/>
      </c>
    </row>
    <row r="444">
      <c r="A444" s="9" t="inlineStr">
        <is>
          <t>Ramesh Civil</t>
        </is>
      </c>
      <c r="B444" s="9" t="inlineStr">
        <is>
          <t>918144763141</t>
        </is>
      </c>
      <c r="C444" s="9" t="n"/>
      <c r="D444" s="9" t="n"/>
      <c r="E444" s="9" t="n"/>
      <c r="F444" s="9">
        <f>IFERROR(LOOKUP(2,1/('Weekly Tracker'!$E$2:$E$766=$A444)/('Weekly Tracker'!$F$2:$F$766&lt;&gt;""),'Weekly Tracker'!$F$2:$F$766),"")</f>
        <v/>
      </c>
      <c r="G444" s="16">
        <f>IF(F444&lt;&gt;"",LOOKUP(2,1/('Weekly Tracker'!$E$2:$E$766=$A444)/('Weekly Tracker'!$F$2:$F$766&lt;&gt;""),'Weekly Tracker'!$G$2:$G$766),"")</f>
        <v/>
      </c>
      <c r="H444" s="9">
        <f>IFERROR(LOOKUP(2,1/('Weekly Tracker'!$E$2:$E$766=$A444)/('Weekly Tracker'!$H$2:$H$766&lt;&gt;""),'Weekly Tracker'!$H$2:$H$766),"")</f>
        <v/>
      </c>
      <c r="I444" s="16">
        <f>IF(H444&lt;&gt;"",LOOKUP(2,1/('Weekly Tracker'!$E$2:$E$766=$A444)/('Weekly Tracker'!$H$2:$H$766&lt;&gt;""),'Weekly Tracker'!$I$2:$I$766),"")</f>
        <v/>
      </c>
      <c r="J444" s="9">
        <f>IFERROR(LOOKUP(2,1/('Weekly Tracker'!$E$2:$E$766=$A444)/('Weekly Tracker'!$J$2:$J$766&lt;&gt;""),'Weekly Tracker'!$J$2:$J$766),"")</f>
        <v/>
      </c>
      <c r="K444" s="9">
        <f>IFERROR(LOOKUP(2,1/('Weekly Tracker'!$E$2:$E$766=$A444)/('Weekly Tracker'!$N$2:$N$766&lt;&gt;""),'Weekly Tracker'!$N$2:$N$766),"")</f>
        <v/>
      </c>
      <c r="L444" s="9">
        <f>IFERROR(LOOKUP(2,1/('Weekly Tracker'!$E$2:$E$766=$A444)/('Weekly Tracker'!$O$2:$O$766&lt;&gt;""),'Weekly Tracker'!$O$2:$O$766),"")</f>
        <v/>
      </c>
    </row>
    <row r="445">
      <c r="A445" s="9" t="inlineStr">
        <is>
          <t>Akkamadevi Srikrishna Frd</t>
        </is>
      </c>
      <c r="B445" s="9" t="inlineStr">
        <is>
          <t>918883456078</t>
        </is>
      </c>
      <c r="C445" s="9" t="n"/>
      <c r="D445" s="9" t="n"/>
      <c r="E445" s="9" t="n"/>
      <c r="F445" s="9">
        <f>IFERROR(LOOKUP(2,1/('Weekly Tracker'!$E$2:$E$766=$A445)/('Weekly Tracker'!$F$2:$F$766&lt;&gt;""),'Weekly Tracker'!$F$2:$F$766),"")</f>
        <v/>
      </c>
      <c r="G445" s="16">
        <f>IF(F445&lt;&gt;"",LOOKUP(2,1/('Weekly Tracker'!$E$2:$E$766=$A445)/('Weekly Tracker'!$F$2:$F$766&lt;&gt;""),'Weekly Tracker'!$G$2:$G$766),"")</f>
        <v/>
      </c>
      <c r="H445" s="9">
        <f>IFERROR(LOOKUP(2,1/('Weekly Tracker'!$E$2:$E$766=$A445)/('Weekly Tracker'!$H$2:$H$766&lt;&gt;""),'Weekly Tracker'!$H$2:$H$766),"")</f>
        <v/>
      </c>
      <c r="I445" s="16">
        <f>IF(H445&lt;&gt;"",LOOKUP(2,1/('Weekly Tracker'!$E$2:$E$766=$A445)/('Weekly Tracker'!$H$2:$H$766&lt;&gt;""),'Weekly Tracker'!$I$2:$I$766),"")</f>
        <v/>
      </c>
      <c r="J445" s="9">
        <f>IFERROR(LOOKUP(2,1/('Weekly Tracker'!$E$2:$E$766=$A445)/('Weekly Tracker'!$J$2:$J$766&lt;&gt;""),'Weekly Tracker'!$J$2:$J$766),"")</f>
        <v/>
      </c>
      <c r="K445" s="9">
        <f>IFERROR(LOOKUP(2,1/('Weekly Tracker'!$E$2:$E$766=$A445)/('Weekly Tracker'!$N$2:$N$766&lt;&gt;""),'Weekly Tracker'!$N$2:$N$766),"")</f>
        <v/>
      </c>
      <c r="L445" s="9">
        <f>IFERROR(LOOKUP(2,1/('Weekly Tracker'!$E$2:$E$766=$A445)/('Weekly Tracker'!$O$2:$O$766&lt;&gt;""),'Weekly Tracker'!$O$2:$O$766),"")</f>
        <v/>
      </c>
    </row>
    <row r="446">
      <c r="A446" s="9" t="inlineStr">
        <is>
          <t>Arun_Java qs</t>
        </is>
      </c>
      <c r="B446" s="9" t="inlineStr">
        <is>
          <t>919789868503</t>
        </is>
      </c>
      <c r="C446" s="9" t="n"/>
      <c r="D446" s="9" t="n"/>
      <c r="E446" s="9" t="n"/>
      <c r="F446" s="9">
        <f>IFERROR(LOOKUP(2,1/('Weekly Tracker'!$E$2:$E$766=$A446)/('Weekly Tracker'!$F$2:$F$766&lt;&gt;""),'Weekly Tracker'!$F$2:$F$766),"")</f>
        <v/>
      </c>
      <c r="G446" s="16">
        <f>IF(F446&lt;&gt;"",LOOKUP(2,1/('Weekly Tracker'!$E$2:$E$766=$A446)/('Weekly Tracker'!$F$2:$F$766&lt;&gt;""),'Weekly Tracker'!$G$2:$G$766),"")</f>
        <v/>
      </c>
      <c r="H446" s="9">
        <f>IFERROR(LOOKUP(2,1/('Weekly Tracker'!$E$2:$E$766=$A446)/('Weekly Tracker'!$H$2:$H$766&lt;&gt;""),'Weekly Tracker'!$H$2:$H$766),"")</f>
        <v/>
      </c>
      <c r="I446" s="16">
        <f>IF(H446&lt;&gt;"",LOOKUP(2,1/('Weekly Tracker'!$E$2:$E$766=$A446)/('Weekly Tracker'!$H$2:$H$766&lt;&gt;""),'Weekly Tracker'!$I$2:$I$766),"")</f>
        <v/>
      </c>
      <c r="J446" s="9">
        <f>IFERROR(LOOKUP(2,1/('Weekly Tracker'!$E$2:$E$766=$A446)/('Weekly Tracker'!$J$2:$J$766&lt;&gt;""),'Weekly Tracker'!$J$2:$J$766),"")</f>
        <v/>
      </c>
      <c r="K446" s="9">
        <f>IFERROR(LOOKUP(2,1/('Weekly Tracker'!$E$2:$E$766=$A446)/('Weekly Tracker'!$N$2:$N$766&lt;&gt;""),'Weekly Tracker'!$N$2:$N$766),"")</f>
        <v/>
      </c>
      <c r="L446" s="9">
        <f>IFERROR(LOOKUP(2,1/('Weekly Tracker'!$E$2:$E$766=$A446)/('Weekly Tracker'!$O$2:$O$766&lt;&gt;""),'Weekly Tracker'!$O$2:$O$766),"")</f>
        <v/>
      </c>
    </row>
    <row r="447">
      <c r="A447" s="9" t="inlineStr">
        <is>
          <t>Chandni Verz</t>
        </is>
      </c>
      <c r="B447" s="9" t="inlineStr">
        <is>
          <t>917550195898</t>
        </is>
      </c>
      <c r="C447" s="9" t="n"/>
      <c r="D447" s="9" t="n"/>
      <c r="E447" s="9" t="n"/>
      <c r="F447" s="9">
        <f>IFERROR(LOOKUP(2,1/('Weekly Tracker'!$E$2:$E$766=$A447)/('Weekly Tracker'!$F$2:$F$766&lt;&gt;""),'Weekly Tracker'!$F$2:$F$766),"")</f>
        <v/>
      </c>
      <c r="G447" s="16">
        <f>IF(F447&lt;&gt;"",LOOKUP(2,1/('Weekly Tracker'!$E$2:$E$766=$A447)/('Weekly Tracker'!$F$2:$F$766&lt;&gt;""),'Weekly Tracker'!$G$2:$G$766),"")</f>
        <v/>
      </c>
      <c r="H447" s="9">
        <f>IFERROR(LOOKUP(2,1/('Weekly Tracker'!$E$2:$E$766=$A447)/('Weekly Tracker'!$H$2:$H$766&lt;&gt;""),'Weekly Tracker'!$H$2:$H$766),"")</f>
        <v/>
      </c>
      <c r="I447" s="16">
        <f>IF(H447&lt;&gt;"",LOOKUP(2,1/('Weekly Tracker'!$E$2:$E$766=$A447)/('Weekly Tracker'!$H$2:$H$766&lt;&gt;""),'Weekly Tracker'!$I$2:$I$766),"")</f>
        <v/>
      </c>
      <c r="J447" s="9">
        <f>IFERROR(LOOKUP(2,1/('Weekly Tracker'!$E$2:$E$766=$A447)/('Weekly Tracker'!$J$2:$J$766&lt;&gt;""),'Weekly Tracker'!$J$2:$J$766),"")</f>
        <v/>
      </c>
      <c r="K447" s="9">
        <f>IFERROR(LOOKUP(2,1/('Weekly Tracker'!$E$2:$E$766=$A447)/('Weekly Tracker'!$N$2:$N$766&lt;&gt;""),'Weekly Tracker'!$N$2:$N$766),"")</f>
        <v/>
      </c>
      <c r="L447" s="9">
        <f>IFERROR(LOOKUP(2,1/('Weekly Tracker'!$E$2:$E$766=$A447)/('Weekly Tracker'!$O$2:$O$766&lt;&gt;""),'Weekly Tracker'!$O$2:$O$766),"")</f>
        <v/>
      </c>
    </row>
    <row r="448">
      <c r="A448" s="9" t="inlineStr">
        <is>
          <t>Perumal B Grp Ucen</t>
        </is>
      </c>
      <c r="B448" s="9" t="inlineStr">
        <is>
          <t>919952828496</t>
        </is>
      </c>
      <c r="C448" s="9" t="n"/>
      <c r="D448" s="9" t="n"/>
      <c r="E448" s="9" t="n"/>
      <c r="F448" s="9">
        <f>IFERROR(LOOKUP(2,1/('Weekly Tracker'!$E$2:$E$766=$A448)/('Weekly Tracker'!$F$2:$F$766&lt;&gt;""),'Weekly Tracker'!$F$2:$F$766),"")</f>
        <v/>
      </c>
      <c r="G448" s="16">
        <f>IF(F448&lt;&gt;"",LOOKUP(2,1/('Weekly Tracker'!$E$2:$E$766=$A448)/('Weekly Tracker'!$F$2:$F$766&lt;&gt;""),'Weekly Tracker'!$G$2:$G$766),"")</f>
        <v/>
      </c>
      <c r="H448" s="9">
        <f>IFERROR(LOOKUP(2,1/('Weekly Tracker'!$E$2:$E$766=$A448)/('Weekly Tracker'!$H$2:$H$766&lt;&gt;""),'Weekly Tracker'!$H$2:$H$766),"")</f>
        <v/>
      </c>
      <c r="I448" s="16">
        <f>IF(H448&lt;&gt;"",LOOKUP(2,1/('Weekly Tracker'!$E$2:$E$766=$A448)/('Weekly Tracker'!$H$2:$H$766&lt;&gt;""),'Weekly Tracker'!$I$2:$I$766),"")</f>
        <v/>
      </c>
      <c r="J448" s="9">
        <f>IFERROR(LOOKUP(2,1/('Weekly Tracker'!$E$2:$E$766=$A448)/('Weekly Tracker'!$J$2:$J$766&lt;&gt;""),'Weekly Tracker'!$J$2:$J$766),"")</f>
        <v/>
      </c>
      <c r="K448" s="9">
        <f>IFERROR(LOOKUP(2,1/('Weekly Tracker'!$E$2:$E$766=$A448)/('Weekly Tracker'!$N$2:$N$766&lt;&gt;""),'Weekly Tracker'!$N$2:$N$766),"")</f>
        <v/>
      </c>
      <c r="L448" s="9">
        <f>IFERROR(LOOKUP(2,1/('Weekly Tracker'!$E$2:$E$766=$A448)/('Weekly Tracker'!$O$2:$O$766&lt;&gt;""),'Weekly Tracker'!$O$2:$O$766),"")</f>
        <v/>
      </c>
    </row>
    <row r="449">
      <c r="A449" s="9" t="inlineStr">
        <is>
          <t>VaishKabi Hyderabad</t>
        </is>
      </c>
      <c r="B449" s="9" t="inlineStr">
        <is>
          <t>+91 6301-095738, 9840885060</t>
        </is>
      </c>
      <c r="C449" s="9" t="n"/>
      <c r="D449" s="9" t="n"/>
      <c r="E449" s="9" t="n"/>
      <c r="F449" s="9">
        <f>IFERROR(LOOKUP(2,1/('Weekly Tracker'!$E$2:$E$766=$A449)/('Weekly Tracker'!$F$2:$F$766&lt;&gt;""),'Weekly Tracker'!$F$2:$F$766),"")</f>
        <v/>
      </c>
      <c r="G449" s="16">
        <f>IF(F449&lt;&gt;"",LOOKUP(2,1/('Weekly Tracker'!$E$2:$E$766=$A449)/('Weekly Tracker'!$F$2:$F$766&lt;&gt;""),'Weekly Tracker'!$G$2:$G$766),"")</f>
        <v/>
      </c>
      <c r="H449" s="9">
        <f>IFERROR(LOOKUP(2,1/('Weekly Tracker'!$E$2:$E$766=$A449)/('Weekly Tracker'!$H$2:$H$766&lt;&gt;""),'Weekly Tracker'!$H$2:$H$766),"")</f>
        <v/>
      </c>
      <c r="I449" s="16">
        <f>IF(H449&lt;&gt;"",LOOKUP(2,1/('Weekly Tracker'!$E$2:$E$766=$A449)/('Weekly Tracker'!$H$2:$H$766&lt;&gt;""),'Weekly Tracker'!$I$2:$I$766),"")</f>
        <v/>
      </c>
      <c r="J449" s="9">
        <f>IFERROR(LOOKUP(2,1/('Weekly Tracker'!$E$2:$E$766=$A449)/('Weekly Tracker'!$J$2:$J$766&lt;&gt;""),'Weekly Tracker'!$J$2:$J$766),"")</f>
        <v/>
      </c>
      <c r="K449" s="9">
        <f>IFERROR(LOOKUP(2,1/('Weekly Tracker'!$E$2:$E$766=$A449)/('Weekly Tracker'!$N$2:$N$766&lt;&gt;""),'Weekly Tracker'!$N$2:$N$766),"")</f>
        <v/>
      </c>
      <c r="L449" s="9">
        <f>IFERROR(LOOKUP(2,1/('Weekly Tracker'!$E$2:$E$766=$A449)/('Weekly Tracker'!$O$2:$O$766&lt;&gt;""),'Weekly Tracker'!$O$2:$O$766),"")</f>
        <v/>
      </c>
    </row>
    <row r="450">
      <c r="A450" s="9" t="inlineStr">
        <is>
          <t>Suthakar Sps Grp Ucen</t>
        </is>
      </c>
      <c r="B450" s="9" t="inlineStr">
        <is>
          <t>918807968012</t>
        </is>
      </c>
      <c r="C450" s="9" t="n"/>
      <c r="D450" s="9" t="n"/>
      <c r="E450" s="9" t="n"/>
      <c r="F450" s="9">
        <f>IFERROR(LOOKUP(2,1/('Weekly Tracker'!$E$2:$E$766=$A450)/('Weekly Tracker'!$F$2:$F$766&lt;&gt;""),'Weekly Tracker'!$F$2:$F$766),"")</f>
        <v/>
      </c>
      <c r="G450" s="16">
        <f>IF(F450&lt;&gt;"",LOOKUP(2,1/('Weekly Tracker'!$E$2:$E$766=$A450)/('Weekly Tracker'!$F$2:$F$766&lt;&gt;""),'Weekly Tracker'!$G$2:$G$766),"")</f>
        <v/>
      </c>
      <c r="H450" s="9">
        <f>IFERROR(LOOKUP(2,1/('Weekly Tracker'!$E$2:$E$766=$A450)/('Weekly Tracker'!$H$2:$H$766&lt;&gt;""),'Weekly Tracker'!$H$2:$H$766),"")</f>
        <v/>
      </c>
      <c r="I450" s="16">
        <f>IF(H450&lt;&gt;"",LOOKUP(2,1/('Weekly Tracker'!$E$2:$E$766=$A450)/('Weekly Tracker'!$H$2:$H$766&lt;&gt;""),'Weekly Tracker'!$I$2:$I$766),"")</f>
        <v/>
      </c>
      <c r="J450" s="9">
        <f>IFERROR(LOOKUP(2,1/('Weekly Tracker'!$E$2:$E$766=$A450)/('Weekly Tracker'!$J$2:$J$766&lt;&gt;""),'Weekly Tracker'!$J$2:$J$766),"")</f>
        <v/>
      </c>
      <c r="K450" s="9">
        <f>IFERROR(LOOKUP(2,1/('Weekly Tracker'!$E$2:$E$766=$A450)/('Weekly Tracker'!$N$2:$N$766&lt;&gt;""),'Weekly Tracker'!$N$2:$N$766),"")</f>
        <v/>
      </c>
      <c r="L450" s="9">
        <f>IFERROR(LOOKUP(2,1/('Weekly Tracker'!$E$2:$E$766=$A450)/('Weekly Tracker'!$O$2:$O$766&lt;&gt;""),'Weekly Tracker'!$O$2:$O$766),"")</f>
        <v/>
      </c>
    </row>
    <row r="451">
      <c r="A451" s="9" t="inlineStr">
        <is>
          <t>Raja Manikam 1 Fb</t>
        </is>
      </c>
      <c r="B451" s="9" t="inlineStr">
        <is>
          <t>971588851856</t>
        </is>
      </c>
      <c r="C451" s="9" t="n"/>
      <c r="D451" s="9" t="n"/>
      <c r="E451" s="9" t="n"/>
      <c r="F451" s="9">
        <f>IFERROR(LOOKUP(2,1/('Weekly Tracker'!$E$2:$E$766=$A451)/('Weekly Tracker'!$F$2:$F$766&lt;&gt;""),'Weekly Tracker'!$F$2:$F$766),"")</f>
        <v/>
      </c>
      <c r="G451" s="16">
        <f>IF(F451&lt;&gt;"",LOOKUP(2,1/('Weekly Tracker'!$E$2:$E$766=$A451)/('Weekly Tracker'!$F$2:$F$766&lt;&gt;""),'Weekly Tracker'!$G$2:$G$766),"")</f>
        <v/>
      </c>
      <c r="H451" s="9">
        <f>IFERROR(LOOKUP(2,1/('Weekly Tracker'!$E$2:$E$766=$A451)/('Weekly Tracker'!$H$2:$H$766&lt;&gt;""),'Weekly Tracker'!$H$2:$H$766),"")</f>
        <v/>
      </c>
      <c r="I451" s="16">
        <f>IF(H451&lt;&gt;"",LOOKUP(2,1/('Weekly Tracker'!$E$2:$E$766=$A451)/('Weekly Tracker'!$H$2:$H$766&lt;&gt;""),'Weekly Tracker'!$I$2:$I$766),"")</f>
        <v/>
      </c>
      <c r="J451" s="9">
        <f>IFERROR(LOOKUP(2,1/('Weekly Tracker'!$E$2:$E$766=$A451)/('Weekly Tracker'!$J$2:$J$766&lt;&gt;""),'Weekly Tracker'!$J$2:$J$766),"")</f>
        <v/>
      </c>
      <c r="K451" s="9">
        <f>IFERROR(LOOKUP(2,1/('Weekly Tracker'!$E$2:$E$766=$A451)/('Weekly Tracker'!$N$2:$N$766&lt;&gt;""),'Weekly Tracker'!$N$2:$N$766),"")</f>
        <v/>
      </c>
      <c r="L451" s="9">
        <f>IFERROR(LOOKUP(2,1/('Weekly Tracker'!$E$2:$E$766=$A451)/('Weekly Tracker'!$O$2:$O$766&lt;&gt;""),'Weekly Tracker'!$O$2:$O$766),"")</f>
        <v/>
      </c>
    </row>
    <row r="452">
      <c r="A452" s="9" t="inlineStr">
        <is>
          <t>Born Suresh</t>
        </is>
      </c>
      <c r="B452" s="9" t="inlineStr">
        <is>
          <t>9952368678</t>
        </is>
      </c>
      <c r="C452" s="9" t="n"/>
      <c r="D452" s="9" t="n"/>
      <c r="E452" s="9" t="inlineStr">
        <is>
          <t>Tamil Nadu, India</t>
        </is>
      </c>
      <c r="F452" s="9">
        <f>IFERROR(LOOKUP(2,1/('Weekly Tracker'!$E$2:$E$766=$A452)/('Weekly Tracker'!$F$2:$F$766&lt;&gt;""),'Weekly Tracker'!$F$2:$F$766),"")</f>
        <v/>
      </c>
      <c r="G452" s="16">
        <f>IF(F452&lt;&gt;"",LOOKUP(2,1/('Weekly Tracker'!$E$2:$E$766=$A452)/('Weekly Tracker'!$F$2:$F$766&lt;&gt;""),'Weekly Tracker'!$G$2:$G$766),"")</f>
        <v/>
      </c>
      <c r="H452" s="9">
        <f>IFERROR(LOOKUP(2,1/('Weekly Tracker'!$E$2:$E$766=$A452)/('Weekly Tracker'!$H$2:$H$766&lt;&gt;""),'Weekly Tracker'!$H$2:$H$766),"")</f>
        <v/>
      </c>
      <c r="I452" s="16">
        <f>IF(H452&lt;&gt;"",LOOKUP(2,1/('Weekly Tracker'!$E$2:$E$766=$A452)/('Weekly Tracker'!$H$2:$H$766&lt;&gt;""),'Weekly Tracker'!$I$2:$I$766),"")</f>
        <v/>
      </c>
      <c r="J452" s="9">
        <f>IFERROR(LOOKUP(2,1/('Weekly Tracker'!$E$2:$E$766=$A452)/('Weekly Tracker'!$J$2:$J$766&lt;&gt;""),'Weekly Tracker'!$J$2:$J$766),"")</f>
        <v/>
      </c>
      <c r="K452" s="9">
        <f>IFERROR(LOOKUP(2,1/('Weekly Tracker'!$E$2:$E$766=$A452)/('Weekly Tracker'!$N$2:$N$766&lt;&gt;""),'Weekly Tracker'!$N$2:$N$766),"")</f>
        <v/>
      </c>
      <c r="L452" s="9">
        <f>IFERROR(LOOKUP(2,1/('Weekly Tracker'!$E$2:$E$766=$A452)/('Weekly Tracker'!$O$2:$O$766&lt;&gt;""),'Weekly Tracker'!$O$2:$O$766),"")</f>
        <v/>
      </c>
    </row>
    <row r="453">
      <c r="A453" s="9" t="inlineStr">
        <is>
          <t>Amit Dubey HCL</t>
        </is>
      </c>
      <c r="B453" s="9" t="inlineStr">
        <is>
          <t>919999476917</t>
        </is>
      </c>
      <c r="C453" s="9" t="n"/>
      <c r="D453" s="9" t="n"/>
      <c r="E453" s="9" t="n"/>
      <c r="F453" s="9">
        <f>IFERROR(LOOKUP(2,1/('Weekly Tracker'!$E$2:$E$766=$A453)/('Weekly Tracker'!$F$2:$F$766&lt;&gt;""),'Weekly Tracker'!$F$2:$F$766),"")</f>
        <v/>
      </c>
      <c r="G453" s="16">
        <f>IF(F453&lt;&gt;"",LOOKUP(2,1/('Weekly Tracker'!$E$2:$E$766=$A453)/('Weekly Tracker'!$F$2:$F$766&lt;&gt;""),'Weekly Tracker'!$G$2:$G$766),"")</f>
        <v/>
      </c>
      <c r="H453" s="9">
        <f>IFERROR(LOOKUP(2,1/('Weekly Tracker'!$E$2:$E$766=$A453)/('Weekly Tracker'!$H$2:$H$766&lt;&gt;""),'Weekly Tracker'!$H$2:$H$766),"")</f>
        <v/>
      </c>
      <c r="I453" s="16">
        <f>IF(H453&lt;&gt;"",LOOKUP(2,1/('Weekly Tracker'!$E$2:$E$766=$A453)/('Weekly Tracker'!$H$2:$H$766&lt;&gt;""),'Weekly Tracker'!$I$2:$I$766),"")</f>
        <v/>
      </c>
      <c r="J453" s="9">
        <f>IFERROR(LOOKUP(2,1/('Weekly Tracker'!$E$2:$E$766=$A453)/('Weekly Tracker'!$J$2:$J$766&lt;&gt;""),'Weekly Tracker'!$J$2:$J$766),"")</f>
        <v/>
      </c>
      <c r="K453" s="9">
        <f>IFERROR(LOOKUP(2,1/('Weekly Tracker'!$E$2:$E$766=$A453)/('Weekly Tracker'!$N$2:$N$766&lt;&gt;""),'Weekly Tracker'!$N$2:$N$766),"")</f>
        <v/>
      </c>
      <c r="L453" s="9">
        <f>IFERROR(LOOKUP(2,1/('Weekly Tracker'!$E$2:$E$766=$A453)/('Weekly Tracker'!$O$2:$O$766&lt;&gt;""),'Weekly Tracker'!$O$2:$O$766),"")</f>
        <v/>
      </c>
    </row>
    <row r="454">
      <c r="A454" s="9" t="inlineStr">
        <is>
          <t>Clinton Junior New FB</t>
        </is>
      </c>
      <c r="B454" s="9" t="inlineStr">
        <is>
          <t>917395989082</t>
        </is>
      </c>
      <c r="C454" s="9" t="n"/>
      <c r="D454" s="9" t="n"/>
      <c r="E454" s="9" t="n"/>
      <c r="F454" s="9">
        <f>IFERROR(LOOKUP(2,1/('Weekly Tracker'!$E$2:$E$766=$A454)/('Weekly Tracker'!$F$2:$F$766&lt;&gt;""),'Weekly Tracker'!$F$2:$F$766),"")</f>
        <v/>
      </c>
      <c r="G454" s="16">
        <f>IF(F454&lt;&gt;"",LOOKUP(2,1/('Weekly Tracker'!$E$2:$E$766=$A454)/('Weekly Tracker'!$F$2:$F$766&lt;&gt;""),'Weekly Tracker'!$G$2:$G$766),"")</f>
        <v/>
      </c>
      <c r="H454" s="9">
        <f>IFERROR(LOOKUP(2,1/('Weekly Tracker'!$E$2:$E$766=$A454)/('Weekly Tracker'!$H$2:$H$766&lt;&gt;""),'Weekly Tracker'!$H$2:$H$766),"")</f>
        <v/>
      </c>
      <c r="I454" s="16">
        <f>IF(H454&lt;&gt;"",LOOKUP(2,1/('Weekly Tracker'!$E$2:$E$766=$A454)/('Weekly Tracker'!$H$2:$H$766&lt;&gt;""),'Weekly Tracker'!$I$2:$I$766),"")</f>
        <v/>
      </c>
      <c r="J454" s="9">
        <f>IFERROR(LOOKUP(2,1/('Weekly Tracker'!$E$2:$E$766=$A454)/('Weekly Tracker'!$J$2:$J$766&lt;&gt;""),'Weekly Tracker'!$J$2:$J$766),"")</f>
        <v/>
      </c>
      <c r="K454" s="9">
        <f>IFERROR(LOOKUP(2,1/('Weekly Tracker'!$E$2:$E$766=$A454)/('Weekly Tracker'!$N$2:$N$766&lt;&gt;""),'Weekly Tracker'!$N$2:$N$766),"")</f>
        <v/>
      </c>
      <c r="L454" s="9">
        <f>IFERROR(LOOKUP(2,1/('Weekly Tracker'!$E$2:$E$766=$A454)/('Weekly Tracker'!$O$2:$O$766&lt;&gt;""),'Weekly Tracker'!$O$2:$O$766),"")</f>
        <v/>
      </c>
    </row>
    <row r="455">
      <c r="A455" s="9" t="inlineStr">
        <is>
          <t>Hariz N FB</t>
        </is>
      </c>
      <c r="B455" s="9" t="inlineStr">
        <is>
          <t>8870262370</t>
        </is>
      </c>
      <c r="C455" s="9" t="n"/>
      <c r="D455" s="9" t="n"/>
      <c r="E455" s="9" t="n"/>
      <c r="F455" s="9">
        <f>IFERROR(LOOKUP(2,1/('Weekly Tracker'!$E$2:$E$766=$A455)/('Weekly Tracker'!$F$2:$F$766&lt;&gt;""),'Weekly Tracker'!$F$2:$F$766),"")</f>
        <v/>
      </c>
      <c r="G455" s="16">
        <f>IF(F455&lt;&gt;"",LOOKUP(2,1/('Weekly Tracker'!$E$2:$E$766=$A455)/('Weekly Tracker'!$F$2:$F$766&lt;&gt;""),'Weekly Tracker'!$G$2:$G$766),"")</f>
        <v/>
      </c>
      <c r="H455" s="9">
        <f>IFERROR(LOOKUP(2,1/('Weekly Tracker'!$E$2:$E$766=$A455)/('Weekly Tracker'!$H$2:$H$766&lt;&gt;""),'Weekly Tracker'!$H$2:$H$766),"")</f>
        <v/>
      </c>
      <c r="I455" s="16">
        <f>IF(H455&lt;&gt;"",LOOKUP(2,1/('Weekly Tracker'!$E$2:$E$766=$A455)/('Weekly Tracker'!$H$2:$H$766&lt;&gt;""),'Weekly Tracker'!$I$2:$I$766),"")</f>
        <v/>
      </c>
      <c r="J455" s="9">
        <f>IFERROR(LOOKUP(2,1/('Weekly Tracker'!$E$2:$E$766=$A455)/('Weekly Tracker'!$J$2:$J$766&lt;&gt;""),'Weekly Tracker'!$J$2:$J$766),"")</f>
        <v/>
      </c>
      <c r="K455" s="9">
        <f>IFERROR(LOOKUP(2,1/('Weekly Tracker'!$E$2:$E$766=$A455)/('Weekly Tracker'!$N$2:$N$766&lt;&gt;""),'Weekly Tracker'!$N$2:$N$766),"")</f>
        <v/>
      </c>
      <c r="L455" s="9">
        <f>IFERROR(LOOKUP(2,1/('Weekly Tracker'!$E$2:$E$766=$A455)/('Weekly Tracker'!$O$2:$O$766&lt;&gt;""),'Weekly Tracker'!$O$2:$O$766),"")</f>
        <v/>
      </c>
    </row>
    <row r="456">
      <c r="A456" s="9" t="inlineStr">
        <is>
          <t>Ramesh Ponraj FB</t>
        </is>
      </c>
      <c r="B456" s="9" t="inlineStr">
        <is>
          <t>9790478027</t>
        </is>
      </c>
      <c r="C456" s="9" t="n"/>
      <c r="D456" s="9" t="n"/>
      <c r="E456" s="9" t="n"/>
      <c r="F456" s="9">
        <f>IFERROR(LOOKUP(2,1/('Weekly Tracker'!$E$2:$E$766=$A456)/('Weekly Tracker'!$F$2:$F$766&lt;&gt;""),'Weekly Tracker'!$F$2:$F$766),"")</f>
        <v/>
      </c>
      <c r="G456" s="16">
        <f>IF(F456&lt;&gt;"",LOOKUP(2,1/('Weekly Tracker'!$E$2:$E$766=$A456)/('Weekly Tracker'!$F$2:$F$766&lt;&gt;""),'Weekly Tracker'!$G$2:$G$766),"")</f>
        <v/>
      </c>
      <c r="H456" s="9">
        <f>IFERROR(LOOKUP(2,1/('Weekly Tracker'!$E$2:$E$766=$A456)/('Weekly Tracker'!$H$2:$H$766&lt;&gt;""),'Weekly Tracker'!$H$2:$H$766),"")</f>
        <v/>
      </c>
      <c r="I456" s="16">
        <f>IF(H456&lt;&gt;"",LOOKUP(2,1/('Weekly Tracker'!$E$2:$E$766=$A456)/('Weekly Tracker'!$H$2:$H$766&lt;&gt;""),'Weekly Tracker'!$I$2:$I$766),"")</f>
        <v/>
      </c>
      <c r="J456" s="9">
        <f>IFERROR(LOOKUP(2,1/('Weekly Tracker'!$E$2:$E$766=$A456)/('Weekly Tracker'!$J$2:$J$766&lt;&gt;""),'Weekly Tracker'!$J$2:$J$766),"")</f>
        <v/>
      </c>
      <c r="K456" s="9">
        <f>IFERROR(LOOKUP(2,1/('Weekly Tracker'!$E$2:$E$766=$A456)/('Weekly Tracker'!$N$2:$N$766&lt;&gt;""),'Weekly Tracker'!$N$2:$N$766),"")</f>
        <v/>
      </c>
      <c r="L456" s="9">
        <f>IFERROR(LOOKUP(2,1/('Weekly Tracker'!$E$2:$E$766=$A456)/('Weekly Tracker'!$O$2:$O$766&lt;&gt;""),'Weekly Tracker'!$O$2:$O$766),"")</f>
        <v/>
      </c>
    </row>
    <row r="457">
      <c r="A457" s="9" t="inlineStr">
        <is>
          <t>Adharsh M Grp Ucen</t>
        </is>
      </c>
      <c r="B457" s="9" t="inlineStr">
        <is>
          <t>919487306113</t>
        </is>
      </c>
      <c r="C457" s="9" t="n"/>
      <c r="D457" s="9" t="n"/>
      <c r="E457" s="9" t="n"/>
      <c r="F457" s="9">
        <f>IFERROR(LOOKUP(2,1/('Weekly Tracker'!$E$2:$E$766=$A457)/('Weekly Tracker'!$F$2:$F$766&lt;&gt;""),'Weekly Tracker'!$F$2:$F$766),"")</f>
        <v/>
      </c>
      <c r="G457" s="16">
        <f>IF(F457&lt;&gt;"",LOOKUP(2,1/('Weekly Tracker'!$E$2:$E$766=$A457)/('Weekly Tracker'!$F$2:$F$766&lt;&gt;""),'Weekly Tracker'!$G$2:$G$766),"")</f>
        <v/>
      </c>
      <c r="H457" s="9">
        <f>IFERROR(LOOKUP(2,1/('Weekly Tracker'!$E$2:$E$766=$A457)/('Weekly Tracker'!$H$2:$H$766&lt;&gt;""),'Weekly Tracker'!$H$2:$H$766),"")</f>
        <v/>
      </c>
      <c r="I457" s="16">
        <f>IF(H457&lt;&gt;"",LOOKUP(2,1/('Weekly Tracker'!$E$2:$E$766=$A457)/('Weekly Tracker'!$H$2:$H$766&lt;&gt;""),'Weekly Tracker'!$I$2:$I$766),"")</f>
        <v/>
      </c>
      <c r="J457" s="9">
        <f>IFERROR(LOOKUP(2,1/('Weekly Tracker'!$E$2:$E$766=$A457)/('Weekly Tracker'!$J$2:$J$766&lt;&gt;""),'Weekly Tracker'!$J$2:$J$766),"")</f>
        <v/>
      </c>
      <c r="K457" s="9">
        <f>IFERROR(LOOKUP(2,1/('Weekly Tracker'!$E$2:$E$766=$A457)/('Weekly Tracker'!$N$2:$N$766&lt;&gt;""),'Weekly Tracker'!$N$2:$N$766),"")</f>
        <v/>
      </c>
      <c r="L457" s="9">
        <f>IFERROR(LOOKUP(2,1/('Weekly Tracker'!$E$2:$E$766=$A457)/('Weekly Tracker'!$O$2:$O$766&lt;&gt;""),'Weekly Tracker'!$O$2:$O$766),"")</f>
        <v/>
      </c>
    </row>
    <row r="458">
      <c r="A458" s="9" t="inlineStr">
        <is>
          <t>Hathway Customer Care</t>
        </is>
      </c>
      <c r="B458" s="9" t="inlineStr">
        <is>
          <t>080-40045999</t>
        </is>
      </c>
      <c r="C458" s="9" t="n"/>
      <c r="D458" s="9" t="n"/>
      <c r="E458" s="9" t="n"/>
      <c r="F458" s="9">
        <f>IFERROR(LOOKUP(2,1/('Weekly Tracker'!$E$2:$E$766=$A458)/('Weekly Tracker'!$F$2:$F$766&lt;&gt;""),'Weekly Tracker'!$F$2:$F$766),"")</f>
        <v/>
      </c>
      <c r="G458" s="16">
        <f>IF(F458&lt;&gt;"",LOOKUP(2,1/('Weekly Tracker'!$E$2:$E$766=$A458)/('Weekly Tracker'!$F$2:$F$766&lt;&gt;""),'Weekly Tracker'!$G$2:$G$766),"")</f>
        <v/>
      </c>
      <c r="H458" s="9">
        <f>IFERROR(LOOKUP(2,1/('Weekly Tracker'!$E$2:$E$766=$A458)/('Weekly Tracker'!$H$2:$H$766&lt;&gt;""),'Weekly Tracker'!$H$2:$H$766),"")</f>
        <v/>
      </c>
      <c r="I458" s="16">
        <f>IF(H458&lt;&gt;"",LOOKUP(2,1/('Weekly Tracker'!$E$2:$E$766=$A458)/('Weekly Tracker'!$H$2:$H$766&lt;&gt;""),'Weekly Tracker'!$I$2:$I$766),"")</f>
        <v/>
      </c>
      <c r="J458" s="9">
        <f>IFERROR(LOOKUP(2,1/('Weekly Tracker'!$E$2:$E$766=$A458)/('Weekly Tracker'!$J$2:$J$766&lt;&gt;""),'Weekly Tracker'!$J$2:$J$766),"")</f>
        <v/>
      </c>
      <c r="K458" s="9">
        <f>IFERROR(LOOKUP(2,1/('Weekly Tracker'!$E$2:$E$766=$A458)/('Weekly Tracker'!$N$2:$N$766&lt;&gt;""),'Weekly Tracker'!$N$2:$N$766),"")</f>
        <v/>
      </c>
      <c r="L458" s="9">
        <f>IFERROR(LOOKUP(2,1/('Weekly Tracker'!$E$2:$E$766=$A458)/('Weekly Tracker'!$O$2:$O$766&lt;&gt;""),'Weekly Tracker'!$O$2:$O$766),"")</f>
        <v/>
      </c>
    </row>
    <row r="459">
      <c r="A459" s="9" t="inlineStr">
        <is>
          <t>Rejwin Grp UCEN</t>
        </is>
      </c>
      <c r="B459" s="9" t="inlineStr">
        <is>
          <t>919443210815</t>
        </is>
      </c>
      <c r="C459" s="9" t="n"/>
      <c r="D459" s="9" t="n"/>
      <c r="E459" s="9" t="n"/>
      <c r="F459" s="9">
        <f>IFERROR(LOOKUP(2,1/('Weekly Tracker'!$E$2:$E$766=$A459)/('Weekly Tracker'!$F$2:$F$766&lt;&gt;""),'Weekly Tracker'!$F$2:$F$766),"")</f>
        <v/>
      </c>
      <c r="G459" s="16">
        <f>IF(F459&lt;&gt;"",LOOKUP(2,1/('Weekly Tracker'!$E$2:$E$766=$A459)/('Weekly Tracker'!$F$2:$F$766&lt;&gt;""),'Weekly Tracker'!$G$2:$G$766),"")</f>
        <v/>
      </c>
      <c r="H459" s="9">
        <f>IFERROR(LOOKUP(2,1/('Weekly Tracker'!$E$2:$E$766=$A459)/('Weekly Tracker'!$H$2:$H$766&lt;&gt;""),'Weekly Tracker'!$H$2:$H$766),"")</f>
        <v/>
      </c>
      <c r="I459" s="16">
        <f>IF(H459&lt;&gt;"",LOOKUP(2,1/('Weekly Tracker'!$E$2:$E$766=$A459)/('Weekly Tracker'!$H$2:$H$766&lt;&gt;""),'Weekly Tracker'!$I$2:$I$766),"")</f>
        <v/>
      </c>
      <c r="J459" s="9">
        <f>IFERROR(LOOKUP(2,1/('Weekly Tracker'!$E$2:$E$766=$A459)/('Weekly Tracker'!$J$2:$J$766&lt;&gt;""),'Weekly Tracker'!$J$2:$J$766),"")</f>
        <v/>
      </c>
      <c r="K459" s="9">
        <f>IFERROR(LOOKUP(2,1/('Weekly Tracker'!$E$2:$E$766=$A459)/('Weekly Tracker'!$N$2:$N$766&lt;&gt;""),'Weekly Tracker'!$N$2:$N$766),"")</f>
        <v/>
      </c>
      <c r="L459" s="9">
        <f>IFERROR(LOOKUP(2,1/('Weekly Tracker'!$E$2:$E$766=$A459)/('Weekly Tracker'!$O$2:$O$766&lt;&gt;""),'Weekly Tracker'!$O$2:$O$766),"")</f>
        <v/>
      </c>
    </row>
    <row r="460">
      <c r="A460" s="9" t="inlineStr">
        <is>
          <t>Ashok Vankayalapati FB</t>
        </is>
      </c>
      <c r="B460" s="9" t="inlineStr">
        <is>
          <t>8681943425</t>
        </is>
      </c>
      <c r="C460" s="9" t="n"/>
      <c r="D460" s="9" t="n"/>
      <c r="E460" s="9" t="n"/>
      <c r="F460" s="9">
        <f>IFERROR(LOOKUP(2,1/('Weekly Tracker'!$E$2:$E$766=$A460)/('Weekly Tracker'!$F$2:$F$766&lt;&gt;""),'Weekly Tracker'!$F$2:$F$766),"")</f>
        <v/>
      </c>
      <c r="G460" s="16">
        <f>IF(F460&lt;&gt;"",LOOKUP(2,1/('Weekly Tracker'!$E$2:$E$766=$A460)/('Weekly Tracker'!$F$2:$F$766&lt;&gt;""),'Weekly Tracker'!$G$2:$G$766),"")</f>
        <v/>
      </c>
      <c r="H460" s="9">
        <f>IFERROR(LOOKUP(2,1/('Weekly Tracker'!$E$2:$E$766=$A460)/('Weekly Tracker'!$H$2:$H$766&lt;&gt;""),'Weekly Tracker'!$H$2:$H$766),"")</f>
        <v/>
      </c>
      <c r="I460" s="16">
        <f>IF(H460&lt;&gt;"",LOOKUP(2,1/('Weekly Tracker'!$E$2:$E$766=$A460)/('Weekly Tracker'!$H$2:$H$766&lt;&gt;""),'Weekly Tracker'!$I$2:$I$766),"")</f>
        <v/>
      </c>
      <c r="J460" s="9">
        <f>IFERROR(LOOKUP(2,1/('Weekly Tracker'!$E$2:$E$766=$A460)/('Weekly Tracker'!$J$2:$J$766&lt;&gt;""),'Weekly Tracker'!$J$2:$J$766),"")</f>
        <v/>
      </c>
      <c r="K460" s="9">
        <f>IFERROR(LOOKUP(2,1/('Weekly Tracker'!$E$2:$E$766=$A460)/('Weekly Tracker'!$N$2:$N$766&lt;&gt;""),'Weekly Tracker'!$N$2:$N$766),"")</f>
        <v/>
      </c>
      <c r="L460" s="9">
        <f>IFERROR(LOOKUP(2,1/('Weekly Tracker'!$E$2:$E$766=$A460)/('Weekly Tracker'!$O$2:$O$766&lt;&gt;""),'Weekly Tracker'!$O$2:$O$766),"")</f>
        <v/>
      </c>
    </row>
    <row r="461">
      <c r="A461" s="9" t="inlineStr">
        <is>
          <t>Ram Kumar FB</t>
        </is>
      </c>
      <c r="B461" s="9" t="inlineStr">
        <is>
          <t>7397056225, 96551221774</t>
        </is>
      </c>
      <c r="C461" s="9" t="n"/>
      <c r="D461" s="9" t="n"/>
      <c r="E461" s="9" t="n"/>
      <c r="F461" s="9">
        <f>IFERROR(LOOKUP(2,1/('Weekly Tracker'!$E$2:$E$766=$A461)/('Weekly Tracker'!$F$2:$F$766&lt;&gt;""),'Weekly Tracker'!$F$2:$F$766),"")</f>
        <v/>
      </c>
      <c r="G461" s="16">
        <f>IF(F461&lt;&gt;"",LOOKUP(2,1/('Weekly Tracker'!$E$2:$E$766=$A461)/('Weekly Tracker'!$F$2:$F$766&lt;&gt;""),'Weekly Tracker'!$G$2:$G$766),"")</f>
        <v/>
      </c>
      <c r="H461" s="9">
        <f>IFERROR(LOOKUP(2,1/('Weekly Tracker'!$E$2:$E$766=$A461)/('Weekly Tracker'!$H$2:$H$766&lt;&gt;""),'Weekly Tracker'!$H$2:$H$766),"")</f>
        <v/>
      </c>
      <c r="I461" s="16">
        <f>IF(H461&lt;&gt;"",LOOKUP(2,1/('Weekly Tracker'!$E$2:$E$766=$A461)/('Weekly Tracker'!$H$2:$H$766&lt;&gt;""),'Weekly Tracker'!$I$2:$I$766),"")</f>
        <v/>
      </c>
      <c r="J461" s="9">
        <f>IFERROR(LOOKUP(2,1/('Weekly Tracker'!$E$2:$E$766=$A461)/('Weekly Tracker'!$J$2:$J$766&lt;&gt;""),'Weekly Tracker'!$J$2:$J$766),"")</f>
        <v/>
      </c>
      <c r="K461" s="9">
        <f>IFERROR(LOOKUP(2,1/('Weekly Tracker'!$E$2:$E$766=$A461)/('Weekly Tracker'!$N$2:$N$766&lt;&gt;""),'Weekly Tracker'!$N$2:$N$766),"")</f>
        <v/>
      </c>
      <c r="L461" s="9">
        <f>IFERROR(LOOKUP(2,1/('Weekly Tracker'!$E$2:$E$766=$A461)/('Weekly Tracker'!$O$2:$O$766&lt;&gt;""),'Weekly Tracker'!$O$2:$O$766),"")</f>
        <v/>
      </c>
    </row>
    <row r="462">
      <c r="A462" s="9" t="inlineStr">
        <is>
          <t>Pazhani Murugan Scl</t>
        </is>
      </c>
      <c r="B462" s="9" t="inlineStr">
        <is>
          <t>919791200318</t>
        </is>
      </c>
      <c r="C462" s="9" t="n"/>
      <c r="D462" s="9" t="n"/>
      <c r="E462" s="9" t="n"/>
      <c r="F462" s="9">
        <f>IFERROR(LOOKUP(2,1/('Weekly Tracker'!$E$2:$E$766=$A462)/('Weekly Tracker'!$F$2:$F$766&lt;&gt;""),'Weekly Tracker'!$F$2:$F$766),"")</f>
        <v/>
      </c>
      <c r="G462" s="16">
        <f>IF(F462&lt;&gt;"",LOOKUP(2,1/('Weekly Tracker'!$E$2:$E$766=$A462)/('Weekly Tracker'!$F$2:$F$766&lt;&gt;""),'Weekly Tracker'!$G$2:$G$766),"")</f>
        <v/>
      </c>
      <c r="H462" s="9">
        <f>IFERROR(LOOKUP(2,1/('Weekly Tracker'!$E$2:$E$766=$A462)/('Weekly Tracker'!$H$2:$H$766&lt;&gt;""),'Weekly Tracker'!$H$2:$H$766),"")</f>
        <v/>
      </c>
      <c r="I462" s="16">
        <f>IF(H462&lt;&gt;"",LOOKUP(2,1/('Weekly Tracker'!$E$2:$E$766=$A462)/('Weekly Tracker'!$H$2:$H$766&lt;&gt;""),'Weekly Tracker'!$I$2:$I$766),"")</f>
        <v/>
      </c>
      <c r="J462" s="9">
        <f>IFERROR(LOOKUP(2,1/('Weekly Tracker'!$E$2:$E$766=$A462)/('Weekly Tracker'!$J$2:$J$766&lt;&gt;""),'Weekly Tracker'!$J$2:$J$766),"")</f>
        <v/>
      </c>
      <c r="K462" s="9">
        <f>IFERROR(LOOKUP(2,1/('Weekly Tracker'!$E$2:$E$766=$A462)/('Weekly Tracker'!$N$2:$N$766&lt;&gt;""),'Weekly Tracker'!$N$2:$N$766),"")</f>
        <v/>
      </c>
      <c r="L462" s="9">
        <f>IFERROR(LOOKUP(2,1/('Weekly Tracker'!$E$2:$E$766=$A462)/('Weekly Tracker'!$O$2:$O$766&lt;&gt;""),'Weekly Tracker'!$O$2:$O$766),"")</f>
        <v/>
      </c>
    </row>
    <row r="463">
      <c r="A463" s="9" t="inlineStr">
        <is>
          <t>Selva Kumar Scl Selvaa FB</t>
        </is>
      </c>
      <c r="B463" s="9" t="inlineStr">
        <is>
          <t>+91 90950 50257</t>
        </is>
      </c>
      <c r="C463" s="9" t="n"/>
      <c r="D463" s="9" t="n"/>
      <c r="E463" s="9" t="n"/>
      <c r="F463" s="9">
        <f>IFERROR(LOOKUP(2,1/('Weekly Tracker'!$E$2:$E$766=$A463)/('Weekly Tracker'!$F$2:$F$766&lt;&gt;""),'Weekly Tracker'!$F$2:$F$766),"")</f>
        <v/>
      </c>
      <c r="G463" s="16">
        <f>IF(F463&lt;&gt;"",LOOKUP(2,1/('Weekly Tracker'!$E$2:$E$766=$A463)/('Weekly Tracker'!$F$2:$F$766&lt;&gt;""),'Weekly Tracker'!$G$2:$G$766),"")</f>
        <v/>
      </c>
      <c r="H463" s="9">
        <f>IFERROR(LOOKUP(2,1/('Weekly Tracker'!$E$2:$E$766=$A463)/('Weekly Tracker'!$H$2:$H$766&lt;&gt;""),'Weekly Tracker'!$H$2:$H$766),"")</f>
        <v/>
      </c>
      <c r="I463" s="16">
        <f>IF(H463&lt;&gt;"",LOOKUP(2,1/('Weekly Tracker'!$E$2:$E$766=$A463)/('Weekly Tracker'!$H$2:$H$766&lt;&gt;""),'Weekly Tracker'!$I$2:$I$766),"")</f>
        <v/>
      </c>
      <c r="J463" s="9">
        <f>IFERROR(LOOKUP(2,1/('Weekly Tracker'!$E$2:$E$766=$A463)/('Weekly Tracker'!$J$2:$J$766&lt;&gt;""),'Weekly Tracker'!$J$2:$J$766),"")</f>
        <v/>
      </c>
      <c r="K463" s="9">
        <f>IFERROR(LOOKUP(2,1/('Weekly Tracker'!$E$2:$E$766=$A463)/('Weekly Tracker'!$N$2:$N$766&lt;&gt;""),'Weekly Tracker'!$N$2:$N$766),"")</f>
        <v/>
      </c>
      <c r="L463" s="9">
        <f>IFERROR(LOOKUP(2,1/('Weekly Tracker'!$E$2:$E$766=$A463)/('Weekly Tracker'!$O$2:$O$766&lt;&gt;""),'Weekly Tracker'!$O$2:$O$766),"")</f>
        <v/>
      </c>
    </row>
    <row r="464">
      <c r="A464" s="9" t="inlineStr">
        <is>
          <t>Bharath FB</t>
        </is>
      </c>
      <c r="B464" s="9" t="inlineStr">
        <is>
          <t>6379126460</t>
        </is>
      </c>
      <c r="C464" s="9" t="n"/>
      <c r="D464" s="9" t="n"/>
      <c r="E464" s="9" t="n"/>
      <c r="F464" s="9">
        <f>IFERROR(LOOKUP(2,1/('Weekly Tracker'!$E$2:$E$766=$A464)/('Weekly Tracker'!$F$2:$F$766&lt;&gt;""),'Weekly Tracker'!$F$2:$F$766),"")</f>
        <v/>
      </c>
      <c r="G464" s="16">
        <f>IF(F464&lt;&gt;"",LOOKUP(2,1/('Weekly Tracker'!$E$2:$E$766=$A464)/('Weekly Tracker'!$F$2:$F$766&lt;&gt;""),'Weekly Tracker'!$G$2:$G$766),"")</f>
        <v/>
      </c>
      <c r="H464" s="9">
        <f>IFERROR(LOOKUP(2,1/('Weekly Tracker'!$E$2:$E$766=$A464)/('Weekly Tracker'!$H$2:$H$766&lt;&gt;""),'Weekly Tracker'!$H$2:$H$766),"")</f>
        <v/>
      </c>
      <c r="I464" s="16">
        <f>IF(H464&lt;&gt;"",LOOKUP(2,1/('Weekly Tracker'!$E$2:$E$766=$A464)/('Weekly Tracker'!$H$2:$H$766&lt;&gt;""),'Weekly Tracker'!$I$2:$I$766),"")</f>
        <v/>
      </c>
      <c r="J464" s="9">
        <f>IFERROR(LOOKUP(2,1/('Weekly Tracker'!$E$2:$E$766=$A464)/('Weekly Tracker'!$J$2:$J$766&lt;&gt;""),'Weekly Tracker'!$J$2:$J$766),"")</f>
        <v/>
      </c>
      <c r="K464" s="9">
        <f>IFERROR(LOOKUP(2,1/('Weekly Tracker'!$E$2:$E$766=$A464)/('Weekly Tracker'!$N$2:$N$766&lt;&gt;""),'Weekly Tracker'!$N$2:$N$766),"")</f>
        <v/>
      </c>
      <c r="L464" s="9">
        <f>IFERROR(LOOKUP(2,1/('Weekly Tracker'!$E$2:$E$766=$A464)/('Weekly Tracker'!$O$2:$O$766&lt;&gt;""),'Weekly Tracker'!$O$2:$O$766),"")</f>
        <v/>
      </c>
    </row>
    <row r="465">
      <c r="A465" s="9" t="inlineStr">
        <is>
          <t>Sony Mobile Support</t>
        </is>
      </c>
      <c r="B465" s="9" t="inlineStr">
        <is>
          <t>18001037799</t>
        </is>
      </c>
      <c r="C465" s="9" t="n"/>
      <c r="D465" s="9" t="n"/>
      <c r="E465" s="9" t="n"/>
      <c r="F465" s="9">
        <f>IFERROR(LOOKUP(2,1/('Weekly Tracker'!$E$2:$E$766=$A465)/('Weekly Tracker'!$F$2:$F$766&lt;&gt;""),'Weekly Tracker'!$F$2:$F$766),"")</f>
        <v/>
      </c>
      <c r="G465" s="16">
        <f>IF(F465&lt;&gt;"",LOOKUP(2,1/('Weekly Tracker'!$E$2:$E$766=$A465)/('Weekly Tracker'!$F$2:$F$766&lt;&gt;""),'Weekly Tracker'!$G$2:$G$766),"")</f>
        <v/>
      </c>
      <c r="H465" s="9">
        <f>IFERROR(LOOKUP(2,1/('Weekly Tracker'!$E$2:$E$766=$A465)/('Weekly Tracker'!$H$2:$H$766&lt;&gt;""),'Weekly Tracker'!$H$2:$H$766),"")</f>
        <v/>
      </c>
      <c r="I465" s="16">
        <f>IF(H465&lt;&gt;"",LOOKUP(2,1/('Weekly Tracker'!$E$2:$E$766=$A465)/('Weekly Tracker'!$H$2:$H$766&lt;&gt;""),'Weekly Tracker'!$I$2:$I$766),"")</f>
        <v/>
      </c>
      <c r="J465" s="9">
        <f>IFERROR(LOOKUP(2,1/('Weekly Tracker'!$E$2:$E$766=$A465)/('Weekly Tracker'!$J$2:$J$766&lt;&gt;""),'Weekly Tracker'!$J$2:$J$766),"")</f>
        <v/>
      </c>
      <c r="K465" s="9">
        <f>IFERROR(LOOKUP(2,1/('Weekly Tracker'!$E$2:$E$766=$A465)/('Weekly Tracker'!$N$2:$N$766&lt;&gt;""),'Weekly Tracker'!$N$2:$N$766),"")</f>
        <v/>
      </c>
      <c r="L465" s="9">
        <f>IFERROR(LOOKUP(2,1/('Weekly Tracker'!$E$2:$E$766=$A465)/('Weekly Tracker'!$O$2:$O$766&lt;&gt;""),'Weekly Tracker'!$O$2:$O$766),"")</f>
        <v/>
      </c>
    </row>
    <row r="466">
      <c r="A466" s="9" t="inlineStr">
        <is>
          <t>Abraham Gym Trainer</t>
        </is>
      </c>
      <c r="B466" s="9" t="inlineStr">
        <is>
          <t>919677066911</t>
        </is>
      </c>
      <c r="C466" s="9" t="n"/>
      <c r="D466" s="9" t="n"/>
      <c r="E466" s="9" t="n"/>
      <c r="F466" s="9">
        <f>IFERROR(LOOKUP(2,1/('Weekly Tracker'!$E$2:$E$766=$A466)/('Weekly Tracker'!$F$2:$F$766&lt;&gt;""),'Weekly Tracker'!$F$2:$F$766),"")</f>
        <v/>
      </c>
      <c r="G466" s="16">
        <f>IF(F466&lt;&gt;"",LOOKUP(2,1/('Weekly Tracker'!$E$2:$E$766=$A466)/('Weekly Tracker'!$F$2:$F$766&lt;&gt;""),'Weekly Tracker'!$G$2:$G$766),"")</f>
        <v/>
      </c>
      <c r="H466" s="9">
        <f>IFERROR(LOOKUP(2,1/('Weekly Tracker'!$E$2:$E$766=$A466)/('Weekly Tracker'!$H$2:$H$766&lt;&gt;""),'Weekly Tracker'!$H$2:$H$766),"")</f>
        <v/>
      </c>
      <c r="I466" s="16">
        <f>IF(H466&lt;&gt;"",LOOKUP(2,1/('Weekly Tracker'!$E$2:$E$766=$A466)/('Weekly Tracker'!$H$2:$H$766&lt;&gt;""),'Weekly Tracker'!$I$2:$I$766),"")</f>
        <v/>
      </c>
      <c r="J466" s="9">
        <f>IFERROR(LOOKUP(2,1/('Weekly Tracker'!$E$2:$E$766=$A466)/('Weekly Tracker'!$J$2:$J$766&lt;&gt;""),'Weekly Tracker'!$J$2:$J$766),"")</f>
        <v/>
      </c>
      <c r="K466" s="9">
        <f>IFERROR(LOOKUP(2,1/('Weekly Tracker'!$E$2:$E$766=$A466)/('Weekly Tracker'!$N$2:$N$766&lt;&gt;""),'Weekly Tracker'!$N$2:$N$766),"")</f>
        <v/>
      </c>
      <c r="L466" s="9">
        <f>IFERROR(LOOKUP(2,1/('Weekly Tracker'!$E$2:$E$766=$A466)/('Weekly Tracker'!$O$2:$O$766&lt;&gt;""),'Weekly Tracker'!$O$2:$O$766),"")</f>
        <v/>
      </c>
    </row>
    <row r="467">
      <c r="A467" s="9" t="inlineStr">
        <is>
          <t>Tamilanber Digital Tech</t>
        </is>
      </c>
      <c r="B467" s="9" t="inlineStr">
        <is>
          <t>918807789829</t>
        </is>
      </c>
      <c r="C467" s="9" t="n"/>
      <c r="D467" s="9" t="n"/>
      <c r="E467" s="9" t="n"/>
      <c r="F467" s="9">
        <f>IFERROR(LOOKUP(2,1/('Weekly Tracker'!$E$2:$E$766=$A467)/('Weekly Tracker'!$F$2:$F$766&lt;&gt;""),'Weekly Tracker'!$F$2:$F$766),"")</f>
        <v/>
      </c>
      <c r="G467" s="16">
        <f>IF(F467&lt;&gt;"",LOOKUP(2,1/('Weekly Tracker'!$E$2:$E$766=$A467)/('Weekly Tracker'!$F$2:$F$766&lt;&gt;""),'Weekly Tracker'!$G$2:$G$766),"")</f>
        <v/>
      </c>
      <c r="H467" s="9">
        <f>IFERROR(LOOKUP(2,1/('Weekly Tracker'!$E$2:$E$766=$A467)/('Weekly Tracker'!$H$2:$H$766&lt;&gt;""),'Weekly Tracker'!$H$2:$H$766),"")</f>
        <v/>
      </c>
      <c r="I467" s="16">
        <f>IF(H467&lt;&gt;"",LOOKUP(2,1/('Weekly Tracker'!$E$2:$E$766=$A467)/('Weekly Tracker'!$H$2:$H$766&lt;&gt;""),'Weekly Tracker'!$I$2:$I$766),"")</f>
        <v/>
      </c>
      <c r="J467" s="9">
        <f>IFERROR(LOOKUP(2,1/('Weekly Tracker'!$E$2:$E$766=$A467)/('Weekly Tracker'!$J$2:$J$766&lt;&gt;""),'Weekly Tracker'!$J$2:$J$766),"")</f>
        <v/>
      </c>
      <c r="K467" s="9">
        <f>IFERROR(LOOKUP(2,1/('Weekly Tracker'!$E$2:$E$766=$A467)/('Weekly Tracker'!$N$2:$N$766&lt;&gt;""),'Weekly Tracker'!$N$2:$N$766),"")</f>
        <v/>
      </c>
      <c r="L467" s="9">
        <f>IFERROR(LOOKUP(2,1/('Weekly Tracker'!$E$2:$E$766=$A467)/('Weekly Tracker'!$O$2:$O$766&lt;&gt;""),'Weekly Tracker'!$O$2:$O$766),"")</f>
        <v/>
      </c>
    </row>
    <row r="468">
      <c r="A468" s="9" t="inlineStr">
        <is>
          <t>Arumugam Samy Grp Ucen</t>
        </is>
      </c>
      <c r="B468" s="9" t="inlineStr">
        <is>
          <t>917418900489</t>
        </is>
      </c>
      <c r="C468" s="9" t="n"/>
      <c r="D468" s="9" t="n"/>
      <c r="E468" s="9" t="n"/>
      <c r="F468" s="9">
        <f>IFERROR(LOOKUP(2,1/('Weekly Tracker'!$E$2:$E$766=$A468)/('Weekly Tracker'!$F$2:$F$766&lt;&gt;""),'Weekly Tracker'!$F$2:$F$766),"")</f>
        <v/>
      </c>
      <c r="G468" s="16">
        <f>IF(F468&lt;&gt;"",LOOKUP(2,1/('Weekly Tracker'!$E$2:$E$766=$A468)/('Weekly Tracker'!$F$2:$F$766&lt;&gt;""),'Weekly Tracker'!$G$2:$G$766),"")</f>
        <v/>
      </c>
      <c r="H468" s="9">
        <f>IFERROR(LOOKUP(2,1/('Weekly Tracker'!$E$2:$E$766=$A468)/('Weekly Tracker'!$H$2:$H$766&lt;&gt;""),'Weekly Tracker'!$H$2:$H$766),"")</f>
        <v/>
      </c>
      <c r="I468" s="16">
        <f>IF(H468&lt;&gt;"",LOOKUP(2,1/('Weekly Tracker'!$E$2:$E$766=$A468)/('Weekly Tracker'!$H$2:$H$766&lt;&gt;""),'Weekly Tracker'!$I$2:$I$766),"")</f>
        <v/>
      </c>
      <c r="J468" s="9">
        <f>IFERROR(LOOKUP(2,1/('Weekly Tracker'!$E$2:$E$766=$A468)/('Weekly Tracker'!$J$2:$J$766&lt;&gt;""),'Weekly Tracker'!$J$2:$J$766),"")</f>
        <v/>
      </c>
      <c r="K468" s="9">
        <f>IFERROR(LOOKUP(2,1/('Weekly Tracker'!$E$2:$E$766=$A468)/('Weekly Tracker'!$N$2:$N$766&lt;&gt;""),'Weekly Tracker'!$N$2:$N$766),"")</f>
        <v/>
      </c>
      <c r="L468" s="9">
        <f>IFERROR(LOOKUP(2,1/('Weekly Tracker'!$E$2:$E$766=$A468)/('Weekly Tracker'!$O$2:$O$766&lt;&gt;""),'Weekly Tracker'!$O$2:$O$766),"")</f>
        <v/>
      </c>
    </row>
    <row r="469">
      <c r="A469" s="9" t="inlineStr">
        <is>
          <t>Sankar Smart FB</t>
        </is>
      </c>
      <c r="B469" s="9" t="inlineStr">
        <is>
          <t>7010237658</t>
        </is>
      </c>
      <c r="C469" s="9" t="n"/>
      <c r="D469" s="9" t="n"/>
      <c r="E469" s="9" t="n"/>
      <c r="F469" s="9">
        <f>IFERROR(LOOKUP(2,1/('Weekly Tracker'!$E$2:$E$766=$A469)/('Weekly Tracker'!$F$2:$F$766&lt;&gt;""),'Weekly Tracker'!$F$2:$F$766),"")</f>
        <v/>
      </c>
      <c r="G469" s="16">
        <f>IF(F469&lt;&gt;"",LOOKUP(2,1/('Weekly Tracker'!$E$2:$E$766=$A469)/('Weekly Tracker'!$F$2:$F$766&lt;&gt;""),'Weekly Tracker'!$G$2:$G$766),"")</f>
        <v/>
      </c>
      <c r="H469" s="9">
        <f>IFERROR(LOOKUP(2,1/('Weekly Tracker'!$E$2:$E$766=$A469)/('Weekly Tracker'!$H$2:$H$766&lt;&gt;""),'Weekly Tracker'!$H$2:$H$766),"")</f>
        <v/>
      </c>
      <c r="I469" s="16">
        <f>IF(H469&lt;&gt;"",LOOKUP(2,1/('Weekly Tracker'!$E$2:$E$766=$A469)/('Weekly Tracker'!$H$2:$H$766&lt;&gt;""),'Weekly Tracker'!$I$2:$I$766),"")</f>
        <v/>
      </c>
      <c r="J469" s="9">
        <f>IFERROR(LOOKUP(2,1/('Weekly Tracker'!$E$2:$E$766=$A469)/('Weekly Tracker'!$J$2:$J$766&lt;&gt;""),'Weekly Tracker'!$J$2:$J$766),"")</f>
        <v/>
      </c>
      <c r="K469" s="9">
        <f>IFERROR(LOOKUP(2,1/('Weekly Tracker'!$E$2:$E$766=$A469)/('Weekly Tracker'!$N$2:$N$766&lt;&gt;""),'Weekly Tracker'!$N$2:$N$766),"")</f>
        <v/>
      </c>
      <c r="L469" s="9">
        <f>IFERROR(LOOKUP(2,1/('Weekly Tracker'!$E$2:$E$766=$A469)/('Weekly Tracker'!$O$2:$O$766&lt;&gt;""),'Weekly Tracker'!$O$2:$O$766),"")</f>
        <v/>
      </c>
    </row>
    <row r="470">
      <c r="A470" s="9" t="inlineStr">
        <is>
          <t>Suresh Subbarayalu VDSI</t>
        </is>
      </c>
      <c r="B470" s="9" t="inlineStr">
        <is>
          <t>919884803278</t>
        </is>
      </c>
      <c r="C470" s="9" t="n"/>
      <c r="D470" s="9" t="n"/>
      <c r="E470" s="9" t="n"/>
      <c r="F470" s="9">
        <f>IFERROR(LOOKUP(2,1/('Weekly Tracker'!$E$2:$E$766=$A470)/('Weekly Tracker'!$F$2:$F$766&lt;&gt;""),'Weekly Tracker'!$F$2:$F$766),"")</f>
        <v/>
      </c>
      <c r="G470" s="16">
        <f>IF(F470&lt;&gt;"",LOOKUP(2,1/('Weekly Tracker'!$E$2:$E$766=$A470)/('Weekly Tracker'!$F$2:$F$766&lt;&gt;""),'Weekly Tracker'!$G$2:$G$766),"")</f>
        <v/>
      </c>
      <c r="H470" s="9">
        <f>IFERROR(LOOKUP(2,1/('Weekly Tracker'!$E$2:$E$766=$A470)/('Weekly Tracker'!$H$2:$H$766&lt;&gt;""),'Weekly Tracker'!$H$2:$H$766),"")</f>
        <v/>
      </c>
      <c r="I470" s="16">
        <f>IF(H470&lt;&gt;"",LOOKUP(2,1/('Weekly Tracker'!$E$2:$E$766=$A470)/('Weekly Tracker'!$H$2:$H$766&lt;&gt;""),'Weekly Tracker'!$I$2:$I$766),"")</f>
        <v/>
      </c>
      <c r="J470" s="9">
        <f>IFERROR(LOOKUP(2,1/('Weekly Tracker'!$E$2:$E$766=$A470)/('Weekly Tracker'!$J$2:$J$766&lt;&gt;""),'Weekly Tracker'!$J$2:$J$766),"")</f>
        <v/>
      </c>
      <c r="K470" s="9">
        <f>IFERROR(LOOKUP(2,1/('Weekly Tracker'!$E$2:$E$766=$A470)/('Weekly Tracker'!$N$2:$N$766&lt;&gt;""),'Weekly Tracker'!$N$2:$N$766),"")</f>
        <v/>
      </c>
      <c r="L470" s="9">
        <f>IFERROR(LOOKUP(2,1/('Weekly Tracker'!$E$2:$E$766=$A470)/('Weekly Tracker'!$O$2:$O$766&lt;&gt;""),'Weekly Tracker'!$O$2:$O$766),"")</f>
        <v/>
      </c>
    </row>
    <row r="471">
      <c r="A471" s="9" t="inlineStr">
        <is>
          <t>Siva Ragul Urja</t>
        </is>
      </c>
      <c r="B471" s="9" t="inlineStr">
        <is>
          <t>9710370906</t>
        </is>
      </c>
      <c r="C471" s="9" t="n"/>
      <c r="D471" s="9" t="n"/>
      <c r="E471" s="9" t="n"/>
      <c r="F471" s="9">
        <f>IFERROR(LOOKUP(2,1/('Weekly Tracker'!$E$2:$E$766=$A471)/('Weekly Tracker'!$F$2:$F$766&lt;&gt;""),'Weekly Tracker'!$F$2:$F$766),"")</f>
        <v/>
      </c>
      <c r="G471" s="16">
        <f>IF(F471&lt;&gt;"",LOOKUP(2,1/('Weekly Tracker'!$E$2:$E$766=$A471)/('Weekly Tracker'!$F$2:$F$766&lt;&gt;""),'Weekly Tracker'!$G$2:$G$766),"")</f>
        <v/>
      </c>
      <c r="H471" s="9">
        <f>IFERROR(LOOKUP(2,1/('Weekly Tracker'!$E$2:$E$766=$A471)/('Weekly Tracker'!$H$2:$H$766&lt;&gt;""),'Weekly Tracker'!$H$2:$H$766),"")</f>
        <v/>
      </c>
      <c r="I471" s="16">
        <f>IF(H471&lt;&gt;"",LOOKUP(2,1/('Weekly Tracker'!$E$2:$E$766=$A471)/('Weekly Tracker'!$H$2:$H$766&lt;&gt;""),'Weekly Tracker'!$I$2:$I$766),"")</f>
        <v/>
      </c>
      <c r="J471" s="9">
        <f>IFERROR(LOOKUP(2,1/('Weekly Tracker'!$E$2:$E$766=$A471)/('Weekly Tracker'!$J$2:$J$766&lt;&gt;""),'Weekly Tracker'!$J$2:$J$766),"")</f>
        <v/>
      </c>
      <c r="K471" s="9">
        <f>IFERROR(LOOKUP(2,1/('Weekly Tracker'!$E$2:$E$766=$A471)/('Weekly Tracker'!$N$2:$N$766&lt;&gt;""),'Weekly Tracker'!$N$2:$N$766),"")</f>
        <v/>
      </c>
      <c r="L471" s="9">
        <f>IFERROR(LOOKUP(2,1/('Weekly Tracker'!$E$2:$E$766=$A471)/('Weekly Tracker'!$O$2:$O$766&lt;&gt;""),'Weekly Tracker'!$O$2:$O$766),"")</f>
        <v/>
      </c>
    </row>
    <row r="472">
      <c r="A472" s="9" t="inlineStr">
        <is>
          <t>Murali Ganesh Infy</t>
        </is>
      </c>
      <c r="B472" s="9" t="inlineStr">
        <is>
          <t>919003205707</t>
        </is>
      </c>
      <c r="C472" s="9" t="n"/>
      <c r="D472" s="9" t="n"/>
      <c r="E472" s="9" t="n"/>
      <c r="F472" s="9">
        <f>IFERROR(LOOKUP(2,1/('Weekly Tracker'!$E$2:$E$766=$A472)/('Weekly Tracker'!$F$2:$F$766&lt;&gt;""),'Weekly Tracker'!$F$2:$F$766),"")</f>
        <v/>
      </c>
      <c r="G472" s="16">
        <f>IF(F472&lt;&gt;"",LOOKUP(2,1/('Weekly Tracker'!$E$2:$E$766=$A472)/('Weekly Tracker'!$F$2:$F$766&lt;&gt;""),'Weekly Tracker'!$G$2:$G$766),"")</f>
        <v/>
      </c>
      <c r="H472" s="9">
        <f>IFERROR(LOOKUP(2,1/('Weekly Tracker'!$E$2:$E$766=$A472)/('Weekly Tracker'!$H$2:$H$766&lt;&gt;""),'Weekly Tracker'!$H$2:$H$766),"")</f>
        <v/>
      </c>
      <c r="I472" s="16">
        <f>IF(H472&lt;&gt;"",LOOKUP(2,1/('Weekly Tracker'!$E$2:$E$766=$A472)/('Weekly Tracker'!$H$2:$H$766&lt;&gt;""),'Weekly Tracker'!$I$2:$I$766),"")</f>
        <v/>
      </c>
      <c r="J472" s="9">
        <f>IFERROR(LOOKUP(2,1/('Weekly Tracker'!$E$2:$E$766=$A472)/('Weekly Tracker'!$J$2:$J$766&lt;&gt;""),'Weekly Tracker'!$J$2:$J$766),"")</f>
        <v/>
      </c>
      <c r="K472" s="9">
        <f>IFERROR(LOOKUP(2,1/('Weekly Tracker'!$E$2:$E$766=$A472)/('Weekly Tracker'!$N$2:$N$766&lt;&gt;""),'Weekly Tracker'!$N$2:$N$766),"")</f>
        <v/>
      </c>
      <c r="L472" s="9">
        <f>IFERROR(LOOKUP(2,1/('Weekly Tracker'!$E$2:$E$766=$A472)/('Weekly Tracker'!$O$2:$O$766&lt;&gt;""),'Weekly Tracker'!$O$2:$O$766),"")</f>
        <v/>
      </c>
    </row>
    <row r="473">
      <c r="A473" s="9" t="inlineStr">
        <is>
          <t>AshwathRaj</t>
        </is>
      </c>
      <c r="B473" s="9" t="inlineStr">
        <is>
          <t>9789972641</t>
        </is>
      </c>
      <c r="C473" s="9" t="n"/>
      <c r="D473" s="9" t="n"/>
      <c r="E473" s="9" t="n"/>
      <c r="F473" s="9">
        <f>IFERROR(LOOKUP(2,1/('Weekly Tracker'!$E$2:$E$766=$A473)/('Weekly Tracker'!$F$2:$F$766&lt;&gt;""),'Weekly Tracker'!$F$2:$F$766),"")</f>
        <v/>
      </c>
      <c r="G473" s="16">
        <f>IF(F473&lt;&gt;"",LOOKUP(2,1/('Weekly Tracker'!$E$2:$E$766=$A473)/('Weekly Tracker'!$F$2:$F$766&lt;&gt;""),'Weekly Tracker'!$G$2:$G$766),"")</f>
        <v/>
      </c>
      <c r="H473" s="9">
        <f>IFERROR(LOOKUP(2,1/('Weekly Tracker'!$E$2:$E$766=$A473)/('Weekly Tracker'!$H$2:$H$766&lt;&gt;""),'Weekly Tracker'!$H$2:$H$766),"")</f>
        <v/>
      </c>
      <c r="I473" s="16">
        <f>IF(H473&lt;&gt;"",LOOKUP(2,1/('Weekly Tracker'!$E$2:$E$766=$A473)/('Weekly Tracker'!$H$2:$H$766&lt;&gt;""),'Weekly Tracker'!$I$2:$I$766),"")</f>
        <v/>
      </c>
      <c r="J473" s="9">
        <f>IFERROR(LOOKUP(2,1/('Weekly Tracker'!$E$2:$E$766=$A473)/('Weekly Tracker'!$J$2:$J$766&lt;&gt;""),'Weekly Tracker'!$J$2:$J$766),"")</f>
        <v/>
      </c>
      <c r="K473" s="9">
        <f>IFERROR(LOOKUP(2,1/('Weekly Tracker'!$E$2:$E$766=$A473)/('Weekly Tracker'!$N$2:$N$766&lt;&gt;""),'Weekly Tracker'!$N$2:$N$766),"")</f>
        <v/>
      </c>
      <c r="L473" s="9">
        <f>IFERROR(LOOKUP(2,1/('Weekly Tracker'!$E$2:$E$766=$A473)/('Weekly Tracker'!$O$2:$O$766&lt;&gt;""),'Weekly Tracker'!$O$2:$O$766),"")</f>
        <v/>
      </c>
    </row>
    <row r="474">
      <c r="A474" s="9" t="inlineStr">
        <is>
          <t>Rajarajan Verz</t>
        </is>
      </c>
      <c r="B474" s="9" t="inlineStr">
        <is>
          <t>919791999935</t>
        </is>
      </c>
      <c r="C474" s="9" t="n"/>
      <c r="D474" s="9" t="n"/>
      <c r="E474" s="9" t="n"/>
      <c r="F474" s="9">
        <f>IFERROR(LOOKUP(2,1/('Weekly Tracker'!$E$2:$E$766=$A474)/('Weekly Tracker'!$F$2:$F$766&lt;&gt;""),'Weekly Tracker'!$F$2:$F$766),"")</f>
        <v/>
      </c>
      <c r="G474" s="16">
        <f>IF(F474&lt;&gt;"",LOOKUP(2,1/('Weekly Tracker'!$E$2:$E$766=$A474)/('Weekly Tracker'!$F$2:$F$766&lt;&gt;""),'Weekly Tracker'!$G$2:$G$766),"")</f>
        <v/>
      </c>
      <c r="H474" s="9">
        <f>IFERROR(LOOKUP(2,1/('Weekly Tracker'!$E$2:$E$766=$A474)/('Weekly Tracker'!$H$2:$H$766&lt;&gt;""),'Weekly Tracker'!$H$2:$H$766),"")</f>
        <v/>
      </c>
      <c r="I474" s="16">
        <f>IF(H474&lt;&gt;"",LOOKUP(2,1/('Weekly Tracker'!$E$2:$E$766=$A474)/('Weekly Tracker'!$H$2:$H$766&lt;&gt;""),'Weekly Tracker'!$I$2:$I$766),"")</f>
        <v/>
      </c>
      <c r="J474" s="9">
        <f>IFERROR(LOOKUP(2,1/('Weekly Tracker'!$E$2:$E$766=$A474)/('Weekly Tracker'!$J$2:$J$766&lt;&gt;""),'Weekly Tracker'!$J$2:$J$766),"")</f>
        <v/>
      </c>
      <c r="K474" s="9">
        <f>IFERROR(LOOKUP(2,1/('Weekly Tracker'!$E$2:$E$766=$A474)/('Weekly Tracker'!$N$2:$N$766&lt;&gt;""),'Weekly Tracker'!$N$2:$N$766),"")</f>
        <v/>
      </c>
      <c r="L474" s="9">
        <f>IFERROR(LOOKUP(2,1/('Weekly Tracker'!$E$2:$E$766=$A474)/('Weekly Tracker'!$O$2:$O$766&lt;&gt;""),'Weekly Tracker'!$O$2:$O$766),"")</f>
        <v/>
      </c>
    </row>
    <row r="475">
      <c r="A475" s="9" t="inlineStr">
        <is>
          <t>Vishu Makesh Mech</t>
        </is>
      </c>
      <c r="B475" s="9" t="inlineStr">
        <is>
          <t>919344754240</t>
        </is>
      </c>
      <c r="C475" s="9" t="n"/>
      <c r="D475" s="9" t="n"/>
      <c r="E475" s="9" t="n"/>
      <c r="F475" s="9">
        <f>IFERROR(LOOKUP(2,1/('Weekly Tracker'!$E$2:$E$766=$A475)/('Weekly Tracker'!$F$2:$F$766&lt;&gt;""),'Weekly Tracker'!$F$2:$F$766),"")</f>
        <v/>
      </c>
      <c r="G475" s="16">
        <f>IF(F475&lt;&gt;"",LOOKUP(2,1/('Weekly Tracker'!$E$2:$E$766=$A475)/('Weekly Tracker'!$F$2:$F$766&lt;&gt;""),'Weekly Tracker'!$G$2:$G$766),"")</f>
        <v/>
      </c>
      <c r="H475" s="9">
        <f>IFERROR(LOOKUP(2,1/('Weekly Tracker'!$E$2:$E$766=$A475)/('Weekly Tracker'!$H$2:$H$766&lt;&gt;""),'Weekly Tracker'!$H$2:$H$766),"")</f>
        <v/>
      </c>
      <c r="I475" s="16">
        <f>IF(H475&lt;&gt;"",LOOKUP(2,1/('Weekly Tracker'!$E$2:$E$766=$A475)/('Weekly Tracker'!$H$2:$H$766&lt;&gt;""),'Weekly Tracker'!$I$2:$I$766),"")</f>
        <v/>
      </c>
      <c r="J475" s="9">
        <f>IFERROR(LOOKUP(2,1/('Weekly Tracker'!$E$2:$E$766=$A475)/('Weekly Tracker'!$J$2:$J$766&lt;&gt;""),'Weekly Tracker'!$J$2:$J$766),"")</f>
        <v/>
      </c>
      <c r="K475" s="9">
        <f>IFERROR(LOOKUP(2,1/('Weekly Tracker'!$E$2:$E$766=$A475)/('Weekly Tracker'!$N$2:$N$766&lt;&gt;""),'Weekly Tracker'!$N$2:$N$766),"")</f>
        <v/>
      </c>
      <c r="L475" s="9">
        <f>IFERROR(LOOKUP(2,1/('Weekly Tracker'!$E$2:$E$766=$A475)/('Weekly Tracker'!$O$2:$O$766&lt;&gt;""),'Weekly Tracker'!$O$2:$O$766),"")</f>
        <v/>
      </c>
    </row>
    <row r="476">
      <c r="A476" s="9" t="inlineStr">
        <is>
          <t>Suseetharan Insta</t>
        </is>
      </c>
      <c r="B476" s="9" t="inlineStr">
        <is>
          <t>919487169512</t>
        </is>
      </c>
      <c r="C476" s="9" t="n"/>
      <c r="D476" s="9" t="n"/>
      <c r="E476" s="9" t="n"/>
      <c r="F476" s="9">
        <f>IFERROR(LOOKUP(2,1/('Weekly Tracker'!$E$2:$E$766=$A476)/('Weekly Tracker'!$F$2:$F$766&lt;&gt;""),'Weekly Tracker'!$F$2:$F$766),"")</f>
        <v/>
      </c>
      <c r="G476" s="16">
        <f>IF(F476&lt;&gt;"",LOOKUP(2,1/('Weekly Tracker'!$E$2:$E$766=$A476)/('Weekly Tracker'!$F$2:$F$766&lt;&gt;""),'Weekly Tracker'!$G$2:$G$766),"")</f>
        <v/>
      </c>
      <c r="H476" s="9">
        <f>IFERROR(LOOKUP(2,1/('Weekly Tracker'!$E$2:$E$766=$A476)/('Weekly Tracker'!$H$2:$H$766&lt;&gt;""),'Weekly Tracker'!$H$2:$H$766),"")</f>
        <v/>
      </c>
      <c r="I476" s="16">
        <f>IF(H476&lt;&gt;"",LOOKUP(2,1/('Weekly Tracker'!$E$2:$E$766=$A476)/('Weekly Tracker'!$H$2:$H$766&lt;&gt;""),'Weekly Tracker'!$I$2:$I$766),"")</f>
        <v/>
      </c>
      <c r="J476" s="9">
        <f>IFERROR(LOOKUP(2,1/('Weekly Tracker'!$E$2:$E$766=$A476)/('Weekly Tracker'!$J$2:$J$766&lt;&gt;""),'Weekly Tracker'!$J$2:$J$766),"")</f>
        <v/>
      </c>
      <c r="K476" s="9">
        <f>IFERROR(LOOKUP(2,1/('Weekly Tracker'!$E$2:$E$766=$A476)/('Weekly Tracker'!$N$2:$N$766&lt;&gt;""),'Weekly Tracker'!$N$2:$N$766),"")</f>
        <v/>
      </c>
      <c r="L476" s="9">
        <f>IFERROR(LOOKUP(2,1/('Weekly Tracker'!$E$2:$E$766=$A476)/('Weekly Tracker'!$O$2:$O$766&lt;&gt;""),'Weekly Tracker'!$O$2:$O$766),"")</f>
        <v/>
      </c>
    </row>
    <row r="477">
      <c r="A477" s="9" t="inlineStr">
        <is>
          <t>farooqahamed Honda</t>
        </is>
      </c>
      <c r="B477" s="9" t="inlineStr">
        <is>
          <t>919150007632</t>
        </is>
      </c>
      <c r="C477" s="9" t="n"/>
      <c r="D477" s="9" t="n"/>
      <c r="E477" s="9" t="n"/>
      <c r="F477" s="9">
        <f>IFERROR(LOOKUP(2,1/('Weekly Tracker'!$E$2:$E$766=$A477)/('Weekly Tracker'!$F$2:$F$766&lt;&gt;""),'Weekly Tracker'!$F$2:$F$766),"")</f>
        <v/>
      </c>
      <c r="G477" s="16">
        <f>IF(F477&lt;&gt;"",LOOKUP(2,1/('Weekly Tracker'!$E$2:$E$766=$A477)/('Weekly Tracker'!$F$2:$F$766&lt;&gt;""),'Weekly Tracker'!$G$2:$G$766),"")</f>
        <v/>
      </c>
      <c r="H477" s="9">
        <f>IFERROR(LOOKUP(2,1/('Weekly Tracker'!$E$2:$E$766=$A477)/('Weekly Tracker'!$H$2:$H$766&lt;&gt;""),'Weekly Tracker'!$H$2:$H$766),"")</f>
        <v/>
      </c>
      <c r="I477" s="16">
        <f>IF(H477&lt;&gt;"",LOOKUP(2,1/('Weekly Tracker'!$E$2:$E$766=$A477)/('Weekly Tracker'!$H$2:$H$766&lt;&gt;""),'Weekly Tracker'!$I$2:$I$766),"")</f>
        <v/>
      </c>
      <c r="J477" s="9">
        <f>IFERROR(LOOKUP(2,1/('Weekly Tracker'!$E$2:$E$766=$A477)/('Weekly Tracker'!$J$2:$J$766&lt;&gt;""),'Weekly Tracker'!$J$2:$J$766),"")</f>
        <v/>
      </c>
      <c r="K477" s="9">
        <f>IFERROR(LOOKUP(2,1/('Weekly Tracker'!$E$2:$E$766=$A477)/('Weekly Tracker'!$N$2:$N$766&lt;&gt;""),'Weekly Tracker'!$N$2:$N$766),"")</f>
        <v/>
      </c>
      <c r="L477" s="9">
        <f>IFERROR(LOOKUP(2,1/('Weekly Tracker'!$E$2:$E$766=$A477)/('Weekly Tracker'!$O$2:$O$766&lt;&gt;""),'Weekly Tracker'!$O$2:$O$766),"")</f>
        <v/>
      </c>
    </row>
    <row r="478">
      <c r="A478" s="9" t="inlineStr">
        <is>
          <t>RathiMeena FB</t>
        </is>
      </c>
      <c r="B478" s="9" t="inlineStr">
        <is>
          <t>916382565605, 919514052575</t>
        </is>
      </c>
      <c r="C478" s="9" t="n"/>
      <c r="D478" s="9" t="n"/>
      <c r="E478" s="9" t="n"/>
      <c r="F478" s="9">
        <f>IFERROR(LOOKUP(2,1/('Weekly Tracker'!$E$2:$E$766=$A478)/('Weekly Tracker'!$F$2:$F$766&lt;&gt;""),'Weekly Tracker'!$F$2:$F$766),"")</f>
        <v/>
      </c>
      <c r="G478" s="16">
        <f>IF(F478&lt;&gt;"",LOOKUP(2,1/('Weekly Tracker'!$E$2:$E$766=$A478)/('Weekly Tracker'!$F$2:$F$766&lt;&gt;""),'Weekly Tracker'!$G$2:$G$766),"")</f>
        <v/>
      </c>
      <c r="H478" s="9">
        <f>IFERROR(LOOKUP(2,1/('Weekly Tracker'!$E$2:$E$766=$A478)/('Weekly Tracker'!$H$2:$H$766&lt;&gt;""),'Weekly Tracker'!$H$2:$H$766),"")</f>
        <v/>
      </c>
      <c r="I478" s="16">
        <f>IF(H478&lt;&gt;"",LOOKUP(2,1/('Weekly Tracker'!$E$2:$E$766=$A478)/('Weekly Tracker'!$H$2:$H$766&lt;&gt;""),'Weekly Tracker'!$I$2:$I$766),"")</f>
        <v/>
      </c>
      <c r="J478" s="9">
        <f>IFERROR(LOOKUP(2,1/('Weekly Tracker'!$E$2:$E$766=$A478)/('Weekly Tracker'!$J$2:$J$766&lt;&gt;""),'Weekly Tracker'!$J$2:$J$766),"")</f>
        <v/>
      </c>
      <c r="K478" s="9">
        <f>IFERROR(LOOKUP(2,1/('Weekly Tracker'!$E$2:$E$766=$A478)/('Weekly Tracker'!$N$2:$N$766&lt;&gt;""),'Weekly Tracker'!$N$2:$N$766),"")</f>
        <v/>
      </c>
      <c r="L478" s="9">
        <f>IFERROR(LOOKUP(2,1/('Weekly Tracker'!$E$2:$E$766=$A478)/('Weekly Tracker'!$O$2:$O$766&lt;&gt;""),'Weekly Tracker'!$O$2:$O$766),"")</f>
        <v/>
      </c>
    </row>
    <row r="479">
      <c r="A479" s="9" t="inlineStr">
        <is>
          <t>ACT Engineer</t>
        </is>
      </c>
      <c r="B479" s="9" t="inlineStr">
        <is>
          <t>7540-015124</t>
        </is>
      </c>
      <c r="C479" s="9" t="n"/>
      <c r="D479" s="9" t="n"/>
      <c r="E479" s="9" t="n"/>
      <c r="F479" s="9">
        <f>IFERROR(LOOKUP(2,1/('Weekly Tracker'!$E$2:$E$766=$A479)/('Weekly Tracker'!$F$2:$F$766&lt;&gt;""),'Weekly Tracker'!$F$2:$F$766),"")</f>
        <v/>
      </c>
      <c r="G479" s="16">
        <f>IF(F479&lt;&gt;"",LOOKUP(2,1/('Weekly Tracker'!$E$2:$E$766=$A479)/('Weekly Tracker'!$F$2:$F$766&lt;&gt;""),'Weekly Tracker'!$G$2:$G$766),"")</f>
        <v/>
      </c>
      <c r="H479" s="9">
        <f>IFERROR(LOOKUP(2,1/('Weekly Tracker'!$E$2:$E$766=$A479)/('Weekly Tracker'!$H$2:$H$766&lt;&gt;""),'Weekly Tracker'!$H$2:$H$766),"")</f>
        <v/>
      </c>
      <c r="I479" s="16">
        <f>IF(H479&lt;&gt;"",LOOKUP(2,1/('Weekly Tracker'!$E$2:$E$766=$A479)/('Weekly Tracker'!$H$2:$H$766&lt;&gt;""),'Weekly Tracker'!$I$2:$I$766),"")</f>
        <v/>
      </c>
      <c r="J479" s="9">
        <f>IFERROR(LOOKUP(2,1/('Weekly Tracker'!$E$2:$E$766=$A479)/('Weekly Tracker'!$J$2:$J$766&lt;&gt;""),'Weekly Tracker'!$J$2:$J$766),"")</f>
        <v/>
      </c>
      <c r="K479" s="9">
        <f>IFERROR(LOOKUP(2,1/('Weekly Tracker'!$E$2:$E$766=$A479)/('Weekly Tracker'!$N$2:$N$766&lt;&gt;""),'Weekly Tracker'!$N$2:$N$766),"")</f>
        <v/>
      </c>
      <c r="L479" s="9">
        <f>IFERROR(LOOKUP(2,1/('Weekly Tracker'!$E$2:$E$766=$A479)/('Weekly Tracker'!$O$2:$O$766&lt;&gt;""),'Weekly Tracker'!$O$2:$O$766),"")</f>
        <v/>
      </c>
    </row>
    <row r="480">
      <c r="A480" s="9" t="inlineStr">
        <is>
          <t>Suganya Prabakaran D4V</t>
        </is>
      </c>
      <c r="B480" s="9" t="inlineStr">
        <is>
          <t>919003272998</t>
        </is>
      </c>
      <c r="C480" s="9" t="n"/>
      <c r="D480" s="9" t="n"/>
      <c r="E480" s="9" t="n"/>
      <c r="F480" s="9">
        <f>IFERROR(LOOKUP(2,1/('Weekly Tracker'!$E$2:$E$766=$A480)/('Weekly Tracker'!$F$2:$F$766&lt;&gt;""),'Weekly Tracker'!$F$2:$F$766),"")</f>
        <v/>
      </c>
      <c r="G480" s="16">
        <f>IF(F480&lt;&gt;"",LOOKUP(2,1/('Weekly Tracker'!$E$2:$E$766=$A480)/('Weekly Tracker'!$F$2:$F$766&lt;&gt;""),'Weekly Tracker'!$G$2:$G$766),"")</f>
        <v/>
      </c>
      <c r="H480" s="9">
        <f>IFERROR(LOOKUP(2,1/('Weekly Tracker'!$E$2:$E$766=$A480)/('Weekly Tracker'!$H$2:$H$766&lt;&gt;""),'Weekly Tracker'!$H$2:$H$766),"")</f>
        <v/>
      </c>
      <c r="I480" s="16">
        <f>IF(H480&lt;&gt;"",LOOKUP(2,1/('Weekly Tracker'!$E$2:$E$766=$A480)/('Weekly Tracker'!$H$2:$H$766&lt;&gt;""),'Weekly Tracker'!$I$2:$I$766),"")</f>
        <v/>
      </c>
      <c r="J480" s="9">
        <f>IFERROR(LOOKUP(2,1/('Weekly Tracker'!$E$2:$E$766=$A480)/('Weekly Tracker'!$J$2:$J$766&lt;&gt;""),'Weekly Tracker'!$J$2:$J$766),"")</f>
        <v/>
      </c>
      <c r="K480" s="9">
        <f>IFERROR(LOOKUP(2,1/('Weekly Tracker'!$E$2:$E$766=$A480)/('Weekly Tracker'!$N$2:$N$766&lt;&gt;""),'Weekly Tracker'!$N$2:$N$766),"")</f>
        <v/>
      </c>
      <c r="L480" s="9">
        <f>IFERROR(LOOKUP(2,1/('Weekly Tracker'!$E$2:$E$766=$A480)/('Weekly Tracker'!$O$2:$O$766&lt;&gt;""),'Weekly Tracker'!$O$2:$O$766),"")</f>
        <v/>
      </c>
    </row>
    <row r="481">
      <c r="A481" s="9" t="inlineStr">
        <is>
          <t>Ajith Rajendran Grp Ucen</t>
        </is>
      </c>
      <c r="B481" s="9" t="inlineStr">
        <is>
          <t>919597392688</t>
        </is>
      </c>
      <c r="C481" s="9" t="n"/>
      <c r="D481" s="9" t="n"/>
      <c r="E481" s="9" t="n"/>
      <c r="F481" s="9">
        <f>IFERROR(LOOKUP(2,1/('Weekly Tracker'!$E$2:$E$766=$A481)/('Weekly Tracker'!$F$2:$F$766&lt;&gt;""),'Weekly Tracker'!$F$2:$F$766),"")</f>
        <v/>
      </c>
      <c r="G481" s="16">
        <f>IF(F481&lt;&gt;"",LOOKUP(2,1/('Weekly Tracker'!$E$2:$E$766=$A481)/('Weekly Tracker'!$F$2:$F$766&lt;&gt;""),'Weekly Tracker'!$G$2:$G$766),"")</f>
        <v/>
      </c>
      <c r="H481" s="9">
        <f>IFERROR(LOOKUP(2,1/('Weekly Tracker'!$E$2:$E$766=$A481)/('Weekly Tracker'!$H$2:$H$766&lt;&gt;""),'Weekly Tracker'!$H$2:$H$766),"")</f>
        <v/>
      </c>
      <c r="I481" s="16">
        <f>IF(H481&lt;&gt;"",LOOKUP(2,1/('Weekly Tracker'!$E$2:$E$766=$A481)/('Weekly Tracker'!$H$2:$H$766&lt;&gt;""),'Weekly Tracker'!$I$2:$I$766),"")</f>
        <v/>
      </c>
      <c r="J481" s="9">
        <f>IFERROR(LOOKUP(2,1/('Weekly Tracker'!$E$2:$E$766=$A481)/('Weekly Tracker'!$J$2:$J$766&lt;&gt;""),'Weekly Tracker'!$J$2:$J$766),"")</f>
        <v/>
      </c>
      <c r="K481" s="9">
        <f>IFERROR(LOOKUP(2,1/('Weekly Tracker'!$E$2:$E$766=$A481)/('Weekly Tracker'!$N$2:$N$766&lt;&gt;""),'Weekly Tracker'!$N$2:$N$766),"")</f>
        <v/>
      </c>
      <c r="L481" s="9">
        <f>IFERROR(LOOKUP(2,1/('Weekly Tracker'!$E$2:$E$766=$A481)/('Weekly Tracker'!$O$2:$O$766&lt;&gt;""),'Weekly Tracker'!$O$2:$O$766),"")</f>
        <v/>
      </c>
    </row>
    <row r="482">
      <c r="A482" s="9" t="inlineStr">
        <is>
          <t>Krish Urja</t>
        </is>
      </c>
      <c r="B482" s="9" t="inlineStr">
        <is>
          <t>919597686661</t>
        </is>
      </c>
      <c r="C482" s="9" t="n"/>
      <c r="D482" s="9" t="n"/>
      <c r="E482" s="9" t="n"/>
      <c r="F482" s="9">
        <f>IFERROR(LOOKUP(2,1/('Weekly Tracker'!$E$2:$E$766=$A482)/('Weekly Tracker'!$F$2:$F$766&lt;&gt;""),'Weekly Tracker'!$F$2:$F$766),"")</f>
        <v/>
      </c>
      <c r="G482" s="16">
        <f>IF(F482&lt;&gt;"",LOOKUP(2,1/('Weekly Tracker'!$E$2:$E$766=$A482)/('Weekly Tracker'!$F$2:$F$766&lt;&gt;""),'Weekly Tracker'!$G$2:$G$766),"")</f>
        <v/>
      </c>
      <c r="H482" s="9">
        <f>IFERROR(LOOKUP(2,1/('Weekly Tracker'!$E$2:$E$766=$A482)/('Weekly Tracker'!$H$2:$H$766&lt;&gt;""),'Weekly Tracker'!$H$2:$H$766),"")</f>
        <v/>
      </c>
      <c r="I482" s="16">
        <f>IF(H482&lt;&gt;"",LOOKUP(2,1/('Weekly Tracker'!$E$2:$E$766=$A482)/('Weekly Tracker'!$H$2:$H$766&lt;&gt;""),'Weekly Tracker'!$I$2:$I$766),"")</f>
        <v/>
      </c>
      <c r="J482" s="9">
        <f>IFERROR(LOOKUP(2,1/('Weekly Tracker'!$E$2:$E$766=$A482)/('Weekly Tracker'!$J$2:$J$766&lt;&gt;""),'Weekly Tracker'!$J$2:$J$766),"")</f>
        <v/>
      </c>
      <c r="K482" s="9">
        <f>IFERROR(LOOKUP(2,1/('Weekly Tracker'!$E$2:$E$766=$A482)/('Weekly Tracker'!$N$2:$N$766&lt;&gt;""),'Weekly Tracker'!$N$2:$N$766),"")</f>
        <v/>
      </c>
      <c r="L482" s="9">
        <f>IFERROR(LOOKUP(2,1/('Weekly Tracker'!$E$2:$E$766=$A482)/('Weekly Tracker'!$O$2:$O$766&lt;&gt;""),'Weekly Tracker'!$O$2:$O$766),"")</f>
        <v/>
      </c>
    </row>
    <row r="483">
      <c r="A483" s="9" t="inlineStr">
        <is>
          <t>Sarathi Heat FB</t>
        </is>
      </c>
      <c r="B483" s="9" t="inlineStr">
        <is>
          <t>919345833427</t>
        </is>
      </c>
      <c r="C483" s="9" t="n"/>
      <c r="D483" s="9" t="n"/>
      <c r="E483" s="9" t="n"/>
      <c r="F483" s="9">
        <f>IFERROR(LOOKUP(2,1/('Weekly Tracker'!$E$2:$E$766=$A483)/('Weekly Tracker'!$F$2:$F$766&lt;&gt;""),'Weekly Tracker'!$F$2:$F$766),"")</f>
        <v/>
      </c>
      <c r="G483" s="16">
        <f>IF(F483&lt;&gt;"",LOOKUP(2,1/('Weekly Tracker'!$E$2:$E$766=$A483)/('Weekly Tracker'!$F$2:$F$766&lt;&gt;""),'Weekly Tracker'!$G$2:$G$766),"")</f>
        <v/>
      </c>
      <c r="H483" s="9">
        <f>IFERROR(LOOKUP(2,1/('Weekly Tracker'!$E$2:$E$766=$A483)/('Weekly Tracker'!$H$2:$H$766&lt;&gt;""),'Weekly Tracker'!$H$2:$H$766),"")</f>
        <v/>
      </c>
      <c r="I483" s="16">
        <f>IF(H483&lt;&gt;"",LOOKUP(2,1/('Weekly Tracker'!$E$2:$E$766=$A483)/('Weekly Tracker'!$H$2:$H$766&lt;&gt;""),'Weekly Tracker'!$I$2:$I$766),"")</f>
        <v/>
      </c>
      <c r="J483" s="9">
        <f>IFERROR(LOOKUP(2,1/('Weekly Tracker'!$E$2:$E$766=$A483)/('Weekly Tracker'!$J$2:$J$766&lt;&gt;""),'Weekly Tracker'!$J$2:$J$766),"")</f>
        <v/>
      </c>
      <c r="K483" s="9">
        <f>IFERROR(LOOKUP(2,1/('Weekly Tracker'!$E$2:$E$766=$A483)/('Weekly Tracker'!$N$2:$N$766&lt;&gt;""),'Weekly Tracker'!$N$2:$N$766),"")</f>
        <v/>
      </c>
      <c r="L483" s="9">
        <f>IFERROR(LOOKUP(2,1/('Weekly Tracker'!$E$2:$E$766=$A483)/('Weekly Tracker'!$O$2:$O$766&lt;&gt;""),'Weekly Tracker'!$O$2:$O$766),"")</f>
        <v/>
      </c>
    </row>
    <row r="484">
      <c r="A484" s="9" t="inlineStr">
        <is>
          <t>VenkatRamanan Urja</t>
        </is>
      </c>
      <c r="B484" s="9" t="inlineStr">
        <is>
          <t>918610670425, 8754650918</t>
        </is>
      </c>
      <c r="C484" s="9" t="n"/>
      <c r="D484" s="9" t="n"/>
      <c r="E484" s="9" t="n"/>
      <c r="F484" s="9">
        <f>IFERROR(LOOKUP(2,1/('Weekly Tracker'!$E$2:$E$766=$A484)/('Weekly Tracker'!$F$2:$F$766&lt;&gt;""),'Weekly Tracker'!$F$2:$F$766),"")</f>
        <v/>
      </c>
      <c r="G484" s="16">
        <f>IF(F484&lt;&gt;"",LOOKUP(2,1/('Weekly Tracker'!$E$2:$E$766=$A484)/('Weekly Tracker'!$F$2:$F$766&lt;&gt;""),'Weekly Tracker'!$G$2:$G$766),"")</f>
        <v/>
      </c>
      <c r="H484" s="9">
        <f>IFERROR(LOOKUP(2,1/('Weekly Tracker'!$E$2:$E$766=$A484)/('Weekly Tracker'!$H$2:$H$766&lt;&gt;""),'Weekly Tracker'!$H$2:$H$766),"")</f>
        <v/>
      </c>
      <c r="I484" s="16">
        <f>IF(H484&lt;&gt;"",LOOKUP(2,1/('Weekly Tracker'!$E$2:$E$766=$A484)/('Weekly Tracker'!$H$2:$H$766&lt;&gt;""),'Weekly Tracker'!$I$2:$I$766),"")</f>
        <v/>
      </c>
      <c r="J484" s="9">
        <f>IFERROR(LOOKUP(2,1/('Weekly Tracker'!$E$2:$E$766=$A484)/('Weekly Tracker'!$J$2:$J$766&lt;&gt;""),'Weekly Tracker'!$J$2:$J$766),"")</f>
        <v/>
      </c>
      <c r="K484" s="9">
        <f>IFERROR(LOOKUP(2,1/('Weekly Tracker'!$E$2:$E$766=$A484)/('Weekly Tracker'!$N$2:$N$766&lt;&gt;""),'Weekly Tracker'!$N$2:$N$766),"")</f>
        <v/>
      </c>
      <c r="L484" s="9">
        <f>IFERROR(LOOKUP(2,1/('Weekly Tracker'!$E$2:$E$766=$A484)/('Weekly Tracker'!$O$2:$O$766&lt;&gt;""),'Weekly Tracker'!$O$2:$O$766),"")</f>
        <v/>
      </c>
    </row>
    <row r="485">
      <c r="A485" s="9" t="inlineStr">
        <is>
          <t>Santhosh Qa Urja</t>
        </is>
      </c>
      <c r="B485" s="9" t="inlineStr">
        <is>
          <t>917299319907</t>
        </is>
      </c>
      <c r="C485" s="9" t="n"/>
      <c r="D485" s="9" t="n"/>
      <c r="E485" s="9" t="n"/>
      <c r="F485" s="9">
        <f>IFERROR(LOOKUP(2,1/('Weekly Tracker'!$E$2:$E$766=$A485)/('Weekly Tracker'!$F$2:$F$766&lt;&gt;""),'Weekly Tracker'!$F$2:$F$766),"")</f>
        <v/>
      </c>
      <c r="G485" s="16">
        <f>IF(F485&lt;&gt;"",LOOKUP(2,1/('Weekly Tracker'!$E$2:$E$766=$A485)/('Weekly Tracker'!$F$2:$F$766&lt;&gt;""),'Weekly Tracker'!$G$2:$G$766),"")</f>
        <v/>
      </c>
      <c r="H485" s="9">
        <f>IFERROR(LOOKUP(2,1/('Weekly Tracker'!$E$2:$E$766=$A485)/('Weekly Tracker'!$H$2:$H$766&lt;&gt;""),'Weekly Tracker'!$H$2:$H$766),"")</f>
        <v/>
      </c>
      <c r="I485" s="16">
        <f>IF(H485&lt;&gt;"",LOOKUP(2,1/('Weekly Tracker'!$E$2:$E$766=$A485)/('Weekly Tracker'!$H$2:$H$766&lt;&gt;""),'Weekly Tracker'!$I$2:$I$766),"")</f>
        <v/>
      </c>
      <c r="J485" s="9">
        <f>IFERROR(LOOKUP(2,1/('Weekly Tracker'!$E$2:$E$766=$A485)/('Weekly Tracker'!$J$2:$J$766&lt;&gt;""),'Weekly Tracker'!$J$2:$J$766),"")</f>
        <v/>
      </c>
      <c r="K485" s="9">
        <f>IFERROR(LOOKUP(2,1/('Weekly Tracker'!$E$2:$E$766=$A485)/('Weekly Tracker'!$N$2:$N$766&lt;&gt;""),'Weekly Tracker'!$N$2:$N$766),"")</f>
        <v/>
      </c>
      <c r="L485" s="9">
        <f>IFERROR(LOOKUP(2,1/('Weekly Tracker'!$E$2:$E$766=$A485)/('Weekly Tracker'!$O$2:$O$766&lt;&gt;""),'Weekly Tracker'!$O$2:$O$766),"")</f>
        <v/>
      </c>
    </row>
    <row r="486">
      <c r="A486" s="9" t="inlineStr">
        <is>
          <t>Vignesh NJ FB</t>
        </is>
      </c>
      <c r="B486" s="9" t="inlineStr">
        <is>
          <t>7200930808</t>
        </is>
      </c>
      <c r="C486" s="9" t="n"/>
      <c r="D486" s="9" t="n"/>
      <c r="E486" s="9" t="n"/>
      <c r="F486" s="9">
        <f>IFERROR(LOOKUP(2,1/('Weekly Tracker'!$E$2:$E$766=$A486)/('Weekly Tracker'!$F$2:$F$766&lt;&gt;""),'Weekly Tracker'!$F$2:$F$766),"")</f>
        <v/>
      </c>
      <c r="G486" s="16">
        <f>IF(F486&lt;&gt;"",LOOKUP(2,1/('Weekly Tracker'!$E$2:$E$766=$A486)/('Weekly Tracker'!$F$2:$F$766&lt;&gt;""),'Weekly Tracker'!$G$2:$G$766),"")</f>
        <v/>
      </c>
      <c r="H486" s="9">
        <f>IFERROR(LOOKUP(2,1/('Weekly Tracker'!$E$2:$E$766=$A486)/('Weekly Tracker'!$H$2:$H$766&lt;&gt;""),'Weekly Tracker'!$H$2:$H$766),"")</f>
        <v/>
      </c>
      <c r="I486" s="16">
        <f>IF(H486&lt;&gt;"",LOOKUP(2,1/('Weekly Tracker'!$E$2:$E$766=$A486)/('Weekly Tracker'!$H$2:$H$766&lt;&gt;""),'Weekly Tracker'!$I$2:$I$766),"")</f>
        <v/>
      </c>
      <c r="J486" s="9">
        <f>IFERROR(LOOKUP(2,1/('Weekly Tracker'!$E$2:$E$766=$A486)/('Weekly Tracker'!$J$2:$J$766&lt;&gt;""),'Weekly Tracker'!$J$2:$J$766),"")</f>
        <v/>
      </c>
      <c r="K486" s="9">
        <f>IFERROR(LOOKUP(2,1/('Weekly Tracker'!$E$2:$E$766=$A486)/('Weekly Tracker'!$N$2:$N$766&lt;&gt;""),'Weekly Tracker'!$N$2:$N$766),"")</f>
        <v/>
      </c>
      <c r="L486" s="9">
        <f>IFERROR(LOOKUP(2,1/('Weekly Tracker'!$E$2:$E$766=$A486)/('Weekly Tracker'!$O$2:$O$766&lt;&gt;""),'Weekly Tracker'!$O$2:$O$766),"")</f>
        <v/>
      </c>
    </row>
    <row r="487">
      <c r="A487" s="9" t="inlineStr">
        <is>
          <t>Simson FB</t>
        </is>
      </c>
      <c r="B487" s="9" t="inlineStr">
        <is>
          <t>918778733969, 917418727284</t>
        </is>
      </c>
      <c r="C487" s="9" t="n"/>
      <c r="D487" s="9" t="n"/>
      <c r="E487" s="9" t="n"/>
      <c r="F487" s="9">
        <f>IFERROR(LOOKUP(2,1/('Weekly Tracker'!$E$2:$E$766=$A487)/('Weekly Tracker'!$F$2:$F$766&lt;&gt;""),'Weekly Tracker'!$F$2:$F$766),"")</f>
        <v/>
      </c>
      <c r="G487" s="16">
        <f>IF(F487&lt;&gt;"",LOOKUP(2,1/('Weekly Tracker'!$E$2:$E$766=$A487)/('Weekly Tracker'!$F$2:$F$766&lt;&gt;""),'Weekly Tracker'!$G$2:$G$766),"")</f>
        <v/>
      </c>
      <c r="H487" s="9">
        <f>IFERROR(LOOKUP(2,1/('Weekly Tracker'!$E$2:$E$766=$A487)/('Weekly Tracker'!$H$2:$H$766&lt;&gt;""),'Weekly Tracker'!$H$2:$H$766),"")</f>
        <v/>
      </c>
      <c r="I487" s="16">
        <f>IF(H487&lt;&gt;"",LOOKUP(2,1/('Weekly Tracker'!$E$2:$E$766=$A487)/('Weekly Tracker'!$H$2:$H$766&lt;&gt;""),'Weekly Tracker'!$I$2:$I$766),"")</f>
        <v/>
      </c>
      <c r="J487" s="9">
        <f>IFERROR(LOOKUP(2,1/('Weekly Tracker'!$E$2:$E$766=$A487)/('Weekly Tracker'!$J$2:$J$766&lt;&gt;""),'Weekly Tracker'!$J$2:$J$766),"")</f>
        <v/>
      </c>
      <c r="K487" s="9">
        <f>IFERROR(LOOKUP(2,1/('Weekly Tracker'!$E$2:$E$766=$A487)/('Weekly Tracker'!$N$2:$N$766&lt;&gt;""),'Weekly Tracker'!$N$2:$N$766),"")</f>
        <v/>
      </c>
      <c r="L487" s="9">
        <f>IFERROR(LOOKUP(2,1/('Weekly Tracker'!$E$2:$E$766=$A487)/('Weekly Tracker'!$O$2:$O$766&lt;&gt;""),'Weekly Tracker'!$O$2:$O$766),"")</f>
        <v/>
      </c>
    </row>
    <row r="488">
      <c r="A488" s="9" t="inlineStr">
        <is>
          <t>John Joachim FB</t>
        </is>
      </c>
      <c r="B488" s="9" t="inlineStr">
        <is>
          <t>9113892051</t>
        </is>
      </c>
      <c r="C488" s="9" t="n"/>
      <c r="D488" s="9" t="n"/>
      <c r="E488" s="9" t="n"/>
      <c r="F488" s="9">
        <f>IFERROR(LOOKUP(2,1/('Weekly Tracker'!$E$2:$E$766=$A488)/('Weekly Tracker'!$F$2:$F$766&lt;&gt;""),'Weekly Tracker'!$F$2:$F$766),"")</f>
        <v/>
      </c>
      <c r="G488" s="16">
        <f>IF(F488&lt;&gt;"",LOOKUP(2,1/('Weekly Tracker'!$E$2:$E$766=$A488)/('Weekly Tracker'!$F$2:$F$766&lt;&gt;""),'Weekly Tracker'!$G$2:$G$766),"")</f>
        <v/>
      </c>
      <c r="H488" s="9">
        <f>IFERROR(LOOKUP(2,1/('Weekly Tracker'!$E$2:$E$766=$A488)/('Weekly Tracker'!$H$2:$H$766&lt;&gt;""),'Weekly Tracker'!$H$2:$H$766),"")</f>
        <v/>
      </c>
      <c r="I488" s="16">
        <f>IF(H488&lt;&gt;"",LOOKUP(2,1/('Weekly Tracker'!$E$2:$E$766=$A488)/('Weekly Tracker'!$H$2:$H$766&lt;&gt;""),'Weekly Tracker'!$I$2:$I$766),"")</f>
        <v/>
      </c>
      <c r="J488" s="9">
        <f>IFERROR(LOOKUP(2,1/('Weekly Tracker'!$E$2:$E$766=$A488)/('Weekly Tracker'!$J$2:$J$766&lt;&gt;""),'Weekly Tracker'!$J$2:$J$766),"")</f>
        <v/>
      </c>
      <c r="K488" s="9">
        <f>IFERROR(LOOKUP(2,1/('Weekly Tracker'!$E$2:$E$766=$A488)/('Weekly Tracker'!$N$2:$N$766&lt;&gt;""),'Weekly Tracker'!$N$2:$N$766),"")</f>
        <v/>
      </c>
      <c r="L488" s="9">
        <f>IFERROR(LOOKUP(2,1/('Weekly Tracker'!$E$2:$E$766=$A488)/('Weekly Tracker'!$O$2:$O$766&lt;&gt;""),'Weekly Tracker'!$O$2:$O$766),"")</f>
        <v/>
      </c>
    </row>
    <row r="489">
      <c r="A489" s="9" t="inlineStr">
        <is>
          <t>Senthil Murugan FB</t>
        </is>
      </c>
      <c r="B489" s="9" t="inlineStr">
        <is>
          <t>919942822608</t>
        </is>
      </c>
      <c r="C489" s="9" t="n"/>
      <c r="D489" s="9" t="n"/>
      <c r="E489" s="9" t="n"/>
      <c r="F489" s="9">
        <f>IFERROR(LOOKUP(2,1/('Weekly Tracker'!$E$2:$E$766=$A489)/('Weekly Tracker'!$F$2:$F$766&lt;&gt;""),'Weekly Tracker'!$F$2:$F$766),"")</f>
        <v/>
      </c>
      <c r="G489" s="16">
        <f>IF(F489&lt;&gt;"",LOOKUP(2,1/('Weekly Tracker'!$E$2:$E$766=$A489)/('Weekly Tracker'!$F$2:$F$766&lt;&gt;""),'Weekly Tracker'!$G$2:$G$766),"")</f>
        <v/>
      </c>
      <c r="H489" s="9">
        <f>IFERROR(LOOKUP(2,1/('Weekly Tracker'!$E$2:$E$766=$A489)/('Weekly Tracker'!$H$2:$H$766&lt;&gt;""),'Weekly Tracker'!$H$2:$H$766),"")</f>
        <v/>
      </c>
      <c r="I489" s="16">
        <f>IF(H489&lt;&gt;"",LOOKUP(2,1/('Weekly Tracker'!$E$2:$E$766=$A489)/('Weekly Tracker'!$H$2:$H$766&lt;&gt;""),'Weekly Tracker'!$I$2:$I$766),"")</f>
        <v/>
      </c>
      <c r="J489" s="9">
        <f>IFERROR(LOOKUP(2,1/('Weekly Tracker'!$E$2:$E$766=$A489)/('Weekly Tracker'!$J$2:$J$766&lt;&gt;""),'Weekly Tracker'!$J$2:$J$766),"")</f>
        <v/>
      </c>
      <c r="K489" s="9">
        <f>IFERROR(LOOKUP(2,1/('Weekly Tracker'!$E$2:$E$766=$A489)/('Weekly Tracker'!$N$2:$N$766&lt;&gt;""),'Weekly Tracker'!$N$2:$N$766),"")</f>
        <v/>
      </c>
      <c r="L489" s="9">
        <f>IFERROR(LOOKUP(2,1/('Weekly Tracker'!$E$2:$E$766=$A489)/('Weekly Tracker'!$O$2:$O$766&lt;&gt;""),'Weekly Tracker'!$O$2:$O$766),"")</f>
        <v/>
      </c>
    </row>
    <row r="490">
      <c r="A490" s="9" t="inlineStr">
        <is>
          <t>SivaRam FB</t>
        </is>
      </c>
      <c r="B490" s="9" t="inlineStr">
        <is>
          <t>918220520088</t>
        </is>
      </c>
      <c r="C490" s="9" t="n"/>
      <c r="D490" s="9" t="n"/>
      <c r="E490" s="9" t="n"/>
      <c r="F490" s="9">
        <f>IFERROR(LOOKUP(2,1/('Weekly Tracker'!$E$2:$E$766=$A490)/('Weekly Tracker'!$F$2:$F$766&lt;&gt;""),'Weekly Tracker'!$F$2:$F$766),"")</f>
        <v/>
      </c>
      <c r="G490" s="16">
        <f>IF(F490&lt;&gt;"",LOOKUP(2,1/('Weekly Tracker'!$E$2:$E$766=$A490)/('Weekly Tracker'!$F$2:$F$766&lt;&gt;""),'Weekly Tracker'!$G$2:$G$766),"")</f>
        <v/>
      </c>
      <c r="H490" s="9">
        <f>IFERROR(LOOKUP(2,1/('Weekly Tracker'!$E$2:$E$766=$A490)/('Weekly Tracker'!$H$2:$H$766&lt;&gt;""),'Weekly Tracker'!$H$2:$H$766),"")</f>
        <v/>
      </c>
      <c r="I490" s="16">
        <f>IF(H490&lt;&gt;"",LOOKUP(2,1/('Weekly Tracker'!$E$2:$E$766=$A490)/('Weekly Tracker'!$H$2:$H$766&lt;&gt;""),'Weekly Tracker'!$I$2:$I$766),"")</f>
        <v/>
      </c>
      <c r="J490" s="9">
        <f>IFERROR(LOOKUP(2,1/('Weekly Tracker'!$E$2:$E$766=$A490)/('Weekly Tracker'!$J$2:$J$766&lt;&gt;""),'Weekly Tracker'!$J$2:$J$766),"")</f>
        <v/>
      </c>
      <c r="K490" s="9">
        <f>IFERROR(LOOKUP(2,1/('Weekly Tracker'!$E$2:$E$766=$A490)/('Weekly Tracker'!$N$2:$N$766&lt;&gt;""),'Weekly Tracker'!$N$2:$N$766),"")</f>
        <v/>
      </c>
      <c r="L490" s="9">
        <f>IFERROR(LOOKUP(2,1/('Weekly Tracker'!$E$2:$E$766=$A490)/('Weekly Tracker'!$O$2:$O$766&lt;&gt;""),'Weekly Tracker'!$O$2:$O$766),"")</f>
        <v/>
      </c>
    </row>
    <row r="491">
      <c r="A491" s="9" t="inlineStr">
        <is>
          <t>Jebeesha Kumar Grp UCEN</t>
        </is>
      </c>
      <c r="B491" s="9" t="inlineStr">
        <is>
          <t>917598215701</t>
        </is>
      </c>
      <c r="C491" s="9" t="n"/>
      <c r="D491" s="9" t="n"/>
      <c r="E491" s="9" t="n"/>
      <c r="F491" s="9">
        <f>IFERROR(LOOKUP(2,1/('Weekly Tracker'!$E$2:$E$766=$A491)/('Weekly Tracker'!$F$2:$F$766&lt;&gt;""),'Weekly Tracker'!$F$2:$F$766),"")</f>
        <v/>
      </c>
      <c r="G491" s="16">
        <f>IF(F491&lt;&gt;"",LOOKUP(2,1/('Weekly Tracker'!$E$2:$E$766=$A491)/('Weekly Tracker'!$F$2:$F$766&lt;&gt;""),'Weekly Tracker'!$G$2:$G$766),"")</f>
        <v/>
      </c>
      <c r="H491" s="9">
        <f>IFERROR(LOOKUP(2,1/('Weekly Tracker'!$E$2:$E$766=$A491)/('Weekly Tracker'!$H$2:$H$766&lt;&gt;""),'Weekly Tracker'!$H$2:$H$766),"")</f>
        <v/>
      </c>
      <c r="I491" s="16">
        <f>IF(H491&lt;&gt;"",LOOKUP(2,1/('Weekly Tracker'!$E$2:$E$766=$A491)/('Weekly Tracker'!$H$2:$H$766&lt;&gt;""),'Weekly Tracker'!$I$2:$I$766),"")</f>
        <v/>
      </c>
      <c r="J491" s="9">
        <f>IFERROR(LOOKUP(2,1/('Weekly Tracker'!$E$2:$E$766=$A491)/('Weekly Tracker'!$J$2:$J$766&lt;&gt;""),'Weekly Tracker'!$J$2:$J$766),"")</f>
        <v/>
      </c>
      <c r="K491" s="9">
        <f>IFERROR(LOOKUP(2,1/('Weekly Tracker'!$E$2:$E$766=$A491)/('Weekly Tracker'!$N$2:$N$766&lt;&gt;""),'Weekly Tracker'!$N$2:$N$766),"")</f>
        <v/>
      </c>
      <c r="L491" s="9">
        <f>IFERROR(LOOKUP(2,1/('Weekly Tracker'!$E$2:$E$766=$A491)/('Weekly Tracker'!$O$2:$O$766&lt;&gt;""),'Weekly Tracker'!$O$2:$O$766),"")</f>
        <v/>
      </c>
    </row>
    <row r="492">
      <c r="A492" s="9" t="inlineStr">
        <is>
          <t>Abhishek Chaudhary</t>
        </is>
      </c>
      <c r="B492" s="9" t="inlineStr">
        <is>
          <t>917355969891</t>
        </is>
      </c>
      <c r="C492" s="9" t="n"/>
      <c r="D492" s="9" t="n"/>
      <c r="E492" s="9" t="inlineStr">
        <is>
          <t>INFCITYPRK2</t>
        </is>
      </c>
      <c r="F492" s="9">
        <f>IFERROR(LOOKUP(2,1/('Weekly Tracker'!$E$2:$E$766=$A492)/('Weekly Tracker'!$F$2:$F$766&lt;&gt;""),'Weekly Tracker'!$F$2:$F$766),"")</f>
        <v/>
      </c>
      <c r="G492" s="16">
        <f>IF(F492&lt;&gt;"",LOOKUP(2,1/('Weekly Tracker'!$E$2:$E$766=$A492)/('Weekly Tracker'!$F$2:$F$766&lt;&gt;""),'Weekly Tracker'!$G$2:$G$766),"")</f>
        <v/>
      </c>
      <c r="H492" s="9">
        <f>IFERROR(LOOKUP(2,1/('Weekly Tracker'!$E$2:$E$766=$A492)/('Weekly Tracker'!$H$2:$H$766&lt;&gt;""),'Weekly Tracker'!$H$2:$H$766),"")</f>
        <v/>
      </c>
      <c r="I492" s="16">
        <f>IF(H492&lt;&gt;"",LOOKUP(2,1/('Weekly Tracker'!$E$2:$E$766=$A492)/('Weekly Tracker'!$H$2:$H$766&lt;&gt;""),'Weekly Tracker'!$I$2:$I$766),"")</f>
        <v/>
      </c>
      <c r="J492" s="9">
        <f>IFERROR(LOOKUP(2,1/('Weekly Tracker'!$E$2:$E$766=$A492)/('Weekly Tracker'!$J$2:$J$766&lt;&gt;""),'Weekly Tracker'!$J$2:$J$766),"")</f>
        <v/>
      </c>
      <c r="K492" s="9">
        <f>IFERROR(LOOKUP(2,1/('Weekly Tracker'!$E$2:$E$766=$A492)/('Weekly Tracker'!$N$2:$N$766&lt;&gt;""),'Weekly Tracker'!$N$2:$N$766),"")</f>
        <v/>
      </c>
      <c r="L492" s="9">
        <f>IFERROR(LOOKUP(2,1/('Weekly Tracker'!$E$2:$E$766=$A492)/('Weekly Tracker'!$O$2:$O$766&lt;&gt;""),'Weekly Tracker'!$O$2:$O$766),"")</f>
        <v/>
      </c>
    </row>
    <row r="493">
      <c r="A493" s="9" t="inlineStr">
        <is>
          <t>Susun Grp Junior</t>
        </is>
      </c>
      <c r="B493" s="9" t="inlineStr">
        <is>
          <t>918122919921</t>
        </is>
      </c>
      <c r="C493" s="9" t="n"/>
      <c r="D493" s="9" t="n"/>
      <c r="E493" s="9" t="n"/>
      <c r="F493" s="9">
        <f>IFERROR(LOOKUP(2,1/('Weekly Tracker'!$E$2:$E$766=$A493)/('Weekly Tracker'!$F$2:$F$766&lt;&gt;""),'Weekly Tracker'!$F$2:$F$766),"")</f>
        <v/>
      </c>
      <c r="G493" s="16">
        <f>IF(F493&lt;&gt;"",LOOKUP(2,1/('Weekly Tracker'!$E$2:$E$766=$A493)/('Weekly Tracker'!$F$2:$F$766&lt;&gt;""),'Weekly Tracker'!$G$2:$G$766),"")</f>
        <v/>
      </c>
      <c r="H493" s="9">
        <f>IFERROR(LOOKUP(2,1/('Weekly Tracker'!$E$2:$E$766=$A493)/('Weekly Tracker'!$H$2:$H$766&lt;&gt;""),'Weekly Tracker'!$H$2:$H$766),"")</f>
        <v/>
      </c>
      <c r="I493" s="16">
        <f>IF(H493&lt;&gt;"",LOOKUP(2,1/('Weekly Tracker'!$E$2:$E$766=$A493)/('Weekly Tracker'!$H$2:$H$766&lt;&gt;""),'Weekly Tracker'!$I$2:$I$766),"")</f>
        <v/>
      </c>
      <c r="J493" s="9">
        <f>IFERROR(LOOKUP(2,1/('Weekly Tracker'!$E$2:$E$766=$A493)/('Weekly Tracker'!$J$2:$J$766&lt;&gt;""),'Weekly Tracker'!$J$2:$J$766),"")</f>
        <v/>
      </c>
      <c r="K493" s="9">
        <f>IFERROR(LOOKUP(2,1/('Weekly Tracker'!$E$2:$E$766=$A493)/('Weekly Tracker'!$N$2:$N$766&lt;&gt;""),'Weekly Tracker'!$N$2:$N$766),"")</f>
        <v/>
      </c>
      <c r="L493" s="9">
        <f>IFERROR(LOOKUP(2,1/('Weekly Tracker'!$E$2:$E$766=$A493)/('Weekly Tracker'!$O$2:$O$766&lt;&gt;""),'Weekly Tracker'!$O$2:$O$766),"")</f>
        <v/>
      </c>
    </row>
    <row r="494">
      <c r="A494" s="9" t="inlineStr">
        <is>
          <t>Srini HCL RM</t>
        </is>
      </c>
      <c r="B494" s="9" t="inlineStr">
        <is>
          <t>918309958715</t>
        </is>
      </c>
      <c r="C494" s="9" t="n"/>
      <c r="D494" s="9" t="n"/>
      <c r="E494" s="9" t="n"/>
      <c r="F494" s="9">
        <f>IFERROR(LOOKUP(2,1/('Weekly Tracker'!$E$2:$E$766=$A494)/('Weekly Tracker'!$F$2:$F$766&lt;&gt;""),'Weekly Tracker'!$F$2:$F$766),"")</f>
        <v/>
      </c>
      <c r="G494" s="16">
        <f>IF(F494&lt;&gt;"",LOOKUP(2,1/('Weekly Tracker'!$E$2:$E$766=$A494)/('Weekly Tracker'!$F$2:$F$766&lt;&gt;""),'Weekly Tracker'!$G$2:$G$766),"")</f>
        <v/>
      </c>
      <c r="H494" s="9">
        <f>IFERROR(LOOKUP(2,1/('Weekly Tracker'!$E$2:$E$766=$A494)/('Weekly Tracker'!$H$2:$H$766&lt;&gt;""),'Weekly Tracker'!$H$2:$H$766),"")</f>
        <v/>
      </c>
      <c r="I494" s="16">
        <f>IF(H494&lt;&gt;"",LOOKUP(2,1/('Weekly Tracker'!$E$2:$E$766=$A494)/('Weekly Tracker'!$H$2:$H$766&lt;&gt;""),'Weekly Tracker'!$I$2:$I$766),"")</f>
        <v/>
      </c>
      <c r="J494" s="9">
        <f>IFERROR(LOOKUP(2,1/('Weekly Tracker'!$E$2:$E$766=$A494)/('Weekly Tracker'!$J$2:$J$766&lt;&gt;""),'Weekly Tracker'!$J$2:$J$766),"")</f>
        <v/>
      </c>
      <c r="K494" s="9">
        <f>IFERROR(LOOKUP(2,1/('Weekly Tracker'!$E$2:$E$766=$A494)/('Weekly Tracker'!$N$2:$N$766&lt;&gt;""),'Weekly Tracker'!$N$2:$N$766),"")</f>
        <v/>
      </c>
      <c r="L494" s="9">
        <f>IFERROR(LOOKUP(2,1/('Weekly Tracker'!$E$2:$E$766=$A494)/('Weekly Tracker'!$O$2:$O$766&lt;&gt;""),'Weekly Tracker'!$O$2:$O$766),"")</f>
        <v/>
      </c>
    </row>
    <row r="495">
      <c r="A495" s="9" t="inlineStr">
        <is>
          <t>Suganya Ganapathy ECE</t>
        </is>
      </c>
      <c r="B495" s="9" t="inlineStr">
        <is>
          <t>918300102924</t>
        </is>
      </c>
      <c r="C495" s="9" t="n"/>
      <c r="D495" s="9" t="n"/>
      <c r="E495" s="9" t="n"/>
      <c r="F495" s="9">
        <f>IFERROR(LOOKUP(2,1/('Weekly Tracker'!$E$2:$E$766=$A495)/('Weekly Tracker'!$F$2:$F$766&lt;&gt;""),'Weekly Tracker'!$F$2:$F$766),"")</f>
        <v/>
      </c>
      <c r="G495" s="16">
        <f>IF(F495&lt;&gt;"",LOOKUP(2,1/('Weekly Tracker'!$E$2:$E$766=$A495)/('Weekly Tracker'!$F$2:$F$766&lt;&gt;""),'Weekly Tracker'!$G$2:$G$766),"")</f>
        <v/>
      </c>
      <c r="H495" s="9">
        <f>IFERROR(LOOKUP(2,1/('Weekly Tracker'!$E$2:$E$766=$A495)/('Weekly Tracker'!$H$2:$H$766&lt;&gt;""),'Weekly Tracker'!$H$2:$H$766),"")</f>
        <v/>
      </c>
      <c r="I495" s="16">
        <f>IF(H495&lt;&gt;"",LOOKUP(2,1/('Weekly Tracker'!$E$2:$E$766=$A495)/('Weekly Tracker'!$H$2:$H$766&lt;&gt;""),'Weekly Tracker'!$I$2:$I$766),"")</f>
        <v/>
      </c>
      <c r="J495" s="9">
        <f>IFERROR(LOOKUP(2,1/('Weekly Tracker'!$E$2:$E$766=$A495)/('Weekly Tracker'!$J$2:$J$766&lt;&gt;""),'Weekly Tracker'!$J$2:$J$766),"")</f>
        <v/>
      </c>
      <c r="K495" s="9">
        <f>IFERROR(LOOKUP(2,1/('Weekly Tracker'!$E$2:$E$766=$A495)/('Weekly Tracker'!$N$2:$N$766&lt;&gt;""),'Weekly Tracker'!$N$2:$N$766),"")</f>
        <v/>
      </c>
      <c r="L495" s="9">
        <f>IFERROR(LOOKUP(2,1/('Weekly Tracker'!$E$2:$E$766=$A495)/('Weekly Tracker'!$O$2:$O$766&lt;&gt;""),'Weekly Tracker'!$O$2:$O$766),"")</f>
        <v/>
      </c>
    </row>
    <row r="496">
      <c r="A496" s="9" t="inlineStr">
        <is>
          <t>Thirumagal Urja</t>
        </is>
      </c>
      <c r="B496" s="9" t="inlineStr">
        <is>
          <t>8190998217</t>
        </is>
      </c>
      <c r="C496" s="9" t="n"/>
      <c r="D496" s="9" t="n"/>
      <c r="E496" s="9" t="n"/>
      <c r="F496" s="9">
        <f>IFERROR(LOOKUP(2,1/('Weekly Tracker'!$E$2:$E$766=$A496)/('Weekly Tracker'!$F$2:$F$766&lt;&gt;""),'Weekly Tracker'!$F$2:$F$766),"")</f>
        <v/>
      </c>
      <c r="G496" s="16">
        <f>IF(F496&lt;&gt;"",LOOKUP(2,1/('Weekly Tracker'!$E$2:$E$766=$A496)/('Weekly Tracker'!$F$2:$F$766&lt;&gt;""),'Weekly Tracker'!$G$2:$G$766),"")</f>
        <v/>
      </c>
      <c r="H496" s="9">
        <f>IFERROR(LOOKUP(2,1/('Weekly Tracker'!$E$2:$E$766=$A496)/('Weekly Tracker'!$H$2:$H$766&lt;&gt;""),'Weekly Tracker'!$H$2:$H$766),"")</f>
        <v/>
      </c>
      <c r="I496" s="16">
        <f>IF(H496&lt;&gt;"",LOOKUP(2,1/('Weekly Tracker'!$E$2:$E$766=$A496)/('Weekly Tracker'!$H$2:$H$766&lt;&gt;""),'Weekly Tracker'!$I$2:$I$766),"")</f>
        <v/>
      </c>
      <c r="J496" s="9">
        <f>IFERROR(LOOKUP(2,1/('Weekly Tracker'!$E$2:$E$766=$A496)/('Weekly Tracker'!$J$2:$J$766&lt;&gt;""),'Weekly Tracker'!$J$2:$J$766),"")</f>
        <v/>
      </c>
      <c r="K496" s="9">
        <f>IFERROR(LOOKUP(2,1/('Weekly Tracker'!$E$2:$E$766=$A496)/('Weekly Tracker'!$N$2:$N$766&lt;&gt;""),'Weekly Tracker'!$N$2:$N$766),"")</f>
        <v/>
      </c>
      <c r="L496" s="9">
        <f>IFERROR(LOOKUP(2,1/('Weekly Tracker'!$E$2:$E$766=$A496)/('Weekly Tracker'!$O$2:$O$766&lt;&gt;""),'Weekly Tracker'!$O$2:$O$766),"")</f>
        <v/>
      </c>
    </row>
    <row r="497">
      <c r="A497" s="9" t="inlineStr">
        <is>
          <t>Sai Rarasimha Urja</t>
        </is>
      </c>
      <c r="B497" s="9" t="inlineStr">
        <is>
          <t>918565957585</t>
        </is>
      </c>
      <c r="C497" s="9" t="n"/>
      <c r="D497" s="9" t="n"/>
      <c r="E497" s="9" t="n"/>
      <c r="F497" s="9">
        <f>IFERROR(LOOKUP(2,1/('Weekly Tracker'!$E$2:$E$766=$A497)/('Weekly Tracker'!$F$2:$F$766&lt;&gt;""),'Weekly Tracker'!$F$2:$F$766),"")</f>
        <v/>
      </c>
      <c r="G497" s="16">
        <f>IF(F497&lt;&gt;"",LOOKUP(2,1/('Weekly Tracker'!$E$2:$E$766=$A497)/('Weekly Tracker'!$F$2:$F$766&lt;&gt;""),'Weekly Tracker'!$G$2:$G$766),"")</f>
        <v/>
      </c>
      <c r="H497" s="9">
        <f>IFERROR(LOOKUP(2,1/('Weekly Tracker'!$E$2:$E$766=$A497)/('Weekly Tracker'!$H$2:$H$766&lt;&gt;""),'Weekly Tracker'!$H$2:$H$766),"")</f>
        <v/>
      </c>
      <c r="I497" s="16">
        <f>IF(H497&lt;&gt;"",LOOKUP(2,1/('Weekly Tracker'!$E$2:$E$766=$A497)/('Weekly Tracker'!$H$2:$H$766&lt;&gt;""),'Weekly Tracker'!$I$2:$I$766),"")</f>
        <v/>
      </c>
      <c r="J497" s="9">
        <f>IFERROR(LOOKUP(2,1/('Weekly Tracker'!$E$2:$E$766=$A497)/('Weekly Tracker'!$J$2:$J$766&lt;&gt;""),'Weekly Tracker'!$J$2:$J$766),"")</f>
        <v/>
      </c>
      <c r="K497" s="9">
        <f>IFERROR(LOOKUP(2,1/('Weekly Tracker'!$E$2:$E$766=$A497)/('Weekly Tracker'!$N$2:$N$766&lt;&gt;""),'Weekly Tracker'!$N$2:$N$766),"")</f>
        <v/>
      </c>
      <c r="L497" s="9">
        <f>IFERROR(LOOKUP(2,1/('Weekly Tracker'!$E$2:$E$766=$A497)/('Weekly Tracker'!$O$2:$O$766&lt;&gt;""),'Weekly Tracker'!$O$2:$O$766),"")</f>
        <v/>
      </c>
    </row>
    <row r="498">
      <c r="A498" s="9" t="inlineStr">
        <is>
          <t>Prakash Owner</t>
        </is>
      </c>
      <c r="B498" s="9" t="inlineStr">
        <is>
          <t>9600755805</t>
        </is>
      </c>
      <c r="C498" s="9" t="n"/>
      <c r="D498" s="9" t="n"/>
      <c r="E498" s="9" t="n"/>
      <c r="F498" s="9">
        <f>IFERROR(LOOKUP(2,1/('Weekly Tracker'!$E$2:$E$766=$A498)/('Weekly Tracker'!$F$2:$F$766&lt;&gt;""),'Weekly Tracker'!$F$2:$F$766),"")</f>
        <v/>
      </c>
      <c r="G498" s="16">
        <f>IF(F498&lt;&gt;"",LOOKUP(2,1/('Weekly Tracker'!$E$2:$E$766=$A498)/('Weekly Tracker'!$F$2:$F$766&lt;&gt;""),'Weekly Tracker'!$G$2:$G$766),"")</f>
        <v/>
      </c>
      <c r="H498" s="9">
        <f>IFERROR(LOOKUP(2,1/('Weekly Tracker'!$E$2:$E$766=$A498)/('Weekly Tracker'!$H$2:$H$766&lt;&gt;""),'Weekly Tracker'!$H$2:$H$766),"")</f>
        <v/>
      </c>
      <c r="I498" s="16">
        <f>IF(H498&lt;&gt;"",LOOKUP(2,1/('Weekly Tracker'!$E$2:$E$766=$A498)/('Weekly Tracker'!$H$2:$H$766&lt;&gt;""),'Weekly Tracker'!$I$2:$I$766),"")</f>
        <v/>
      </c>
      <c r="J498" s="9">
        <f>IFERROR(LOOKUP(2,1/('Weekly Tracker'!$E$2:$E$766=$A498)/('Weekly Tracker'!$J$2:$J$766&lt;&gt;""),'Weekly Tracker'!$J$2:$J$766),"")</f>
        <v/>
      </c>
      <c r="K498" s="9">
        <f>IFERROR(LOOKUP(2,1/('Weekly Tracker'!$E$2:$E$766=$A498)/('Weekly Tracker'!$N$2:$N$766&lt;&gt;""),'Weekly Tracker'!$N$2:$N$766),"")</f>
        <v/>
      </c>
      <c r="L498" s="9">
        <f>IFERROR(LOOKUP(2,1/('Weekly Tracker'!$E$2:$E$766=$A498)/('Weekly Tracker'!$O$2:$O$766&lt;&gt;""),'Weekly Tracker'!$O$2:$O$766),"")</f>
        <v/>
      </c>
    </row>
    <row r="499">
      <c r="A499" s="9" t="inlineStr">
        <is>
          <t>Major Sundar Raj</t>
        </is>
      </c>
      <c r="B499" s="9" t="inlineStr">
        <is>
          <t>919159920462</t>
        </is>
      </c>
      <c r="C499" s="9" t="n"/>
      <c r="D499" s="9" t="n"/>
      <c r="E499" s="9" t="n"/>
      <c r="F499" s="9">
        <f>IFERROR(LOOKUP(2,1/('Weekly Tracker'!$E$2:$E$766=$A499)/('Weekly Tracker'!$F$2:$F$766&lt;&gt;""),'Weekly Tracker'!$F$2:$F$766),"")</f>
        <v/>
      </c>
      <c r="G499" s="16">
        <f>IF(F499&lt;&gt;"",LOOKUP(2,1/('Weekly Tracker'!$E$2:$E$766=$A499)/('Weekly Tracker'!$F$2:$F$766&lt;&gt;""),'Weekly Tracker'!$G$2:$G$766),"")</f>
        <v/>
      </c>
      <c r="H499" s="9">
        <f>IFERROR(LOOKUP(2,1/('Weekly Tracker'!$E$2:$E$766=$A499)/('Weekly Tracker'!$H$2:$H$766&lt;&gt;""),'Weekly Tracker'!$H$2:$H$766),"")</f>
        <v/>
      </c>
      <c r="I499" s="16">
        <f>IF(H499&lt;&gt;"",LOOKUP(2,1/('Weekly Tracker'!$E$2:$E$766=$A499)/('Weekly Tracker'!$H$2:$H$766&lt;&gt;""),'Weekly Tracker'!$I$2:$I$766),"")</f>
        <v/>
      </c>
      <c r="J499" s="9">
        <f>IFERROR(LOOKUP(2,1/('Weekly Tracker'!$E$2:$E$766=$A499)/('Weekly Tracker'!$J$2:$J$766&lt;&gt;""),'Weekly Tracker'!$J$2:$J$766),"")</f>
        <v/>
      </c>
      <c r="K499" s="9">
        <f>IFERROR(LOOKUP(2,1/('Weekly Tracker'!$E$2:$E$766=$A499)/('Weekly Tracker'!$N$2:$N$766&lt;&gt;""),'Weekly Tracker'!$N$2:$N$766),"")</f>
        <v/>
      </c>
      <c r="L499" s="9">
        <f>IFERROR(LOOKUP(2,1/('Weekly Tracker'!$E$2:$E$766=$A499)/('Weekly Tracker'!$O$2:$O$766&lt;&gt;""),'Weekly Tracker'!$O$2:$O$766),"")</f>
        <v/>
      </c>
    </row>
    <row r="500">
      <c r="A500" s="9" t="inlineStr">
        <is>
          <t>ABISHEK SRIDHARAN</t>
        </is>
      </c>
      <c r="B500" s="9" t="inlineStr">
        <is>
          <t>8807194498</t>
        </is>
      </c>
      <c r="C500" s="9" t="n"/>
      <c r="D500" s="9" t="n"/>
      <c r="E500" s="9" t="n"/>
      <c r="F500" s="9">
        <f>IFERROR(LOOKUP(2,1/('Weekly Tracker'!$E$2:$E$766=$A500)/('Weekly Tracker'!$F$2:$F$766&lt;&gt;""),'Weekly Tracker'!$F$2:$F$766),"")</f>
        <v/>
      </c>
      <c r="G500" s="16">
        <f>IF(F500&lt;&gt;"",LOOKUP(2,1/('Weekly Tracker'!$E$2:$E$766=$A500)/('Weekly Tracker'!$F$2:$F$766&lt;&gt;""),'Weekly Tracker'!$G$2:$G$766),"")</f>
        <v/>
      </c>
      <c r="H500" s="9">
        <f>IFERROR(LOOKUP(2,1/('Weekly Tracker'!$E$2:$E$766=$A500)/('Weekly Tracker'!$H$2:$H$766&lt;&gt;""),'Weekly Tracker'!$H$2:$H$766),"")</f>
        <v/>
      </c>
      <c r="I500" s="16">
        <f>IF(H500&lt;&gt;"",LOOKUP(2,1/('Weekly Tracker'!$E$2:$E$766=$A500)/('Weekly Tracker'!$H$2:$H$766&lt;&gt;""),'Weekly Tracker'!$I$2:$I$766),"")</f>
        <v/>
      </c>
      <c r="J500" s="9">
        <f>IFERROR(LOOKUP(2,1/('Weekly Tracker'!$E$2:$E$766=$A500)/('Weekly Tracker'!$J$2:$J$766&lt;&gt;""),'Weekly Tracker'!$J$2:$J$766),"")</f>
        <v/>
      </c>
      <c r="K500" s="9">
        <f>IFERROR(LOOKUP(2,1/('Weekly Tracker'!$E$2:$E$766=$A500)/('Weekly Tracker'!$N$2:$N$766&lt;&gt;""),'Weekly Tracker'!$N$2:$N$766),"")</f>
        <v/>
      </c>
      <c r="L500" s="9">
        <f>IFERROR(LOOKUP(2,1/('Weekly Tracker'!$E$2:$E$766=$A500)/('Weekly Tracker'!$O$2:$O$766&lt;&gt;""),'Weekly Tracker'!$O$2:$O$766),"")</f>
        <v/>
      </c>
    </row>
    <row r="501">
      <c r="A501" s="9" t="inlineStr">
        <is>
          <t>Ashwin Ques</t>
        </is>
      </c>
      <c r="B501" s="9" t="inlineStr">
        <is>
          <t>917502622173</t>
        </is>
      </c>
      <c r="C501" s="9" t="n"/>
      <c r="D501" s="9" t="n"/>
      <c r="E501" s="9" t="n"/>
      <c r="F501" s="9">
        <f>IFERROR(LOOKUP(2,1/('Weekly Tracker'!$E$2:$E$766=$A501)/('Weekly Tracker'!$F$2:$F$766&lt;&gt;""),'Weekly Tracker'!$F$2:$F$766),"")</f>
        <v/>
      </c>
      <c r="G501" s="16">
        <f>IF(F501&lt;&gt;"",LOOKUP(2,1/('Weekly Tracker'!$E$2:$E$766=$A501)/('Weekly Tracker'!$F$2:$F$766&lt;&gt;""),'Weekly Tracker'!$G$2:$G$766),"")</f>
        <v/>
      </c>
      <c r="H501" s="9">
        <f>IFERROR(LOOKUP(2,1/('Weekly Tracker'!$E$2:$E$766=$A501)/('Weekly Tracker'!$H$2:$H$766&lt;&gt;""),'Weekly Tracker'!$H$2:$H$766),"")</f>
        <v/>
      </c>
      <c r="I501" s="16">
        <f>IF(H501&lt;&gt;"",LOOKUP(2,1/('Weekly Tracker'!$E$2:$E$766=$A501)/('Weekly Tracker'!$H$2:$H$766&lt;&gt;""),'Weekly Tracker'!$I$2:$I$766),"")</f>
        <v/>
      </c>
      <c r="J501" s="9">
        <f>IFERROR(LOOKUP(2,1/('Weekly Tracker'!$E$2:$E$766=$A501)/('Weekly Tracker'!$J$2:$J$766&lt;&gt;""),'Weekly Tracker'!$J$2:$J$766),"")</f>
        <v/>
      </c>
      <c r="K501" s="9">
        <f>IFERROR(LOOKUP(2,1/('Weekly Tracker'!$E$2:$E$766=$A501)/('Weekly Tracker'!$N$2:$N$766&lt;&gt;""),'Weekly Tracker'!$N$2:$N$766),"")</f>
        <v/>
      </c>
      <c r="L501" s="9">
        <f>IFERROR(LOOKUP(2,1/('Weekly Tracker'!$E$2:$E$766=$A501)/('Weekly Tracker'!$O$2:$O$766&lt;&gt;""),'Weekly Tracker'!$O$2:$O$766),"")</f>
        <v/>
      </c>
    </row>
    <row r="502">
      <c r="A502" s="9" t="inlineStr">
        <is>
          <t>Siva Shankar Urja</t>
        </is>
      </c>
      <c r="B502" s="9" t="inlineStr">
        <is>
          <t>919790143451</t>
        </is>
      </c>
      <c r="C502" s="9" t="n"/>
      <c r="D502" s="9" t="n"/>
      <c r="E502" s="9" t="n"/>
      <c r="F502" s="9">
        <f>IFERROR(LOOKUP(2,1/('Weekly Tracker'!$E$2:$E$766=$A502)/('Weekly Tracker'!$F$2:$F$766&lt;&gt;""),'Weekly Tracker'!$F$2:$F$766),"")</f>
        <v/>
      </c>
      <c r="G502" s="16">
        <f>IF(F502&lt;&gt;"",LOOKUP(2,1/('Weekly Tracker'!$E$2:$E$766=$A502)/('Weekly Tracker'!$F$2:$F$766&lt;&gt;""),'Weekly Tracker'!$G$2:$G$766),"")</f>
        <v/>
      </c>
      <c r="H502" s="9">
        <f>IFERROR(LOOKUP(2,1/('Weekly Tracker'!$E$2:$E$766=$A502)/('Weekly Tracker'!$H$2:$H$766&lt;&gt;""),'Weekly Tracker'!$H$2:$H$766),"")</f>
        <v/>
      </c>
      <c r="I502" s="16">
        <f>IF(H502&lt;&gt;"",LOOKUP(2,1/('Weekly Tracker'!$E$2:$E$766=$A502)/('Weekly Tracker'!$H$2:$H$766&lt;&gt;""),'Weekly Tracker'!$I$2:$I$766),"")</f>
        <v/>
      </c>
      <c r="J502" s="9">
        <f>IFERROR(LOOKUP(2,1/('Weekly Tracker'!$E$2:$E$766=$A502)/('Weekly Tracker'!$J$2:$J$766&lt;&gt;""),'Weekly Tracker'!$J$2:$J$766),"")</f>
        <v/>
      </c>
      <c r="K502" s="9">
        <f>IFERROR(LOOKUP(2,1/('Weekly Tracker'!$E$2:$E$766=$A502)/('Weekly Tracker'!$N$2:$N$766&lt;&gt;""),'Weekly Tracker'!$N$2:$N$766),"")</f>
        <v/>
      </c>
      <c r="L502" s="9">
        <f>IFERROR(LOOKUP(2,1/('Weekly Tracker'!$E$2:$E$766=$A502)/('Weekly Tracker'!$O$2:$O$766&lt;&gt;""),'Weekly Tracker'!$O$2:$O$766),"")</f>
        <v/>
      </c>
    </row>
    <row r="503">
      <c r="A503" s="9" t="inlineStr">
        <is>
          <t>Tharik Urja</t>
        </is>
      </c>
      <c r="B503" s="9" t="inlineStr">
        <is>
          <t>919092906940</t>
        </is>
      </c>
      <c r="C503" s="9" t="n"/>
      <c r="D503" s="9" t="n"/>
      <c r="E503" s="9" t="n"/>
      <c r="F503" s="9">
        <f>IFERROR(LOOKUP(2,1/('Weekly Tracker'!$E$2:$E$766=$A503)/('Weekly Tracker'!$F$2:$F$766&lt;&gt;""),'Weekly Tracker'!$F$2:$F$766),"")</f>
        <v/>
      </c>
      <c r="G503" s="16">
        <f>IF(F503&lt;&gt;"",LOOKUP(2,1/('Weekly Tracker'!$E$2:$E$766=$A503)/('Weekly Tracker'!$F$2:$F$766&lt;&gt;""),'Weekly Tracker'!$G$2:$G$766),"")</f>
        <v/>
      </c>
      <c r="H503" s="9">
        <f>IFERROR(LOOKUP(2,1/('Weekly Tracker'!$E$2:$E$766=$A503)/('Weekly Tracker'!$H$2:$H$766&lt;&gt;""),'Weekly Tracker'!$H$2:$H$766),"")</f>
        <v/>
      </c>
      <c r="I503" s="16">
        <f>IF(H503&lt;&gt;"",LOOKUP(2,1/('Weekly Tracker'!$E$2:$E$766=$A503)/('Weekly Tracker'!$H$2:$H$766&lt;&gt;""),'Weekly Tracker'!$I$2:$I$766),"")</f>
        <v/>
      </c>
      <c r="J503" s="9">
        <f>IFERROR(LOOKUP(2,1/('Weekly Tracker'!$E$2:$E$766=$A503)/('Weekly Tracker'!$J$2:$J$766&lt;&gt;""),'Weekly Tracker'!$J$2:$J$766),"")</f>
        <v/>
      </c>
      <c r="K503" s="9">
        <f>IFERROR(LOOKUP(2,1/('Weekly Tracker'!$E$2:$E$766=$A503)/('Weekly Tracker'!$N$2:$N$766&lt;&gt;""),'Weekly Tracker'!$N$2:$N$766),"")</f>
        <v/>
      </c>
      <c r="L503" s="9">
        <f>IFERROR(LOOKUP(2,1/('Weekly Tracker'!$E$2:$E$766=$A503)/('Weekly Tracker'!$O$2:$O$766&lt;&gt;""),'Weekly Tracker'!$O$2:$O$766),"")</f>
        <v/>
      </c>
    </row>
    <row r="504">
      <c r="A504" s="9" t="inlineStr">
        <is>
          <t>Prakash Boss FB</t>
        </is>
      </c>
      <c r="B504" s="9" t="inlineStr">
        <is>
          <t>7418857554</t>
        </is>
      </c>
      <c r="C504" s="9" t="n"/>
      <c r="D504" s="9" t="n"/>
      <c r="E504" s="9" t="n"/>
      <c r="F504" s="9">
        <f>IFERROR(LOOKUP(2,1/('Weekly Tracker'!$E$2:$E$766=$A504)/('Weekly Tracker'!$F$2:$F$766&lt;&gt;""),'Weekly Tracker'!$F$2:$F$766),"")</f>
        <v/>
      </c>
      <c r="G504" s="16">
        <f>IF(F504&lt;&gt;"",LOOKUP(2,1/('Weekly Tracker'!$E$2:$E$766=$A504)/('Weekly Tracker'!$F$2:$F$766&lt;&gt;""),'Weekly Tracker'!$G$2:$G$766),"")</f>
        <v/>
      </c>
      <c r="H504" s="9">
        <f>IFERROR(LOOKUP(2,1/('Weekly Tracker'!$E$2:$E$766=$A504)/('Weekly Tracker'!$H$2:$H$766&lt;&gt;""),'Weekly Tracker'!$H$2:$H$766),"")</f>
        <v/>
      </c>
      <c r="I504" s="16">
        <f>IF(H504&lt;&gt;"",LOOKUP(2,1/('Weekly Tracker'!$E$2:$E$766=$A504)/('Weekly Tracker'!$H$2:$H$766&lt;&gt;""),'Weekly Tracker'!$I$2:$I$766),"")</f>
        <v/>
      </c>
      <c r="J504" s="9">
        <f>IFERROR(LOOKUP(2,1/('Weekly Tracker'!$E$2:$E$766=$A504)/('Weekly Tracker'!$J$2:$J$766&lt;&gt;""),'Weekly Tracker'!$J$2:$J$766),"")</f>
        <v/>
      </c>
      <c r="K504" s="9">
        <f>IFERROR(LOOKUP(2,1/('Weekly Tracker'!$E$2:$E$766=$A504)/('Weekly Tracker'!$N$2:$N$766&lt;&gt;""),'Weekly Tracker'!$N$2:$N$766),"")</f>
        <v/>
      </c>
      <c r="L504" s="9">
        <f>IFERROR(LOOKUP(2,1/('Weekly Tracker'!$E$2:$E$766=$A504)/('Weekly Tracker'!$O$2:$O$766&lt;&gt;""),'Weekly Tracker'!$O$2:$O$766),"")</f>
        <v/>
      </c>
    </row>
    <row r="505">
      <c r="A505" s="9" t="inlineStr">
        <is>
          <t>Adithya Pk Junior</t>
        </is>
      </c>
      <c r="B505" s="9" t="inlineStr">
        <is>
          <t>917904892123</t>
        </is>
      </c>
      <c r="C505" s="9" t="n"/>
      <c r="D505" s="9" t="n"/>
      <c r="E505" s="9" t="n"/>
      <c r="F505" s="9">
        <f>IFERROR(LOOKUP(2,1/('Weekly Tracker'!$E$2:$E$766=$A505)/('Weekly Tracker'!$F$2:$F$766&lt;&gt;""),'Weekly Tracker'!$F$2:$F$766),"")</f>
        <v/>
      </c>
      <c r="G505" s="16">
        <f>IF(F505&lt;&gt;"",LOOKUP(2,1/('Weekly Tracker'!$E$2:$E$766=$A505)/('Weekly Tracker'!$F$2:$F$766&lt;&gt;""),'Weekly Tracker'!$G$2:$G$766),"")</f>
        <v/>
      </c>
      <c r="H505" s="9">
        <f>IFERROR(LOOKUP(2,1/('Weekly Tracker'!$E$2:$E$766=$A505)/('Weekly Tracker'!$H$2:$H$766&lt;&gt;""),'Weekly Tracker'!$H$2:$H$766),"")</f>
        <v/>
      </c>
      <c r="I505" s="16">
        <f>IF(H505&lt;&gt;"",LOOKUP(2,1/('Weekly Tracker'!$E$2:$E$766=$A505)/('Weekly Tracker'!$H$2:$H$766&lt;&gt;""),'Weekly Tracker'!$I$2:$I$766),"")</f>
        <v/>
      </c>
      <c r="J505" s="9">
        <f>IFERROR(LOOKUP(2,1/('Weekly Tracker'!$E$2:$E$766=$A505)/('Weekly Tracker'!$J$2:$J$766&lt;&gt;""),'Weekly Tracker'!$J$2:$J$766),"")</f>
        <v/>
      </c>
      <c r="K505" s="9">
        <f>IFERROR(LOOKUP(2,1/('Weekly Tracker'!$E$2:$E$766=$A505)/('Weekly Tracker'!$N$2:$N$766&lt;&gt;""),'Weekly Tracker'!$N$2:$N$766),"")</f>
        <v/>
      </c>
      <c r="L505" s="9">
        <f>IFERROR(LOOKUP(2,1/('Weekly Tracker'!$E$2:$E$766=$A505)/('Weekly Tracker'!$O$2:$O$766&lt;&gt;""),'Weekly Tracker'!$O$2:$O$766),"")</f>
        <v/>
      </c>
    </row>
    <row r="506">
      <c r="A506" s="9" t="inlineStr">
        <is>
          <t>Pallavi Kataria</t>
        </is>
      </c>
      <c r="B506" s="9" t="inlineStr">
        <is>
          <t>919892498291</t>
        </is>
      </c>
      <c r="C506" s="9" t="n"/>
      <c r="D506" s="9" t="n"/>
      <c r="E506" s="9" t="n"/>
      <c r="F506" s="9">
        <f>IFERROR(LOOKUP(2,1/('Weekly Tracker'!$E$2:$E$766=$A506)/('Weekly Tracker'!$F$2:$F$766&lt;&gt;""),'Weekly Tracker'!$F$2:$F$766),"")</f>
        <v/>
      </c>
      <c r="G506" s="16">
        <f>IF(F506&lt;&gt;"",LOOKUP(2,1/('Weekly Tracker'!$E$2:$E$766=$A506)/('Weekly Tracker'!$F$2:$F$766&lt;&gt;""),'Weekly Tracker'!$G$2:$G$766),"")</f>
        <v/>
      </c>
      <c r="H506" s="9">
        <f>IFERROR(LOOKUP(2,1/('Weekly Tracker'!$E$2:$E$766=$A506)/('Weekly Tracker'!$H$2:$H$766&lt;&gt;""),'Weekly Tracker'!$H$2:$H$766),"")</f>
        <v/>
      </c>
      <c r="I506" s="16">
        <f>IF(H506&lt;&gt;"",LOOKUP(2,1/('Weekly Tracker'!$E$2:$E$766=$A506)/('Weekly Tracker'!$H$2:$H$766&lt;&gt;""),'Weekly Tracker'!$I$2:$I$766),"")</f>
        <v/>
      </c>
      <c r="J506" s="9">
        <f>IFERROR(LOOKUP(2,1/('Weekly Tracker'!$E$2:$E$766=$A506)/('Weekly Tracker'!$J$2:$J$766&lt;&gt;""),'Weekly Tracker'!$J$2:$J$766),"")</f>
        <v/>
      </c>
      <c r="K506" s="9">
        <f>IFERROR(LOOKUP(2,1/('Weekly Tracker'!$E$2:$E$766=$A506)/('Weekly Tracker'!$N$2:$N$766&lt;&gt;""),'Weekly Tracker'!$N$2:$N$766),"")</f>
        <v/>
      </c>
      <c r="L506" s="9">
        <f>IFERROR(LOOKUP(2,1/('Weekly Tracker'!$E$2:$E$766=$A506)/('Weekly Tracker'!$O$2:$O$766&lt;&gt;""),'Weekly Tracker'!$O$2:$O$766),"")</f>
        <v/>
      </c>
    </row>
    <row r="507">
      <c r="A507" s="9" t="inlineStr">
        <is>
          <t>MariKani Scl</t>
        </is>
      </c>
      <c r="B507" s="9" t="inlineStr">
        <is>
          <t>7795989578</t>
        </is>
      </c>
      <c r="C507" s="9" t="n"/>
      <c r="D507" s="9" t="n"/>
      <c r="E507" s="9" t="n"/>
      <c r="F507" s="9">
        <f>IFERROR(LOOKUP(2,1/('Weekly Tracker'!$E$2:$E$766=$A507)/('Weekly Tracker'!$F$2:$F$766&lt;&gt;""),'Weekly Tracker'!$F$2:$F$766),"")</f>
        <v/>
      </c>
      <c r="G507" s="16">
        <f>IF(F507&lt;&gt;"",LOOKUP(2,1/('Weekly Tracker'!$E$2:$E$766=$A507)/('Weekly Tracker'!$F$2:$F$766&lt;&gt;""),'Weekly Tracker'!$G$2:$G$766),"")</f>
        <v/>
      </c>
      <c r="H507" s="9">
        <f>IFERROR(LOOKUP(2,1/('Weekly Tracker'!$E$2:$E$766=$A507)/('Weekly Tracker'!$H$2:$H$766&lt;&gt;""),'Weekly Tracker'!$H$2:$H$766),"")</f>
        <v/>
      </c>
      <c r="I507" s="16">
        <f>IF(H507&lt;&gt;"",LOOKUP(2,1/('Weekly Tracker'!$E$2:$E$766=$A507)/('Weekly Tracker'!$H$2:$H$766&lt;&gt;""),'Weekly Tracker'!$I$2:$I$766),"")</f>
        <v/>
      </c>
      <c r="J507" s="9">
        <f>IFERROR(LOOKUP(2,1/('Weekly Tracker'!$E$2:$E$766=$A507)/('Weekly Tracker'!$J$2:$J$766&lt;&gt;""),'Weekly Tracker'!$J$2:$J$766),"")</f>
        <v/>
      </c>
      <c r="K507" s="9">
        <f>IFERROR(LOOKUP(2,1/('Weekly Tracker'!$E$2:$E$766=$A507)/('Weekly Tracker'!$N$2:$N$766&lt;&gt;""),'Weekly Tracker'!$N$2:$N$766),"")</f>
        <v/>
      </c>
      <c r="L507" s="9">
        <f>IFERROR(LOOKUP(2,1/('Weekly Tracker'!$E$2:$E$766=$A507)/('Weekly Tracker'!$O$2:$O$766&lt;&gt;""),'Weekly Tracker'!$O$2:$O$766),"")</f>
        <v/>
      </c>
    </row>
    <row r="508">
      <c r="A508" s="9" t="inlineStr">
        <is>
          <t>NanthaKumar yo</t>
        </is>
      </c>
      <c r="B508" s="9" t="inlineStr">
        <is>
          <t>919840135885</t>
        </is>
      </c>
      <c r="C508" s="9" t="n"/>
      <c r="D508" s="9" t="n"/>
      <c r="E508" s="9" t="n"/>
      <c r="F508" s="9">
        <f>IFERROR(LOOKUP(2,1/('Weekly Tracker'!$E$2:$E$766=$A508)/('Weekly Tracker'!$F$2:$F$766&lt;&gt;""),'Weekly Tracker'!$F$2:$F$766),"")</f>
        <v/>
      </c>
      <c r="G508" s="16">
        <f>IF(F508&lt;&gt;"",LOOKUP(2,1/('Weekly Tracker'!$E$2:$E$766=$A508)/('Weekly Tracker'!$F$2:$F$766&lt;&gt;""),'Weekly Tracker'!$G$2:$G$766),"")</f>
        <v/>
      </c>
      <c r="H508" s="9">
        <f>IFERROR(LOOKUP(2,1/('Weekly Tracker'!$E$2:$E$766=$A508)/('Weekly Tracker'!$H$2:$H$766&lt;&gt;""),'Weekly Tracker'!$H$2:$H$766),"")</f>
        <v/>
      </c>
      <c r="I508" s="16">
        <f>IF(H508&lt;&gt;"",LOOKUP(2,1/('Weekly Tracker'!$E$2:$E$766=$A508)/('Weekly Tracker'!$H$2:$H$766&lt;&gt;""),'Weekly Tracker'!$I$2:$I$766),"")</f>
        <v/>
      </c>
      <c r="J508" s="9">
        <f>IFERROR(LOOKUP(2,1/('Weekly Tracker'!$E$2:$E$766=$A508)/('Weekly Tracker'!$J$2:$J$766&lt;&gt;""),'Weekly Tracker'!$J$2:$J$766),"")</f>
        <v/>
      </c>
      <c r="K508" s="9">
        <f>IFERROR(LOOKUP(2,1/('Weekly Tracker'!$E$2:$E$766=$A508)/('Weekly Tracker'!$N$2:$N$766&lt;&gt;""),'Weekly Tracker'!$N$2:$N$766),"")</f>
        <v/>
      </c>
      <c r="L508" s="9">
        <f>IFERROR(LOOKUP(2,1/('Weekly Tracker'!$E$2:$E$766=$A508)/('Weekly Tracker'!$O$2:$O$766&lt;&gt;""),'Weekly Tracker'!$O$2:$O$766),"")</f>
        <v/>
      </c>
    </row>
    <row r="509">
      <c r="A509" s="9" t="inlineStr">
        <is>
          <t>Sakthivel Junior Grp</t>
        </is>
      </c>
      <c r="B509" s="9" t="inlineStr">
        <is>
          <t>919751144337</t>
        </is>
      </c>
      <c r="C509" s="9" t="n"/>
      <c r="D509" s="9" t="n"/>
      <c r="E509" s="9" t="n"/>
      <c r="F509" s="9">
        <f>IFERROR(LOOKUP(2,1/('Weekly Tracker'!$E$2:$E$766=$A509)/('Weekly Tracker'!$F$2:$F$766&lt;&gt;""),'Weekly Tracker'!$F$2:$F$766),"")</f>
        <v/>
      </c>
      <c r="G509" s="16">
        <f>IF(F509&lt;&gt;"",LOOKUP(2,1/('Weekly Tracker'!$E$2:$E$766=$A509)/('Weekly Tracker'!$F$2:$F$766&lt;&gt;""),'Weekly Tracker'!$G$2:$G$766),"")</f>
        <v/>
      </c>
      <c r="H509" s="9">
        <f>IFERROR(LOOKUP(2,1/('Weekly Tracker'!$E$2:$E$766=$A509)/('Weekly Tracker'!$H$2:$H$766&lt;&gt;""),'Weekly Tracker'!$H$2:$H$766),"")</f>
        <v/>
      </c>
      <c r="I509" s="16">
        <f>IF(H509&lt;&gt;"",LOOKUP(2,1/('Weekly Tracker'!$E$2:$E$766=$A509)/('Weekly Tracker'!$H$2:$H$766&lt;&gt;""),'Weekly Tracker'!$I$2:$I$766),"")</f>
        <v/>
      </c>
      <c r="J509" s="9">
        <f>IFERROR(LOOKUP(2,1/('Weekly Tracker'!$E$2:$E$766=$A509)/('Weekly Tracker'!$J$2:$J$766&lt;&gt;""),'Weekly Tracker'!$J$2:$J$766),"")</f>
        <v/>
      </c>
      <c r="K509" s="9">
        <f>IFERROR(LOOKUP(2,1/('Weekly Tracker'!$E$2:$E$766=$A509)/('Weekly Tracker'!$N$2:$N$766&lt;&gt;""),'Weekly Tracker'!$N$2:$N$766),"")</f>
        <v/>
      </c>
      <c r="L509" s="9">
        <f>IFERROR(LOOKUP(2,1/('Weekly Tracker'!$E$2:$E$766=$A509)/('Weekly Tracker'!$O$2:$O$766&lt;&gt;""),'Weekly Tracker'!$O$2:$O$766),"")</f>
        <v/>
      </c>
    </row>
    <row r="510">
      <c r="A510" s="9" t="inlineStr">
        <is>
          <t>Vasu Devan Scl</t>
        </is>
      </c>
      <c r="B510" s="9" t="inlineStr">
        <is>
          <t>919344227013, 8526209983</t>
        </is>
      </c>
      <c r="C510" s="9" t="n"/>
      <c r="D510" s="9" t="n"/>
      <c r="E510" s="9" t="n"/>
      <c r="F510" s="9">
        <f>IFERROR(LOOKUP(2,1/('Weekly Tracker'!$E$2:$E$766=$A510)/('Weekly Tracker'!$F$2:$F$766&lt;&gt;""),'Weekly Tracker'!$F$2:$F$766),"")</f>
        <v/>
      </c>
      <c r="G510" s="16">
        <f>IF(F510&lt;&gt;"",LOOKUP(2,1/('Weekly Tracker'!$E$2:$E$766=$A510)/('Weekly Tracker'!$F$2:$F$766&lt;&gt;""),'Weekly Tracker'!$G$2:$G$766),"")</f>
        <v/>
      </c>
      <c r="H510" s="9">
        <f>IFERROR(LOOKUP(2,1/('Weekly Tracker'!$E$2:$E$766=$A510)/('Weekly Tracker'!$H$2:$H$766&lt;&gt;""),'Weekly Tracker'!$H$2:$H$766),"")</f>
        <v/>
      </c>
      <c r="I510" s="16">
        <f>IF(H510&lt;&gt;"",LOOKUP(2,1/('Weekly Tracker'!$E$2:$E$766=$A510)/('Weekly Tracker'!$H$2:$H$766&lt;&gt;""),'Weekly Tracker'!$I$2:$I$766),"")</f>
        <v/>
      </c>
      <c r="J510" s="9">
        <f>IFERROR(LOOKUP(2,1/('Weekly Tracker'!$E$2:$E$766=$A510)/('Weekly Tracker'!$J$2:$J$766&lt;&gt;""),'Weekly Tracker'!$J$2:$J$766),"")</f>
        <v/>
      </c>
      <c r="K510" s="9">
        <f>IFERROR(LOOKUP(2,1/('Weekly Tracker'!$E$2:$E$766=$A510)/('Weekly Tracker'!$N$2:$N$766&lt;&gt;""),'Weekly Tracker'!$N$2:$N$766),"")</f>
        <v/>
      </c>
      <c r="L510" s="9">
        <f>IFERROR(LOOKUP(2,1/('Weekly Tracker'!$E$2:$E$766=$A510)/('Weekly Tracker'!$O$2:$O$766&lt;&gt;""),'Weekly Tracker'!$O$2:$O$766),"")</f>
        <v/>
      </c>
    </row>
    <row r="511">
      <c r="A511" s="9" t="inlineStr">
        <is>
          <t>Athiban FB</t>
        </is>
      </c>
      <c r="B511" s="9" t="inlineStr">
        <is>
          <t>918248349679, 918098468839</t>
        </is>
      </c>
      <c r="C511" s="9" t="n"/>
      <c r="D511" s="9" t="n"/>
      <c r="E511" s="9" t="n"/>
      <c r="F511" s="9">
        <f>IFERROR(LOOKUP(2,1/('Weekly Tracker'!$E$2:$E$766=$A511)/('Weekly Tracker'!$F$2:$F$766&lt;&gt;""),'Weekly Tracker'!$F$2:$F$766),"")</f>
        <v/>
      </c>
      <c r="G511" s="16">
        <f>IF(F511&lt;&gt;"",LOOKUP(2,1/('Weekly Tracker'!$E$2:$E$766=$A511)/('Weekly Tracker'!$F$2:$F$766&lt;&gt;""),'Weekly Tracker'!$G$2:$G$766),"")</f>
        <v/>
      </c>
      <c r="H511" s="9">
        <f>IFERROR(LOOKUP(2,1/('Weekly Tracker'!$E$2:$E$766=$A511)/('Weekly Tracker'!$H$2:$H$766&lt;&gt;""),'Weekly Tracker'!$H$2:$H$766),"")</f>
        <v/>
      </c>
      <c r="I511" s="16">
        <f>IF(H511&lt;&gt;"",LOOKUP(2,1/('Weekly Tracker'!$E$2:$E$766=$A511)/('Weekly Tracker'!$H$2:$H$766&lt;&gt;""),'Weekly Tracker'!$I$2:$I$766),"")</f>
        <v/>
      </c>
      <c r="J511" s="9">
        <f>IFERROR(LOOKUP(2,1/('Weekly Tracker'!$E$2:$E$766=$A511)/('Weekly Tracker'!$J$2:$J$766&lt;&gt;""),'Weekly Tracker'!$J$2:$J$766),"")</f>
        <v/>
      </c>
      <c r="K511" s="9">
        <f>IFERROR(LOOKUP(2,1/('Weekly Tracker'!$E$2:$E$766=$A511)/('Weekly Tracker'!$N$2:$N$766&lt;&gt;""),'Weekly Tracker'!$N$2:$N$766),"")</f>
        <v/>
      </c>
      <c r="L511" s="9">
        <f>IFERROR(LOOKUP(2,1/('Weekly Tracker'!$E$2:$E$766=$A511)/('Weekly Tracker'!$O$2:$O$766&lt;&gt;""),'Weekly Tracker'!$O$2:$O$766),"")</f>
        <v/>
      </c>
    </row>
    <row r="512">
      <c r="A512" s="9" t="inlineStr">
        <is>
          <t>Ramkumar Raja IT Forum</t>
        </is>
      </c>
      <c r="B512" s="9" t="inlineStr">
        <is>
          <t>919940033220</t>
        </is>
      </c>
      <c r="C512" s="9" t="n"/>
      <c r="D512" s="9" t="n"/>
      <c r="E512" s="9" t="n"/>
      <c r="F512" s="9">
        <f>IFERROR(LOOKUP(2,1/('Weekly Tracker'!$E$2:$E$766=$A512)/('Weekly Tracker'!$F$2:$F$766&lt;&gt;""),'Weekly Tracker'!$F$2:$F$766),"")</f>
        <v/>
      </c>
      <c r="G512" s="16">
        <f>IF(F512&lt;&gt;"",LOOKUP(2,1/('Weekly Tracker'!$E$2:$E$766=$A512)/('Weekly Tracker'!$F$2:$F$766&lt;&gt;""),'Weekly Tracker'!$G$2:$G$766),"")</f>
        <v/>
      </c>
      <c r="H512" s="9">
        <f>IFERROR(LOOKUP(2,1/('Weekly Tracker'!$E$2:$E$766=$A512)/('Weekly Tracker'!$H$2:$H$766&lt;&gt;""),'Weekly Tracker'!$H$2:$H$766),"")</f>
        <v/>
      </c>
      <c r="I512" s="16">
        <f>IF(H512&lt;&gt;"",LOOKUP(2,1/('Weekly Tracker'!$E$2:$E$766=$A512)/('Weekly Tracker'!$H$2:$H$766&lt;&gt;""),'Weekly Tracker'!$I$2:$I$766),"")</f>
        <v/>
      </c>
      <c r="J512" s="9">
        <f>IFERROR(LOOKUP(2,1/('Weekly Tracker'!$E$2:$E$766=$A512)/('Weekly Tracker'!$J$2:$J$766&lt;&gt;""),'Weekly Tracker'!$J$2:$J$766),"")</f>
        <v/>
      </c>
      <c r="K512" s="9">
        <f>IFERROR(LOOKUP(2,1/('Weekly Tracker'!$E$2:$E$766=$A512)/('Weekly Tracker'!$N$2:$N$766&lt;&gt;""),'Weekly Tracker'!$N$2:$N$766),"")</f>
        <v/>
      </c>
      <c r="L512" s="9">
        <f>IFERROR(LOOKUP(2,1/('Weekly Tracker'!$E$2:$E$766=$A512)/('Weekly Tracker'!$O$2:$O$766&lt;&gt;""),'Weekly Tracker'!$O$2:$O$766),"")</f>
        <v/>
      </c>
    </row>
    <row r="513">
      <c r="A513" s="9" t="inlineStr">
        <is>
          <t>Karthick RPK Scl</t>
        </is>
      </c>
      <c r="B513" s="9" t="inlineStr">
        <is>
          <t>919965158842</t>
        </is>
      </c>
      <c r="C513" s="9" t="n"/>
      <c r="D513" s="9" t="n"/>
      <c r="E513" s="9" t="n"/>
      <c r="F513" s="9">
        <f>IFERROR(LOOKUP(2,1/('Weekly Tracker'!$E$2:$E$766=$A513)/('Weekly Tracker'!$F$2:$F$766&lt;&gt;""),'Weekly Tracker'!$F$2:$F$766),"")</f>
        <v/>
      </c>
      <c r="G513" s="16">
        <f>IF(F513&lt;&gt;"",LOOKUP(2,1/('Weekly Tracker'!$E$2:$E$766=$A513)/('Weekly Tracker'!$F$2:$F$766&lt;&gt;""),'Weekly Tracker'!$G$2:$G$766),"")</f>
        <v/>
      </c>
      <c r="H513" s="9">
        <f>IFERROR(LOOKUP(2,1/('Weekly Tracker'!$E$2:$E$766=$A513)/('Weekly Tracker'!$H$2:$H$766&lt;&gt;""),'Weekly Tracker'!$H$2:$H$766),"")</f>
        <v/>
      </c>
      <c r="I513" s="16">
        <f>IF(H513&lt;&gt;"",LOOKUP(2,1/('Weekly Tracker'!$E$2:$E$766=$A513)/('Weekly Tracker'!$H$2:$H$766&lt;&gt;""),'Weekly Tracker'!$I$2:$I$766),"")</f>
        <v/>
      </c>
      <c r="J513" s="9">
        <f>IFERROR(LOOKUP(2,1/('Weekly Tracker'!$E$2:$E$766=$A513)/('Weekly Tracker'!$J$2:$J$766&lt;&gt;""),'Weekly Tracker'!$J$2:$J$766),"")</f>
        <v/>
      </c>
      <c r="K513" s="9">
        <f>IFERROR(LOOKUP(2,1/('Weekly Tracker'!$E$2:$E$766=$A513)/('Weekly Tracker'!$N$2:$N$766&lt;&gt;""),'Weekly Tracker'!$N$2:$N$766),"")</f>
        <v/>
      </c>
      <c r="L513" s="9">
        <f>IFERROR(LOOKUP(2,1/('Weekly Tracker'!$E$2:$E$766=$A513)/('Weekly Tracker'!$O$2:$O$766&lt;&gt;""),'Weekly Tracker'!$O$2:$O$766),"")</f>
        <v/>
      </c>
    </row>
    <row r="514">
      <c r="A514" s="9" t="inlineStr">
        <is>
          <t>Chelladurai Muthupandi FB</t>
        </is>
      </c>
      <c r="B514" s="9" t="inlineStr">
        <is>
          <t>9843009050</t>
        </is>
      </c>
      <c r="C514" s="9" t="n"/>
      <c r="D514" s="9" t="n"/>
      <c r="E514" s="9" t="n"/>
      <c r="F514" s="9">
        <f>IFERROR(LOOKUP(2,1/('Weekly Tracker'!$E$2:$E$766=$A514)/('Weekly Tracker'!$F$2:$F$766&lt;&gt;""),'Weekly Tracker'!$F$2:$F$766),"")</f>
        <v/>
      </c>
      <c r="G514" s="16">
        <f>IF(F514&lt;&gt;"",LOOKUP(2,1/('Weekly Tracker'!$E$2:$E$766=$A514)/('Weekly Tracker'!$F$2:$F$766&lt;&gt;""),'Weekly Tracker'!$G$2:$G$766),"")</f>
        <v/>
      </c>
      <c r="H514" s="9">
        <f>IFERROR(LOOKUP(2,1/('Weekly Tracker'!$E$2:$E$766=$A514)/('Weekly Tracker'!$H$2:$H$766&lt;&gt;""),'Weekly Tracker'!$H$2:$H$766),"")</f>
        <v/>
      </c>
      <c r="I514" s="16">
        <f>IF(H514&lt;&gt;"",LOOKUP(2,1/('Weekly Tracker'!$E$2:$E$766=$A514)/('Weekly Tracker'!$H$2:$H$766&lt;&gt;""),'Weekly Tracker'!$I$2:$I$766),"")</f>
        <v/>
      </c>
      <c r="J514" s="9">
        <f>IFERROR(LOOKUP(2,1/('Weekly Tracker'!$E$2:$E$766=$A514)/('Weekly Tracker'!$J$2:$J$766&lt;&gt;""),'Weekly Tracker'!$J$2:$J$766),"")</f>
        <v/>
      </c>
      <c r="K514" s="9">
        <f>IFERROR(LOOKUP(2,1/('Weekly Tracker'!$E$2:$E$766=$A514)/('Weekly Tracker'!$N$2:$N$766&lt;&gt;""),'Weekly Tracker'!$N$2:$N$766),"")</f>
        <v/>
      </c>
      <c r="L514" s="9">
        <f>IFERROR(LOOKUP(2,1/('Weekly Tracker'!$E$2:$E$766=$A514)/('Weekly Tracker'!$O$2:$O$766&lt;&gt;""),'Weekly Tracker'!$O$2:$O$766),"")</f>
        <v/>
      </c>
    </row>
    <row r="515">
      <c r="A515" s="9" t="inlineStr">
        <is>
          <t>Arun Behindhoods</t>
        </is>
      </c>
      <c r="B515" s="9" t="inlineStr">
        <is>
          <t>6382-011589</t>
        </is>
      </c>
      <c r="C515" s="9" t="n"/>
      <c r="D515" s="9" t="n"/>
      <c r="E515" s="9" t="n"/>
      <c r="F515" s="9">
        <f>IFERROR(LOOKUP(2,1/('Weekly Tracker'!$E$2:$E$766=$A515)/('Weekly Tracker'!$F$2:$F$766&lt;&gt;""),'Weekly Tracker'!$F$2:$F$766),"")</f>
        <v/>
      </c>
      <c r="G515" s="16">
        <f>IF(F515&lt;&gt;"",LOOKUP(2,1/('Weekly Tracker'!$E$2:$E$766=$A515)/('Weekly Tracker'!$F$2:$F$766&lt;&gt;""),'Weekly Tracker'!$G$2:$G$766),"")</f>
        <v/>
      </c>
      <c r="H515" s="9">
        <f>IFERROR(LOOKUP(2,1/('Weekly Tracker'!$E$2:$E$766=$A515)/('Weekly Tracker'!$H$2:$H$766&lt;&gt;""),'Weekly Tracker'!$H$2:$H$766),"")</f>
        <v/>
      </c>
      <c r="I515" s="16">
        <f>IF(H515&lt;&gt;"",LOOKUP(2,1/('Weekly Tracker'!$E$2:$E$766=$A515)/('Weekly Tracker'!$H$2:$H$766&lt;&gt;""),'Weekly Tracker'!$I$2:$I$766),"")</f>
        <v/>
      </c>
      <c r="J515" s="9">
        <f>IFERROR(LOOKUP(2,1/('Weekly Tracker'!$E$2:$E$766=$A515)/('Weekly Tracker'!$J$2:$J$766&lt;&gt;""),'Weekly Tracker'!$J$2:$J$766),"")</f>
        <v/>
      </c>
      <c r="K515" s="9">
        <f>IFERROR(LOOKUP(2,1/('Weekly Tracker'!$E$2:$E$766=$A515)/('Weekly Tracker'!$N$2:$N$766&lt;&gt;""),'Weekly Tracker'!$N$2:$N$766),"")</f>
        <v/>
      </c>
      <c r="L515" s="9">
        <f>IFERROR(LOOKUP(2,1/('Weekly Tracker'!$E$2:$E$766=$A515)/('Weekly Tracker'!$O$2:$O$766&lt;&gt;""),'Weekly Tracker'!$O$2:$O$766),"")</f>
        <v/>
      </c>
    </row>
    <row r="516">
      <c r="A516" s="9" t="inlineStr">
        <is>
          <t>Bheema Kavi FB</t>
        </is>
      </c>
      <c r="B516" s="9" t="inlineStr">
        <is>
          <t>+91 99763 19864</t>
        </is>
      </c>
      <c r="C516" s="9" t="n"/>
      <c r="D516" s="9" t="n"/>
      <c r="E516" s="9" t="n"/>
      <c r="F516" s="9">
        <f>IFERROR(LOOKUP(2,1/('Weekly Tracker'!$E$2:$E$766=$A516)/('Weekly Tracker'!$F$2:$F$766&lt;&gt;""),'Weekly Tracker'!$F$2:$F$766),"")</f>
        <v/>
      </c>
      <c r="G516" s="16">
        <f>IF(F516&lt;&gt;"",LOOKUP(2,1/('Weekly Tracker'!$E$2:$E$766=$A516)/('Weekly Tracker'!$F$2:$F$766&lt;&gt;""),'Weekly Tracker'!$G$2:$G$766),"")</f>
        <v/>
      </c>
      <c r="H516" s="9">
        <f>IFERROR(LOOKUP(2,1/('Weekly Tracker'!$E$2:$E$766=$A516)/('Weekly Tracker'!$H$2:$H$766&lt;&gt;""),'Weekly Tracker'!$H$2:$H$766),"")</f>
        <v/>
      </c>
      <c r="I516" s="16">
        <f>IF(H516&lt;&gt;"",LOOKUP(2,1/('Weekly Tracker'!$E$2:$E$766=$A516)/('Weekly Tracker'!$H$2:$H$766&lt;&gt;""),'Weekly Tracker'!$I$2:$I$766),"")</f>
        <v/>
      </c>
      <c r="J516" s="9">
        <f>IFERROR(LOOKUP(2,1/('Weekly Tracker'!$E$2:$E$766=$A516)/('Weekly Tracker'!$J$2:$J$766&lt;&gt;""),'Weekly Tracker'!$J$2:$J$766),"")</f>
        <v/>
      </c>
      <c r="K516" s="9">
        <f>IFERROR(LOOKUP(2,1/('Weekly Tracker'!$E$2:$E$766=$A516)/('Weekly Tracker'!$N$2:$N$766&lt;&gt;""),'Weekly Tracker'!$N$2:$N$766),"")</f>
        <v/>
      </c>
      <c r="L516" s="9">
        <f>IFERROR(LOOKUP(2,1/('Weekly Tracker'!$E$2:$E$766=$A516)/('Weekly Tracker'!$O$2:$O$766&lt;&gt;""),'Weekly Tracker'!$O$2:$O$766),"")</f>
        <v/>
      </c>
    </row>
    <row r="517">
      <c r="A517" s="9" t="inlineStr">
        <is>
          <t>Surrendar Ucen Grp</t>
        </is>
      </c>
      <c r="B517" s="9" t="inlineStr">
        <is>
          <t>917502535555</t>
        </is>
      </c>
      <c r="C517" s="9" t="n"/>
      <c r="D517" s="9" t="n"/>
      <c r="E517" s="9" t="n"/>
      <c r="F517" s="9">
        <f>IFERROR(LOOKUP(2,1/('Weekly Tracker'!$E$2:$E$766=$A517)/('Weekly Tracker'!$F$2:$F$766&lt;&gt;""),'Weekly Tracker'!$F$2:$F$766),"")</f>
        <v/>
      </c>
      <c r="G517" s="16">
        <f>IF(F517&lt;&gt;"",LOOKUP(2,1/('Weekly Tracker'!$E$2:$E$766=$A517)/('Weekly Tracker'!$F$2:$F$766&lt;&gt;""),'Weekly Tracker'!$G$2:$G$766),"")</f>
        <v/>
      </c>
      <c r="H517" s="9">
        <f>IFERROR(LOOKUP(2,1/('Weekly Tracker'!$E$2:$E$766=$A517)/('Weekly Tracker'!$H$2:$H$766&lt;&gt;""),'Weekly Tracker'!$H$2:$H$766),"")</f>
        <v/>
      </c>
      <c r="I517" s="16">
        <f>IF(H517&lt;&gt;"",LOOKUP(2,1/('Weekly Tracker'!$E$2:$E$766=$A517)/('Weekly Tracker'!$H$2:$H$766&lt;&gt;""),'Weekly Tracker'!$I$2:$I$766),"")</f>
        <v/>
      </c>
      <c r="J517" s="9">
        <f>IFERROR(LOOKUP(2,1/('Weekly Tracker'!$E$2:$E$766=$A517)/('Weekly Tracker'!$J$2:$J$766&lt;&gt;""),'Weekly Tracker'!$J$2:$J$766),"")</f>
        <v/>
      </c>
      <c r="K517" s="9">
        <f>IFERROR(LOOKUP(2,1/('Weekly Tracker'!$E$2:$E$766=$A517)/('Weekly Tracker'!$N$2:$N$766&lt;&gt;""),'Weekly Tracker'!$N$2:$N$766),"")</f>
        <v/>
      </c>
      <c r="L517" s="9">
        <f>IFERROR(LOOKUP(2,1/('Weekly Tracker'!$E$2:$E$766=$A517)/('Weekly Tracker'!$O$2:$O$766&lt;&gt;""),'Weekly Tracker'!$O$2:$O$766),"")</f>
        <v/>
      </c>
    </row>
    <row r="518">
      <c r="A518" s="9" t="inlineStr">
        <is>
          <t>Lal Lal Scl</t>
        </is>
      </c>
      <c r="B518" s="9" t="inlineStr">
        <is>
          <t>917373502700</t>
        </is>
      </c>
      <c r="C518" s="9" t="n"/>
      <c r="D518" s="9" t="n"/>
      <c r="E518" s="9" t="n"/>
      <c r="F518" s="9">
        <f>IFERROR(LOOKUP(2,1/('Weekly Tracker'!$E$2:$E$766=$A518)/('Weekly Tracker'!$F$2:$F$766&lt;&gt;""),'Weekly Tracker'!$F$2:$F$766),"")</f>
        <v/>
      </c>
      <c r="G518" s="16">
        <f>IF(F518&lt;&gt;"",LOOKUP(2,1/('Weekly Tracker'!$E$2:$E$766=$A518)/('Weekly Tracker'!$F$2:$F$766&lt;&gt;""),'Weekly Tracker'!$G$2:$G$766),"")</f>
        <v/>
      </c>
      <c r="H518" s="9">
        <f>IFERROR(LOOKUP(2,1/('Weekly Tracker'!$E$2:$E$766=$A518)/('Weekly Tracker'!$H$2:$H$766&lt;&gt;""),'Weekly Tracker'!$H$2:$H$766),"")</f>
        <v/>
      </c>
      <c r="I518" s="16">
        <f>IF(H518&lt;&gt;"",LOOKUP(2,1/('Weekly Tracker'!$E$2:$E$766=$A518)/('Weekly Tracker'!$H$2:$H$766&lt;&gt;""),'Weekly Tracker'!$I$2:$I$766),"")</f>
        <v/>
      </c>
      <c r="J518" s="9">
        <f>IFERROR(LOOKUP(2,1/('Weekly Tracker'!$E$2:$E$766=$A518)/('Weekly Tracker'!$J$2:$J$766&lt;&gt;""),'Weekly Tracker'!$J$2:$J$766),"")</f>
        <v/>
      </c>
      <c r="K518" s="9">
        <f>IFERROR(LOOKUP(2,1/('Weekly Tracker'!$E$2:$E$766=$A518)/('Weekly Tracker'!$N$2:$N$766&lt;&gt;""),'Weekly Tracker'!$N$2:$N$766),"")</f>
        <v/>
      </c>
      <c r="L518" s="9">
        <f>IFERROR(LOOKUP(2,1/('Weekly Tracker'!$E$2:$E$766=$A518)/('Weekly Tracker'!$O$2:$O$766&lt;&gt;""),'Weekly Tracker'!$O$2:$O$766),"")</f>
        <v/>
      </c>
    </row>
    <row r="519">
      <c r="A519" s="9" t="inlineStr">
        <is>
          <t>Fyzel Cab</t>
        </is>
      </c>
      <c r="B519" s="9" t="inlineStr">
        <is>
          <t>9600042228</t>
        </is>
      </c>
      <c r="C519" s="9" t="n"/>
      <c r="D519" s="9" t="n"/>
      <c r="E519" s="9" t="n"/>
      <c r="F519" s="9">
        <f>IFERROR(LOOKUP(2,1/('Weekly Tracker'!$E$2:$E$766=$A519)/('Weekly Tracker'!$F$2:$F$766&lt;&gt;""),'Weekly Tracker'!$F$2:$F$766),"")</f>
        <v/>
      </c>
      <c r="G519" s="16">
        <f>IF(F519&lt;&gt;"",LOOKUP(2,1/('Weekly Tracker'!$E$2:$E$766=$A519)/('Weekly Tracker'!$F$2:$F$766&lt;&gt;""),'Weekly Tracker'!$G$2:$G$766),"")</f>
        <v/>
      </c>
      <c r="H519" s="9">
        <f>IFERROR(LOOKUP(2,1/('Weekly Tracker'!$E$2:$E$766=$A519)/('Weekly Tracker'!$H$2:$H$766&lt;&gt;""),'Weekly Tracker'!$H$2:$H$766),"")</f>
        <v/>
      </c>
      <c r="I519" s="16">
        <f>IF(H519&lt;&gt;"",LOOKUP(2,1/('Weekly Tracker'!$E$2:$E$766=$A519)/('Weekly Tracker'!$H$2:$H$766&lt;&gt;""),'Weekly Tracker'!$I$2:$I$766),"")</f>
        <v/>
      </c>
      <c r="J519" s="9">
        <f>IFERROR(LOOKUP(2,1/('Weekly Tracker'!$E$2:$E$766=$A519)/('Weekly Tracker'!$J$2:$J$766&lt;&gt;""),'Weekly Tracker'!$J$2:$J$766),"")</f>
        <v/>
      </c>
      <c r="K519" s="9">
        <f>IFERROR(LOOKUP(2,1/('Weekly Tracker'!$E$2:$E$766=$A519)/('Weekly Tracker'!$N$2:$N$766&lt;&gt;""),'Weekly Tracker'!$N$2:$N$766),"")</f>
        <v/>
      </c>
      <c r="L519" s="9">
        <f>IFERROR(LOOKUP(2,1/('Weekly Tracker'!$E$2:$E$766=$A519)/('Weekly Tracker'!$O$2:$O$766&lt;&gt;""),'Weekly Tracker'!$O$2:$O$766),"")</f>
        <v/>
      </c>
    </row>
    <row r="520">
      <c r="A520" s="9" t="inlineStr">
        <is>
          <t>Kanagaraj Junior FB</t>
        </is>
      </c>
      <c r="B520" s="9" t="inlineStr">
        <is>
          <t>919750767149</t>
        </is>
      </c>
      <c r="C520" s="9" t="n"/>
      <c r="D520" s="9" t="n"/>
      <c r="E520" s="9" t="n"/>
      <c r="F520" s="9">
        <f>IFERROR(LOOKUP(2,1/('Weekly Tracker'!$E$2:$E$766=$A520)/('Weekly Tracker'!$F$2:$F$766&lt;&gt;""),'Weekly Tracker'!$F$2:$F$766),"")</f>
        <v/>
      </c>
      <c r="G520" s="16">
        <f>IF(F520&lt;&gt;"",LOOKUP(2,1/('Weekly Tracker'!$E$2:$E$766=$A520)/('Weekly Tracker'!$F$2:$F$766&lt;&gt;""),'Weekly Tracker'!$G$2:$G$766),"")</f>
        <v/>
      </c>
      <c r="H520" s="9">
        <f>IFERROR(LOOKUP(2,1/('Weekly Tracker'!$E$2:$E$766=$A520)/('Weekly Tracker'!$H$2:$H$766&lt;&gt;""),'Weekly Tracker'!$H$2:$H$766),"")</f>
        <v/>
      </c>
      <c r="I520" s="16">
        <f>IF(H520&lt;&gt;"",LOOKUP(2,1/('Weekly Tracker'!$E$2:$E$766=$A520)/('Weekly Tracker'!$H$2:$H$766&lt;&gt;""),'Weekly Tracker'!$I$2:$I$766),"")</f>
        <v/>
      </c>
      <c r="J520" s="9">
        <f>IFERROR(LOOKUP(2,1/('Weekly Tracker'!$E$2:$E$766=$A520)/('Weekly Tracker'!$J$2:$J$766&lt;&gt;""),'Weekly Tracker'!$J$2:$J$766),"")</f>
        <v/>
      </c>
      <c r="K520" s="9">
        <f>IFERROR(LOOKUP(2,1/('Weekly Tracker'!$E$2:$E$766=$A520)/('Weekly Tracker'!$N$2:$N$766&lt;&gt;""),'Weekly Tracker'!$N$2:$N$766),"")</f>
        <v/>
      </c>
      <c r="L520" s="9">
        <f>IFERROR(LOOKUP(2,1/('Weekly Tracker'!$E$2:$E$766=$A520)/('Weekly Tracker'!$O$2:$O$766&lt;&gt;""),'Weekly Tracker'!$O$2:$O$766),"")</f>
        <v/>
      </c>
    </row>
    <row r="521">
      <c r="A521" s="9" t="inlineStr">
        <is>
          <t>Manikandan Dissay Scl</t>
        </is>
      </c>
      <c r="B521" s="9" t="inlineStr">
        <is>
          <t>918124132689</t>
        </is>
      </c>
      <c r="C521" s="9" t="n"/>
      <c r="D521" s="9" t="n"/>
      <c r="E521" s="9" t="n"/>
      <c r="F521" s="9">
        <f>IFERROR(LOOKUP(2,1/('Weekly Tracker'!$E$2:$E$766=$A521)/('Weekly Tracker'!$F$2:$F$766&lt;&gt;""),'Weekly Tracker'!$F$2:$F$766),"")</f>
        <v/>
      </c>
      <c r="G521" s="16">
        <f>IF(F521&lt;&gt;"",LOOKUP(2,1/('Weekly Tracker'!$E$2:$E$766=$A521)/('Weekly Tracker'!$F$2:$F$766&lt;&gt;""),'Weekly Tracker'!$G$2:$G$766),"")</f>
        <v/>
      </c>
      <c r="H521" s="9">
        <f>IFERROR(LOOKUP(2,1/('Weekly Tracker'!$E$2:$E$766=$A521)/('Weekly Tracker'!$H$2:$H$766&lt;&gt;""),'Weekly Tracker'!$H$2:$H$766),"")</f>
        <v/>
      </c>
      <c r="I521" s="16">
        <f>IF(H521&lt;&gt;"",LOOKUP(2,1/('Weekly Tracker'!$E$2:$E$766=$A521)/('Weekly Tracker'!$H$2:$H$766&lt;&gt;""),'Weekly Tracker'!$I$2:$I$766),"")</f>
        <v/>
      </c>
      <c r="J521" s="9">
        <f>IFERROR(LOOKUP(2,1/('Weekly Tracker'!$E$2:$E$766=$A521)/('Weekly Tracker'!$J$2:$J$766&lt;&gt;""),'Weekly Tracker'!$J$2:$J$766),"")</f>
        <v/>
      </c>
      <c r="K521" s="9">
        <f>IFERROR(LOOKUP(2,1/('Weekly Tracker'!$E$2:$E$766=$A521)/('Weekly Tracker'!$N$2:$N$766&lt;&gt;""),'Weekly Tracker'!$N$2:$N$766),"")</f>
        <v/>
      </c>
      <c r="L521" s="9">
        <f>IFERROR(LOOKUP(2,1/('Weekly Tracker'!$E$2:$E$766=$A521)/('Weekly Tracker'!$O$2:$O$766&lt;&gt;""),'Weekly Tracker'!$O$2:$O$766),"")</f>
        <v/>
      </c>
    </row>
    <row r="522">
      <c r="A522" s="9" t="inlineStr">
        <is>
          <t>GrossRoot Volunteer</t>
        </is>
      </c>
      <c r="B522" s="9" t="inlineStr">
        <is>
          <t>916382776088</t>
        </is>
      </c>
      <c r="C522" s="9" t="n"/>
      <c r="D522" s="9" t="n"/>
      <c r="E522" s="9" t="n"/>
      <c r="F522" s="9">
        <f>IFERROR(LOOKUP(2,1/('Weekly Tracker'!$E$2:$E$766=$A522)/('Weekly Tracker'!$F$2:$F$766&lt;&gt;""),'Weekly Tracker'!$F$2:$F$766),"")</f>
        <v/>
      </c>
      <c r="G522" s="16">
        <f>IF(F522&lt;&gt;"",LOOKUP(2,1/('Weekly Tracker'!$E$2:$E$766=$A522)/('Weekly Tracker'!$F$2:$F$766&lt;&gt;""),'Weekly Tracker'!$G$2:$G$766),"")</f>
        <v/>
      </c>
      <c r="H522" s="9">
        <f>IFERROR(LOOKUP(2,1/('Weekly Tracker'!$E$2:$E$766=$A522)/('Weekly Tracker'!$H$2:$H$766&lt;&gt;""),'Weekly Tracker'!$H$2:$H$766),"")</f>
        <v/>
      </c>
      <c r="I522" s="16">
        <f>IF(H522&lt;&gt;"",LOOKUP(2,1/('Weekly Tracker'!$E$2:$E$766=$A522)/('Weekly Tracker'!$H$2:$H$766&lt;&gt;""),'Weekly Tracker'!$I$2:$I$766),"")</f>
        <v/>
      </c>
      <c r="J522" s="9">
        <f>IFERROR(LOOKUP(2,1/('Weekly Tracker'!$E$2:$E$766=$A522)/('Weekly Tracker'!$J$2:$J$766&lt;&gt;""),'Weekly Tracker'!$J$2:$J$766),"")</f>
        <v/>
      </c>
      <c r="K522" s="9">
        <f>IFERROR(LOOKUP(2,1/('Weekly Tracker'!$E$2:$E$766=$A522)/('Weekly Tracker'!$N$2:$N$766&lt;&gt;""),'Weekly Tracker'!$N$2:$N$766),"")</f>
        <v/>
      </c>
      <c r="L522" s="9">
        <f>IFERROR(LOOKUP(2,1/('Weekly Tracker'!$E$2:$E$766=$A522)/('Weekly Tracker'!$O$2:$O$766&lt;&gt;""),'Weekly Tracker'!$O$2:$O$766),"")</f>
        <v/>
      </c>
    </row>
    <row r="523">
      <c r="A523" s="9" t="inlineStr">
        <is>
          <t>Subash Grp Ucen</t>
        </is>
      </c>
      <c r="B523" s="9" t="inlineStr">
        <is>
          <t>917708642514</t>
        </is>
      </c>
      <c r="C523" s="9" t="n"/>
      <c r="D523" s="9" t="n"/>
      <c r="E523" s="9" t="n"/>
      <c r="F523" s="9">
        <f>IFERROR(LOOKUP(2,1/('Weekly Tracker'!$E$2:$E$766=$A523)/('Weekly Tracker'!$F$2:$F$766&lt;&gt;""),'Weekly Tracker'!$F$2:$F$766),"")</f>
        <v/>
      </c>
      <c r="G523" s="16">
        <f>IF(F523&lt;&gt;"",LOOKUP(2,1/('Weekly Tracker'!$E$2:$E$766=$A523)/('Weekly Tracker'!$F$2:$F$766&lt;&gt;""),'Weekly Tracker'!$G$2:$G$766),"")</f>
        <v/>
      </c>
      <c r="H523" s="9">
        <f>IFERROR(LOOKUP(2,1/('Weekly Tracker'!$E$2:$E$766=$A523)/('Weekly Tracker'!$H$2:$H$766&lt;&gt;""),'Weekly Tracker'!$H$2:$H$766),"")</f>
        <v/>
      </c>
      <c r="I523" s="16">
        <f>IF(H523&lt;&gt;"",LOOKUP(2,1/('Weekly Tracker'!$E$2:$E$766=$A523)/('Weekly Tracker'!$H$2:$H$766&lt;&gt;""),'Weekly Tracker'!$I$2:$I$766),"")</f>
        <v/>
      </c>
      <c r="J523" s="9">
        <f>IFERROR(LOOKUP(2,1/('Weekly Tracker'!$E$2:$E$766=$A523)/('Weekly Tracker'!$J$2:$J$766&lt;&gt;""),'Weekly Tracker'!$J$2:$J$766),"")</f>
        <v/>
      </c>
      <c r="K523" s="9">
        <f>IFERROR(LOOKUP(2,1/('Weekly Tracker'!$E$2:$E$766=$A523)/('Weekly Tracker'!$N$2:$N$766&lt;&gt;""),'Weekly Tracker'!$N$2:$N$766),"")</f>
        <v/>
      </c>
      <c r="L523" s="9">
        <f>IFERROR(LOOKUP(2,1/('Weekly Tracker'!$E$2:$E$766=$A523)/('Weekly Tracker'!$O$2:$O$766&lt;&gt;""),'Weekly Tracker'!$O$2:$O$766),"")</f>
        <v/>
      </c>
    </row>
    <row r="524">
      <c r="A524" s="9" t="inlineStr">
        <is>
          <t>Murugan Kundrathur</t>
        </is>
      </c>
      <c r="B524" s="9" t="inlineStr">
        <is>
          <t>9171375503</t>
        </is>
      </c>
      <c r="C524" s="9" t="n"/>
      <c r="D524" s="9" t="n"/>
      <c r="E524" s="9" t="n"/>
      <c r="F524" s="9">
        <f>IFERROR(LOOKUP(2,1/('Weekly Tracker'!$E$2:$E$766=$A524)/('Weekly Tracker'!$F$2:$F$766&lt;&gt;""),'Weekly Tracker'!$F$2:$F$766),"")</f>
        <v/>
      </c>
      <c r="G524" s="16">
        <f>IF(F524&lt;&gt;"",LOOKUP(2,1/('Weekly Tracker'!$E$2:$E$766=$A524)/('Weekly Tracker'!$F$2:$F$766&lt;&gt;""),'Weekly Tracker'!$G$2:$G$766),"")</f>
        <v/>
      </c>
      <c r="H524" s="9">
        <f>IFERROR(LOOKUP(2,1/('Weekly Tracker'!$E$2:$E$766=$A524)/('Weekly Tracker'!$H$2:$H$766&lt;&gt;""),'Weekly Tracker'!$H$2:$H$766),"")</f>
        <v/>
      </c>
      <c r="I524" s="16">
        <f>IF(H524&lt;&gt;"",LOOKUP(2,1/('Weekly Tracker'!$E$2:$E$766=$A524)/('Weekly Tracker'!$H$2:$H$766&lt;&gt;""),'Weekly Tracker'!$I$2:$I$766),"")</f>
        <v/>
      </c>
      <c r="J524" s="9">
        <f>IFERROR(LOOKUP(2,1/('Weekly Tracker'!$E$2:$E$766=$A524)/('Weekly Tracker'!$J$2:$J$766&lt;&gt;""),'Weekly Tracker'!$J$2:$J$766),"")</f>
        <v/>
      </c>
      <c r="K524" s="9">
        <f>IFERROR(LOOKUP(2,1/('Weekly Tracker'!$E$2:$E$766=$A524)/('Weekly Tracker'!$N$2:$N$766&lt;&gt;""),'Weekly Tracker'!$N$2:$N$766),"")</f>
        <v/>
      </c>
      <c r="L524" s="9">
        <f>IFERROR(LOOKUP(2,1/('Weekly Tracker'!$E$2:$E$766=$A524)/('Weekly Tracker'!$O$2:$O$766&lt;&gt;""),'Weekly Tracker'!$O$2:$O$766),"")</f>
        <v/>
      </c>
    </row>
    <row r="525">
      <c r="A525" s="9" t="inlineStr">
        <is>
          <t>Gunalan IT</t>
        </is>
      </c>
      <c r="B525" s="9" t="inlineStr">
        <is>
          <t>8870841670</t>
        </is>
      </c>
      <c r="C525" s="9" t="n"/>
      <c r="D525" s="9" t="n"/>
      <c r="E525" s="9" t="n"/>
      <c r="F525" s="9">
        <f>IFERROR(LOOKUP(2,1/('Weekly Tracker'!$E$2:$E$766=$A525)/('Weekly Tracker'!$F$2:$F$766&lt;&gt;""),'Weekly Tracker'!$F$2:$F$766),"")</f>
        <v/>
      </c>
      <c r="G525" s="16">
        <f>IF(F525&lt;&gt;"",LOOKUP(2,1/('Weekly Tracker'!$E$2:$E$766=$A525)/('Weekly Tracker'!$F$2:$F$766&lt;&gt;""),'Weekly Tracker'!$G$2:$G$766),"")</f>
        <v/>
      </c>
      <c r="H525" s="9">
        <f>IFERROR(LOOKUP(2,1/('Weekly Tracker'!$E$2:$E$766=$A525)/('Weekly Tracker'!$H$2:$H$766&lt;&gt;""),'Weekly Tracker'!$H$2:$H$766),"")</f>
        <v/>
      </c>
      <c r="I525" s="16">
        <f>IF(H525&lt;&gt;"",LOOKUP(2,1/('Weekly Tracker'!$E$2:$E$766=$A525)/('Weekly Tracker'!$H$2:$H$766&lt;&gt;""),'Weekly Tracker'!$I$2:$I$766),"")</f>
        <v/>
      </c>
      <c r="J525" s="9">
        <f>IFERROR(LOOKUP(2,1/('Weekly Tracker'!$E$2:$E$766=$A525)/('Weekly Tracker'!$J$2:$J$766&lt;&gt;""),'Weekly Tracker'!$J$2:$J$766),"")</f>
        <v/>
      </c>
      <c r="K525" s="9">
        <f>IFERROR(LOOKUP(2,1/('Weekly Tracker'!$E$2:$E$766=$A525)/('Weekly Tracker'!$N$2:$N$766&lt;&gt;""),'Weekly Tracker'!$N$2:$N$766),"")</f>
        <v/>
      </c>
      <c r="L525" s="9">
        <f>IFERROR(LOOKUP(2,1/('Weekly Tracker'!$E$2:$E$766=$A525)/('Weekly Tracker'!$O$2:$O$766&lt;&gt;""),'Weekly Tracker'!$O$2:$O$766),"")</f>
        <v/>
      </c>
    </row>
    <row r="526">
      <c r="A526" s="9" t="inlineStr">
        <is>
          <t>Iyyappan G Ucen Grp</t>
        </is>
      </c>
      <c r="B526" s="9" t="inlineStr">
        <is>
          <t>917904845367</t>
        </is>
      </c>
      <c r="C526" s="9" t="n"/>
      <c r="D526" s="9" t="n"/>
      <c r="E526" s="9" t="n"/>
      <c r="F526" s="9">
        <f>IFERROR(LOOKUP(2,1/('Weekly Tracker'!$E$2:$E$766=$A526)/('Weekly Tracker'!$F$2:$F$766&lt;&gt;""),'Weekly Tracker'!$F$2:$F$766),"")</f>
        <v/>
      </c>
      <c r="G526" s="16">
        <f>IF(F526&lt;&gt;"",LOOKUP(2,1/('Weekly Tracker'!$E$2:$E$766=$A526)/('Weekly Tracker'!$F$2:$F$766&lt;&gt;""),'Weekly Tracker'!$G$2:$G$766),"")</f>
        <v/>
      </c>
      <c r="H526" s="9">
        <f>IFERROR(LOOKUP(2,1/('Weekly Tracker'!$E$2:$E$766=$A526)/('Weekly Tracker'!$H$2:$H$766&lt;&gt;""),'Weekly Tracker'!$H$2:$H$766),"")</f>
        <v/>
      </c>
      <c r="I526" s="16">
        <f>IF(H526&lt;&gt;"",LOOKUP(2,1/('Weekly Tracker'!$E$2:$E$766=$A526)/('Weekly Tracker'!$H$2:$H$766&lt;&gt;""),'Weekly Tracker'!$I$2:$I$766),"")</f>
        <v/>
      </c>
      <c r="J526" s="9">
        <f>IFERROR(LOOKUP(2,1/('Weekly Tracker'!$E$2:$E$766=$A526)/('Weekly Tracker'!$J$2:$J$766&lt;&gt;""),'Weekly Tracker'!$J$2:$J$766),"")</f>
        <v/>
      </c>
      <c r="K526" s="9">
        <f>IFERROR(LOOKUP(2,1/('Weekly Tracker'!$E$2:$E$766=$A526)/('Weekly Tracker'!$N$2:$N$766&lt;&gt;""),'Weekly Tracker'!$N$2:$N$766),"")</f>
        <v/>
      </c>
      <c r="L526" s="9">
        <f>IFERROR(LOOKUP(2,1/('Weekly Tracker'!$E$2:$E$766=$A526)/('Weekly Tracker'!$O$2:$O$766&lt;&gt;""),'Weekly Tracker'!$O$2:$O$766),"")</f>
        <v/>
      </c>
    </row>
    <row r="527">
      <c r="A527" s="9" t="inlineStr">
        <is>
          <t>Revanth FB</t>
        </is>
      </c>
      <c r="B527" s="9" t="inlineStr">
        <is>
          <t>919043362677</t>
        </is>
      </c>
      <c r="C527" s="9" t="n"/>
      <c r="D527" s="9" t="n"/>
      <c r="E527" s="9" t="n"/>
      <c r="F527" s="9">
        <f>IFERROR(LOOKUP(2,1/('Weekly Tracker'!$E$2:$E$766=$A527)/('Weekly Tracker'!$F$2:$F$766&lt;&gt;""),'Weekly Tracker'!$F$2:$F$766),"")</f>
        <v/>
      </c>
      <c r="G527" s="16">
        <f>IF(F527&lt;&gt;"",LOOKUP(2,1/('Weekly Tracker'!$E$2:$E$766=$A527)/('Weekly Tracker'!$F$2:$F$766&lt;&gt;""),'Weekly Tracker'!$G$2:$G$766),"")</f>
        <v/>
      </c>
      <c r="H527" s="9">
        <f>IFERROR(LOOKUP(2,1/('Weekly Tracker'!$E$2:$E$766=$A527)/('Weekly Tracker'!$H$2:$H$766&lt;&gt;""),'Weekly Tracker'!$H$2:$H$766),"")</f>
        <v/>
      </c>
      <c r="I527" s="16">
        <f>IF(H527&lt;&gt;"",LOOKUP(2,1/('Weekly Tracker'!$E$2:$E$766=$A527)/('Weekly Tracker'!$H$2:$H$766&lt;&gt;""),'Weekly Tracker'!$I$2:$I$766),"")</f>
        <v/>
      </c>
      <c r="J527" s="9">
        <f>IFERROR(LOOKUP(2,1/('Weekly Tracker'!$E$2:$E$766=$A527)/('Weekly Tracker'!$J$2:$J$766&lt;&gt;""),'Weekly Tracker'!$J$2:$J$766),"")</f>
        <v/>
      </c>
      <c r="K527" s="9">
        <f>IFERROR(LOOKUP(2,1/('Weekly Tracker'!$E$2:$E$766=$A527)/('Weekly Tracker'!$N$2:$N$766&lt;&gt;""),'Weekly Tracker'!$N$2:$N$766),"")</f>
        <v/>
      </c>
      <c r="L527" s="9">
        <f>IFERROR(LOOKUP(2,1/('Weekly Tracker'!$E$2:$E$766=$A527)/('Weekly Tracker'!$O$2:$O$766&lt;&gt;""),'Weekly Tracker'!$O$2:$O$766),"")</f>
        <v/>
      </c>
    </row>
    <row r="528">
      <c r="A528" s="9" t="inlineStr">
        <is>
          <t>Pj Ben Telegram</t>
        </is>
      </c>
      <c r="B528" s="9" t="inlineStr">
        <is>
          <t>919566831216</t>
        </is>
      </c>
      <c r="C528" s="9" t="n"/>
      <c r="D528" s="9" t="n"/>
      <c r="E528" s="9" t="n"/>
      <c r="F528" s="9">
        <f>IFERROR(LOOKUP(2,1/('Weekly Tracker'!$E$2:$E$766=$A528)/('Weekly Tracker'!$F$2:$F$766&lt;&gt;""),'Weekly Tracker'!$F$2:$F$766),"")</f>
        <v/>
      </c>
      <c r="G528" s="16">
        <f>IF(F528&lt;&gt;"",LOOKUP(2,1/('Weekly Tracker'!$E$2:$E$766=$A528)/('Weekly Tracker'!$F$2:$F$766&lt;&gt;""),'Weekly Tracker'!$G$2:$G$766),"")</f>
        <v/>
      </c>
      <c r="H528" s="9">
        <f>IFERROR(LOOKUP(2,1/('Weekly Tracker'!$E$2:$E$766=$A528)/('Weekly Tracker'!$H$2:$H$766&lt;&gt;""),'Weekly Tracker'!$H$2:$H$766),"")</f>
        <v/>
      </c>
      <c r="I528" s="16">
        <f>IF(H528&lt;&gt;"",LOOKUP(2,1/('Weekly Tracker'!$E$2:$E$766=$A528)/('Weekly Tracker'!$H$2:$H$766&lt;&gt;""),'Weekly Tracker'!$I$2:$I$766),"")</f>
        <v/>
      </c>
      <c r="J528" s="9">
        <f>IFERROR(LOOKUP(2,1/('Weekly Tracker'!$E$2:$E$766=$A528)/('Weekly Tracker'!$J$2:$J$766&lt;&gt;""),'Weekly Tracker'!$J$2:$J$766),"")</f>
        <v/>
      </c>
      <c r="K528" s="9">
        <f>IFERROR(LOOKUP(2,1/('Weekly Tracker'!$E$2:$E$766=$A528)/('Weekly Tracker'!$N$2:$N$766&lt;&gt;""),'Weekly Tracker'!$N$2:$N$766),"")</f>
        <v/>
      </c>
      <c r="L528" s="9">
        <f>IFERROR(LOOKUP(2,1/('Weekly Tracker'!$E$2:$E$766=$A528)/('Weekly Tracker'!$O$2:$O$766&lt;&gt;""),'Weekly Tracker'!$O$2:$O$766),"")</f>
        <v/>
      </c>
    </row>
    <row r="529">
      <c r="A529" s="9" t="inlineStr">
        <is>
          <t>Maitri Nikshita</t>
        </is>
      </c>
      <c r="B529" s="9" t="n"/>
      <c r="C529" s="9" t="n"/>
      <c r="D529" s="9" t="n"/>
      <c r="E529" s="9" t="inlineStr">
        <is>
          <t>BBSRSEZUnit2</t>
        </is>
      </c>
      <c r="F529" s="9">
        <f>IFERROR(LOOKUP(2,1/('Weekly Tracker'!$E$2:$E$766=$A529)/('Weekly Tracker'!$F$2:$F$766&lt;&gt;""),'Weekly Tracker'!$F$2:$F$766),"")</f>
        <v/>
      </c>
      <c r="G529" s="16">
        <f>IF(F529&lt;&gt;"",LOOKUP(2,1/('Weekly Tracker'!$E$2:$E$766=$A529)/('Weekly Tracker'!$F$2:$F$766&lt;&gt;""),'Weekly Tracker'!$G$2:$G$766),"")</f>
        <v/>
      </c>
      <c r="H529" s="9">
        <f>IFERROR(LOOKUP(2,1/('Weekly Tracker'!$E$2:$E$766=$A529)/('Weekly Tracker'!$H$2:$H$766&lt;&gt;""),'Weekly Tracker'!$H$2:$H$766),"")</f>
        <v/>
      </c>
      <c r="I529" s="16">
        <f>IF(H529&lt;&gt;"",LOOKUP(2,1/('Weekly Tracker'!$E$2:$E$766=$A529)/('Weekly Tracker'!$H$2:$H$766&lt;&gt;""),'Weekly Tracker'!$I$2:$I$766),"")</f>
        <v/>
      </c>
      <c r="J529" s="9">
        <f>IFERROR(LOOKUP(2,1/('Weekly Tracker'!$E$2:$E$766=$A529)/('Weekly Tracker'!$J$2:$J$766&lt;&gt;""),'Weekly Tracker'!$J$2:$J$766),"")</f>
        <v/>
      </c>
      <c r="K529" s="9">
        <f>IFERROR(LOOKUP(2,1/('Weekly Tracker'!$E$2:$E$766=$A529)/('Weekly Tracker'!$N$2:$N$766&lt;&gt;""),'Weekly Tracker'!$N$2:$N$766),"")</f>
        <v/>
      </c>
      <c r="L529" s="9">
        <f>IFERROR(LOOKUP(2,1/('Weekly Tracker'!$E$2:$E$766=$A529)/('Weekly Tracker'!$O$2:$O$766&lt;&gt;""),'Weekly Tracker'!$O$2:$O$766),"")</f>
        <v/>
      </c>
    </row>
    <row r="530">
      <c r="A530" s="9" t="inlineStr">
        <is>
          <t>Chintaman Kalyan Kumar HCL</t>
        </is>
      </c>
      <c r="B530" s="9" t="inlineStr">
        <is>
          <t>8008107816</t>
        </is>
      </c>
      <c r="C530" s="9" t="n"/>
      <c r="D530" s="9" t="n"/>
      <c r="E530" s="9" t="n"/>
      <c r="F530" s="9">
        <f>IFERROR(LOOKUP(2,1/('Weekly Tracker'!$E$2:$E$766=$A530)/('Weekly Tracker'!$F$2:$F$766&lt;&gt;""),'Weekly Tracker'!$F$2:$F$766),"")</f>
        <v/>
      </c>
      <c r="G530" s="16">
        <f>IF(F530&lt;&gt;"",LOOKUP(2,1/('Weekly Tracker'!$E$2:$E$766=$A530)/('Weekly Tracker'!$F$2:$F$766&lt;&gt;""),'Weekly Tracker'!$G$2:$G$766),"")</f>
        <v/>
      </c>
      <c r="H530" s="9">
        <f>IFERROR(LOOKUP(2,1/('Weekly Tracker'!$E$2:$E$766=$A530)/('Weekly Tracker'!$H$2:$H$766&lt;&gt;""),'Weekly Tracker'!$H$2:$H$766),"")</f>
        <v/>
      </c>
      <c r="I530" s="16">
        <f>IF(H530&lt;&gt;"",LOOKUP(2,1/('Weekly Tracker'!$E$2:$E$766=$A530)/('Weekly Tracker'!$H$2:$H$766&lt;&gt;""),'Weekly Tracker'!$I$2:$I$766),"")</f>
        <v/>
      </c>
      <c r="J530" s="9">
        <f>IFERROR(LOOKUP(2,1/('Weekly Tracker'!$E$2:$E$766=$A530)/('Weekly Tracker'!$J$2:$J$766&lt;&gt;""),'Weekly Tracker'!$J$2:$J$766),"")</f>
        <v/>
      </c>
      <c r="K530" s="9">
        <f>IFERROR(LOOKUP(2,1/('Weekly Tracker'!$E$2:$E$766=$A530)/('Weekly Tracker'!$N$2:$N$766&lt;&gt;""),'Weekly Tracker'!$N$2:$N$766),"")</f>
        <v/>
      </c>
      <c r="L530" s="9">
        <f>IFERROR(LOOKUP(2,1/('Weekly Tracker'!$E$2:$E$766=$A530)/('Weekly Tracker'!$O$2:$O$766&lt;&gt;""),'Weekly Tracker'!$O$2:$O$766),"")</f>
        <v/>
      </c>
    </row>
    <row r="531">
      <c r="A531" s="9" t="inlineStr">
        <is>
          <t>Chan Chandru FB</t>
        </is>
      </c>
      <c r="B531" s="9" t="inlineStr">
        <is>
          <t>9655244740</t>
        </is>
      </c>
      <c r="C531" s="9" t="n"/>
      <c r="D531" s="9" t="n"/>
      <c r="E531" s="9" t="n"/>
      <c r="F531" s="9">
        <f>IFERROR(LOOKUP(2,1/('Weekly Tracker'!$E$2:$E$766=$A531)/('Weekly Tracker'!$F$2:$F$766&lt;&gt;""),'Weekly Tracker'!$F$2:$F$766),"")</f>
        <v/>
      </c>
      <c r="G531" s="16">
        <f>IF(F531&lt;&gt;"",LOOKUP(2,1/('Weekly Tracker'!$E$2:$E$766=$A531)/('Weekly Tracker'!$F$2:$F$766&lt;&gt;""),'Weekly Tracker'!$G$2:$G$766),"")</f>
        <v/>
      </c>
      <c r="H531" s="9">
        <f>IFERROR(LOOKUP(2,1/('Weekly Tracker'!$E$2:$E$766=$A531)/('Weekly Tracker'!$H$2:$H$766&lt;&gt;""),'Weekly Tracker'!$H$2:$H$766),"")</f>
        <v/>
      </c>
      <c r="I531" s="16">
        <f>IF(H531&lt;&gt;"",LOOKUP(2,1/('Weekly Tracker'!$E$2:$E$766=$A531)/('Weekly Tracker'!$H$2:$H$766&lt;&gt;""),'Weekly Tracker'!$I$2:$I$766),"")</f>
        <v/>
      </c>
      <c r="J531" s="9">
        <f>IFERROR(LOOKUP(2,1/('Weekly Tracker'!$E$2:$E$766=$A531)/('Weekly Tracker'!$J$2:$J$766&lt;&gt;""),'Weekly Tracker'!$J$2:$J$766),"")</f>
        <v/>
      </c>
      <c r="K531" s="9">
        <f>IFERROR(LOOKUP(2,1/('Weekly Tracker'!$E$2:$E$766=$A531)/('Weekly Tracker'!$N$2:$N$766&lt;&gt;""),'Weekly Tracker'!$N$2:$N$766),"")</f>
        <v/>
      </c>
      <c r="L531" s="9">
        <f>IFERROR(LOOKUP(2,1/('Weekly Tracker'!$E$2:$E$766=$A531)/('Weekly Tracker'!$O$2:$O$766&lt;&gt;""),'Weekly Tracker'!$O$2:$O$766),"")</f>
        <v/>
      </c>
    </row>
    <row r="532">
      <c r="A532" s="9" t="inlineStr">
        <is>
          <t>Krithiga Sankar Verz</t>
        </is>
      </c>
      <c r="B532" s="9" t="inlineStr">
        <is>
          <t>9047588855</t>
        </is>
      </c>
      <c r="C532" s="9" t="n"/>
      <c r="D532" s="9" t="n"/>
      <c r="E532" s="9" t="n"/>
      <c r="F532" s="9">
        <f>IFERROR(LOOKUP(2,1/('Weekly Tracker'!$E$2:$E$766=$A532)/('Weekly Tracker'!$F$2:$F$766&lt;&gt;""),'Weekly Tracker'!$F$2:$F$766),"")</f>
        <v/>
      </c>
      <c r="G532" s="16">
        <f>IF(F532&lt;&gt;"",LOOKUP(2,1/('Weekly Tracker'!$E$2:$E$766=$A532)/('Weekly Tracker'!$F$2:$F$766&lt;&gt;""),'Weekly Tracker'!$G$2:$G$766),"")</f>
        <v/>
      </c>
      <c r="H532" s="9">
        <f>IFERROR(LOOKUP(2,1/('Weekly Tracker'!$E$2:$E$766=$A532)/('Weekly Tracker'!$H$2:$H$766&lt;&gt;""),'Weekly Tracker'!$H$2:$H$766),"")</f>
        <v/>
      </c>
      <c r="I532" s="16">
        <f>IF(H532&lt;&gt;"",LOOKUP(2,1/('Weekly Tracker'!$E$2:$E$766=$A532)/('Weekly Tracker'!$H$2:$H$766&lt;&gt;""),'Weekly Tracker'!$I$2:$I$766),"")</f>
        <v/>
      </c>
      <c r="J532" s="9">
        <f>IFERROR(LOOKUP(2,1/('Weekly Tracker'!$E$2:$E$766=$A532)/('Weekly Tracker'!$J$2:$J$766&lt;&gt;""),'Weekly Tracker'!$J$2:$J$766),"")</f>
        <v/>
      </c>
      <c r="K532" s="9">
        <f>IFERROR(LOOKUP(2,1/('Weekly Tracker'!$E$2:$E$766=$A532)/('Weekly Tracker'!$N$2:$N$766&lt;&gt;""),'Weekly Tracker'!$N$2:$N$766),"")</f>
        <v/>
      </c>
      <c r="L532" s="9">
        <f>IFERROR(LOOKUP(2,1/('Weekly Tracker'!$E$2:$E$766=$A532)/('Weekly Tracker'!$O$2:$O$766&lt;&gt;""),'Weekly Tracker'!$O$2:$O$766),"")</f>
        <v/>
      </c>
    </row>
    <row r="533">
      <c r="A533" s="9" t="inlineStr">
        <is>
          <t>Sai Krishna Urja</t>
        </is>
      </c>
      <c r="B533" s="9" t="inlineStr">
        <is>
          <t>918790343671</t>
        </is>
      </c>
      <c r="C533" s="9" t="n"/>
      <c r="D533" s="9" t="n"/>
      <c r="E533" s="9" t="n"/>
      <c r="F533" s="9">
        <f>IFERROR(LOOKUP(2,1/('Weekly Tracker'!$E$2:$E$766=$A533)/('Weekly Tracker'!$F$2:$F$766&lt;&gt;""),'Weekly Tracker'!$F$2:$F$766),"")</f>
        <v/>
      </c>
      <c r="G533" s="16">
        <f>IF(F533&lt;&gt;"",LOOKUP(2,1/('Weekly Tracker'!$E$2:$E$766=$A533)/('Weekly Tracker'!$F$2:$F$766&lt;&gt;""),'Weekly Tracker'!$G$2:$G$766),"")</f>
        <v/>
      </c>
      <c r="H533" s="9">
        <f>IFERROR(LOOKUP(2,1/('Weekly Tracker'!$E$2:$E$766=$A533)/('Weekly Tracker'!$H$2:$H$766&lt;&gt;""),'Weekly Tracker'!$H$2:$H$766),"")</f>
        <v/>
      </c>
      <c r="I533" s="16">
        <f>IF(H533&lt;&gt;"",LOOKUP(2,1/('Weekly Tracker'!$E$2:$E$766=$A533)/('Weekly Tracker'!$H$2:$H$766&lt;&gt;""),'Weekly Tracker'!$I$2:$I$766),"")</f>
        <v/>
      </c>
      <c r="J533" s="9">
        <f>IFERROR(LOOKUP(2,1/('Weekly Tracker'!$E$2:$E$766=$A533)/('Weekly Tracker'!$J$2:$J$766&lt;&gt;""),'Weekly Tracker'!$J$2:$J$766),"")</f>
        <v/>
      </c>
      <c r="K533" s="9">
        <f>IFERROR(LOOKUP(2,1/('Weekly Tracker'!$E$2:$E$766=$A533)/('Weekly Tracker'!$N$2:$N$766&lt;&gt;""),'Weekly Tracker'!$N$2:$N$766),"")</f>
        <v/>
      </c>
      <c r="L533" s="9">
        <f>IFERROR(LOOKUP(2,1/('Weekly Tracker'!$E$2:$E$766=$A533)/('Weekly Tracker'!$O$2:$O$766&lt;&gt;""),'Weekly Tracker'!$O$2:$O$766),"")</f>
        <v/>
      </c>
    </row>
    <row r="534">
      <c r="A534" s="9" t="inlineStr">
        <is>
          <t>Rathish Nav Urja</t>
        </is>
      </c>
      <c r="B534" s="9" t="inlineStr">
        <is>
          <t>919944394984</t>
        </is>
      </c>
      <c r="C534" s="9" t="n"/>
      <c r="D534" s="9" t="n"/>
      <c r="E534" s="9" t="n"/>
      <c r="F534" s="9">
        <f>IFERROR(LOOKUP(2,1/('Weekly Tracker'!$E$2:$E$766=$A534)/('Weekly Tracker'!$F$2:$F$766&lt;&gt;""),'Weekly Tracker'!$F$2:$F$766),"")</f>
        <v/>
      </c>
      <c r="G534" s="16">
        <f>IF(F534&lt;&gt;"",LOOKUP(2,1/('Weekly Tracker'!$E$2:$E$766=$A534)/('Weekly Tracker'!$F$2:$F$766&lt;&gt;""),'Weekly Tracker'!$G$2:$G$766),"")</f>
        <v/>
      </c>
      <c r="H534" s="9">
        <f>IFERROR(LOOKUP(2,1/('Weekly Tracker'!$E$2:$E$766=$A534)/('Weekly Tracker'!$H$2:$H$766&lt;&gt;""),'Weekly Tracker'!$H$2:$H$766),"")</f>
        <v/>
      </c>
      <c r="I534" s="16">
        <f>IF(H534&lt;&gt;"",LOOKUP(2,1/('Weekly Tracker'!$E$2:$E$766=$A534)/('Weekly Tracker'!$H$2:$H$766&lt;&gt;""),'Weekly Tracker'!$I$2:$I$766),"")</f>
        <v/>
      </c>
      <c r="J534" s="9">
        <f>IFERROR(LOOKUP(2,1/('Weekly Tracker'!$E$2:$E$766=$A534)/('Weekly Tracker'!$J$2:$J$766&lt;&gt;""),'Weekly Tracker'!$J$2:$J$766),"")</f>
        <v/>
      </c>
      <c r="K534" s="9">
        <f>IFERROR(LOOKUP(2,1/('Weekly Tracker'!$E$2:$E$766=$A534)/('Weekly Tracker'!$N$2:$N$766&lt;&gt;""),'Weekly Tracker'!$N$2:$N$766),"")</f>
        <v/>
      </c>
      <c r="L534" s="9">
        <f>IFERROR(LOOKUP(2,1/('Weekly Tracker'!$E$2:$E$766=$A534)/('Weekly Tracker'!$O$2:$O$766&lt;&gt;""),'Weekly Tracker'!$O$2:$O$766),"")</f>
        <v/>
      </c>
    </row>
    <row r="535">
      <c r="A535" s="9" t="inlineStr">
        <is>
          <t>Samsul</t>
        </is>
      </c>
      <c r="B535" s="9" t="inlineStr">
        <is>
          <t>918925336944</t>
        </is>
      </c>
      <c r="C535" s="9" t="n"/>
      <c r="D535" s="9" t="n"/>
      <c r="E535" s="9" t="n"/>
      <c r="F535" s="9">
        <f>IFERROR(LOOKUP(2,1/('Weekly Tracker'!$E$2:$E$766=$A535)/('Weekly Tracker'!$F$2:$F$766&lt;&gt;""),'Weekly Tracker'!$F$2:$F$766),"")</f>
        <v/>
      </c>
      <c r="G535" s="16">
        <f>IF(F535&lt;&gt;"",LOOKUP(2,1/('Weekly Tracker'!$E$2:$E$766=$A535)/('Weekly Tracker'!$F$2:$F$766&lt;&gt;""),'Weekly Tracker'!$G$2:$G$766),"")</f>
        <v/>
      </c>
      <c r="H535" s="9">
        <f>IFERROR(LOOKUP(2,1/('Weekly Tracker'!$E$2:$E$766=$A535)/('Weekly Tracker'!$H$2:$H$766&lt;&gt;""),'Weekly Tracker'!$H$2:$H$766),"")</f>
        <v/>
      </c>
      <c r="I535" s="16">
        <f>IF(H535&lt;&gt;"",LOOKUP(2,1/('Weekly Tracker'!$E$2:$E$766=$A535)/('Weekly Tracker'!$H$2:$H$766&lt;&gt;""),'Weekly Tracker'!$I$2:$I$766),"")</f>
        <v/>
      </c>
      <c r="J535" s="9">
        <f>IFERROR(LOOKUP(2,1/('Weekly Tracker'!$E$2:$E$766=$A535)/('Weekly Tracker'!$J$2:$J$766&lt;&gt;""),'Weekly Tracker'!$J$2:$J$766),"")</f>
        <v/>
      </c>
      <c r="K535" s="9">
        <f>IFERROR(LOOKUP(2,1/('Weekly Tracker'!$E$2:$E$766=$A535)/('Weekly Tracker'!$N$2:$N$766&lt;&gt;""),'Weekly Tracker'!$N$2:$N$766),"")</f>
        <v/>
      </c>
      <c r="L535" s="9">
        <f>IFERROR(LOOKUP(2,1/('Weekly Tracker'!$E$2:$E$766=$A535)/('Weekly Tracker'!$O$2:$O$766&lt;&gt;""),'Weekly Tracker'!$O$2:$O$766),"")</f>
        <v/>
      </c>
    </row>
    <row r="536">
      <c r="A536" s="9" t="inlineStr">
        <is>
          <t>Meltan Civil</t>
        </is>
      </c>
      <c r="B536" s="9" t="inlineStr">
        <is>
          <t>919789582524</t>
        </is>
      </c>
      <c r="C536" s="9" t="n"/>
      <c r="D536" s="9" t="n"/>
      <c r="E536" s="9" t="n"/>
      <c r="F536" s="9">
        <f>IFERROR(LOOKUP(2,1/('Weekly Tracker'!$E$2:$E$766=$A536)/('Weekly Tracker'!$F$2:$F$766&lt;&gt;""),'Weekly Tracker'!$F$2:$F$766),"")</f>
        <v/>
      </c>
      <c r="G536" s="16">
        <f>IF(F536&lt;&gt;"",LOOKUP(2,1/('Weekly Tracker'!$E$2:$E$766=$A536)/('Weekly Tracker'!$F$2:$F$766&lt;&gt;""),'Weekly Tracker'!$G$2:$G$766),"")</f>
        <v/>
      </c>
      <c r="H536" s="9">
        <f>IFERROR(LOOKUP(2,1/('Weekly Tracker'!$E$2:$E$766=$A536)/('Weekly Tracker'!$H$2:$H$766&lt;&gt;""),'Weekly Tracker'!$H$2:$H$766),"")</f>
        <v/>
      </c>
      <c r="I536" s="16">
        <f>IF(H536&lt;&gt;"",LOOKUP(2,1/('Weekly Tracker'!$E$2:$E$766=$A536)/('Weekly Tracker'!$H$2:$H$766&lt;&gt;""),'Weekly Tracker'!$I$2:$I$766),"")</f>
        <v/>
      </c>
      <c r="J536" s="9">
        <f>IFERROR(LOOKUP(2,1/('Weekly Tracker'!$E$2:$E$766=$A536)/('Weekly Tracker'!$J$2:$J$766&lt;&gt;""),'Weekly Tracker'!$J$2:$J$766),"")</f>
        <v/>
      </c>
      <c r="K536" s="9">
        <f>IFERROR(LOOKUP(2,1/('Weekly Tracker'!$E$2:$E$766=$A536)/('Weekly Tracker'!$N$2:$N$766&lt;&gt;""),'Weekly Tracker'!$N$2:$N$766),"")</f>
        <v/>
      </c>
      <c r="L536" s="9">
        <f>IFERROR(LOOKUP(2,1/('Weekly Tracker'!$E$2:$E$766=$A536)/('Weekly Tracker'!$O$2:$O$766&lt;&gt;""),'Weekly Tracker'!$O$2:$O$766),"")</f>
        <v/>
      </c>
    </row>
    <row r="537">
      <c r="A537" s="9" t="inlineStr">
        <is>
          <t>Mohamad Sheelem Mech</t>
        </is>
      </c>
      <c r="B537" s="9" t="inlineStr">
        <is>
          <t>918012922673</t>
        </is>
      </c>
      <c r="C537" s="9" t="n"/>
      <c r="D537" s="9" t="n"/>
      <c r="E537" s="9" t="n"/>
      <c r="F537" s="9">
        <f>IFERROR(LOOKUP(2,1/('Weekly Tracker'!$E$2:$E$766=$A537)/('Weekly Tracker'!$F$2:$F$766&lt;&gt;""),'Weekly Tracker'!$F$2:$F$766),"")</f>
        <v/>
      </c>
      <c r="G537" s="16">
        <f>IF(F537&lt;&gt;"",LOOKUP(2,1/('Weekly Tracker'!$E$2:$E$766=$A537)/('Weekly Tracker'!$F$2:$F$766&lt;&gt;""),'Weekly Tracker'!$G$2:$G$766),"")</f>
        <v/>
      </c>
      <c r="H537" s="9">
        <f>IFERROR(LOOKUP(2,1/('Weekly Tracker'!$E$2:$E$766=$A537)/('Weekly Tracker'!$H$2:$H$766&lt;&gt;""),'Weekly Tracker'!$H$2:$H$766),"")</f>
        <v/>
      </c>
      <c r="I537" s="16">
        <f>IF(H537&lt;&gt;"",LOOKUP(2,1/('Weekly Tracker'!$E$2:$E$766=$A537)/('Weekly Tracker'!$H$2:$H$766&lt;&gt;""),'Weekly Tracker'!$I$2:$I$766),"")</f>
        <v/>
      </c>
      <c r="J537" s="9">
        <f>IFERROR(LOOKUP(2,1/('Weekly Tracker'!$E$2:$E$766=$A537)/('Weekly Tracker'!$J$2:$J$766&lt;&gt;""),'Weekly Tracker'!$J$2:$J$766),"")</f>
        <v/>
      </c>
      <c r="K537" s="9">
        <f>IFERROR(LOOKUP(2,1/('Weekly Tracker'!$E$2:$E$766=$A537)/('Weekly Tracker'!$N$2:$N$766&lt;&gt;""),'Weekly Tracker'!$N$2:$N$766),"")</f>
        <v/>
      </c>
      <c r="L537" s="9">
        <f>IFERROR(LOOKUP(2,1/('Weekly Tracker'!$E$2:$E$766=$A537)/('Weekly Tracker'!$O$2:$O$766&lt;&gt;""),'Weekly Tracker'!$O$2:$O$766),"")</f>
        <v/>
      </c>
    </row>
    <row r="538">
      <c r="A538" s="9" t="inlineStr">
        <is>
          <t>Ebanezer J Ebe FB</t>
        </is>
      </c>
      <c r="B538" s="9" t="inlineStr">
        <is>
          <t>919894024695</t>
        </is>
      </c>
      <c r="C538" s="9" t="n"/>
      <c r="D538" s="9" t="n"/>
      <c r="E538" s="9" t="n"/>
      <c r="F538" s="9">
        <f>IFERROR(LOOKUP(2,1/('Weekly Tracker'!$E$2:$E$766=$A538)/('Weekly Tracker'!$F$2:$F$766&lt;&gt;""),'Weekly Tracker'!$F$2:$F$766),"")</f>
        <v/>
      </c>
      <c r="G538" s="16">
        <f>IF(F538&lt;&gt;"",LOOKUP(2,1/('Weekly Tracker'!$E$2:$E$766=$A538)/('Weekly Tracker'!$F$2:$F$766&lt;&gt;""),'Weekly Tracker'!$G$2:$G$766),"")</f>
        <v/>
      </c>
      <c r="H538" s="9">
        <f>IFERROR(LOOKUP(2,1/('Weekly Tracker'!$E$2:$E$766=$A538)/('Weekly Tracker'!$H$2:$H$766&lt;&gt;""),'Weekly Tracker'!$H$2:$H$766),"")</f>
        <v/>
      </c>
      <c r="I538" s="16">
        <f>IF(H538&lt;&gt;"",LOOKUP(2,1/('Weekly Tracker'!$E$2:$E$766=$A538)/('Weekly Tracker'!$H$2:$H$766&lt;&gt;""),'Weekly Tracker'!$I$2:$I$766),"")</f>
        <v/>
      </c>
      <c r="J538" s="9">
        <f>IFERROR(LOOKUP(2,1/('Weekly Tracker'!$E$2:$E$766=$A538)/('Weekly Tracker'!$J$2:$J$766&lt;&gt;""),'Weekly Tracker'!$J$2:$J$766),"")</f>
        <v/>
      </c>
      <c r="K538" s="9">
        <f>IFERROR(LOOKUP(2,1/('Weekly Tracker'!$E$2:$E$766=$A538)/('Weekly Tracker'!$N$2:$N$766&lt;&gt;""),'Weekly Tracker'!$N$2:$N$766),"")</f>
        <v/>
      </c>
      <c r="L538" s="9">
        <f>IFERROR(LOOKUP(2,1/('Weekly Tracker'!$E$2:$E$766=$A538)/('Weekly Tracker'!$O$2:$O$766&lt;&gt;""),'Weekly Tracker'!$O$2:$O$766),"")</f>
        <v/>
      </c>
    </row>
    <row r="539">
      <c r="A539" s="9" t="inlineStr">
        <is>
          <t>Imran Khan FB</t>
        </is>
      </c>
      <c r="B539" s="9" t="inlineStr">
        <is>
          <t>8111000440</t>
        </is>
      </c>
      <c r="C539" s="9" t="n"/>
      <c r="D539" s="9" t="n"/>
      <c r="E539" s="9" t="n"/>
      <c r="F539" s="9">
        <f>IFERROR(LOOKUP(2,1/('Weekly Tracker'!$E$2:$E$766=$A539)/('Weekly Tracker'!$F$2:$F$766&lt;&gt;""),'Weekly Tracker'!$F$2:$F$766),"")</f>
        <v/>
      </c>
      <c r="G539" s="16">
        <f>IF(F539&lt;&gt;"",LOOKUP(2,1/('Weekly Tracker'!$E$2:$E$766=$A539)/('Weekly Tracker'!$F$2:$F$766&lt;&gt;""),'Weekly Tracker'!$G$2:$G$766),"")</f>
        <v/>
      </c>
      <c r="H539" s="9">
        <f>IFERROR(LOOKUP(2,1/('Weekly Tracker'!$E$2:$E$766=$A539)/('Weekly Tracker'!$H$2:$H$766&lt;&gt;""),'Weekly Tracker'!$H$2:$H$766),"")</f>
        <v/>
      </c>
      <c r="I539" s="16">
        <f>IF(H539&lt;&gt;"",LOOKUP(2,1/('Weekly Tracker'!$E$2:$E$766=$A539)/('Weekly Tracker'!$H$2:$H$766&lt;&gt;""),'Weekly Tracker'!$I$2:$I$766),"")</f>
        <v/>
      </c>
      <c r="J539" s="9">
        <f>IFERROR(LOOKUP(2,1/('Weekly Tracker'!$E$2:$E$766=$A539)/('Weekly Tracker'!$J$2:$J$766&lt;&gt;""),'Weekly Tracker'!$J$2:$J$766),"")</f>
        <v/>
      </c>
      <c r="K539" s="9">
        <f>IFERROR(LOOKUP(2,1/('Weekly Tracker'!$E$2:$E$766=$A539)/('Weekly Tracker'!$N$2:$N$766&lt;&gt;""),'Weekly Tracker'!$N$2:$N$766),"")</f>
        <v/>
      </c>
      <c r="L539" s="9">
        <f>IFERROR(LOOKUP(2,1/('Weekly Tracker'!$E$2:$E$766=$A539)/('Weekly Tracker'!$O$2:$O$766&lt;&gt;""),'Weekly Tracker'!$O$2:$O$766),"")</f>
        <v/>
      </c>
    </row>
    <row r="540">
      <c r="A540" s="9" t="inlineStr">
        <is>
          <t>Harsha Urja</t>
        </is>
      </c>
      <c r="B540" s="9" t="inlineStr">
        <is>
          <t>9491196451</t>
        </is>
      </c>
      <c r="C540" s="9" t="n"/>
      <c r="D540" s="9" t="n"/>
      <c r="E540" s="9" t="n"/>
      <c r="F540" s="9">
        <f>IFERROR(LOOKUP(2,1/('Weekly Tracker'!$E$2:$E$766=$A540)/('Weekly Tracker'!$F$2:$F$766&lt;&gt;""),'Weekly Tracker'!$F$2:$F$766),"")</f>
        <v/>
      </c>
      <c r="G540" s="16">
        <f>IF(F540&lt;&gt;"",LOOKUP(2,1/('Weekly Tracker'!$E$2:$E$766=$A540)/('Weekly Tracker'!$F$2:$F$766&lt;&gt;""),'Weekly Tracker'!$G$2:$G$766),"")</f>
        <v/>
      </c>
      <c r="H540" s="9">
        <f>IFERROR(LOOKUP(2,1/('Weekly Tracker'!$E$2:$E$766=$A540)/('Weekly Tracker'!$H$2:$H$766&lt;&gt;""),'Weekly Tracker'!$H$2:$H$766),"")</f>
        <v/>
      </c>
      <c r="I540" s="16">
        <f>IF(H540&lt;&gt;"",LOOKUP(2,1/('Weekly Tracker'!$E$2:$E$766=$A540)/('Weekly Tracker'!$H$2:$H$766&lt;&gt;""),'Weekly Tracker'!$I$2:$I$766),"")</f>
        <v/>
      </c>
      <c r="J540" s="9">
        <f>IFERROR(LOOKUP(2,1/('Weekly Tracker'!$E$2:$E$766=$A540)/('Weekly Tracker'!$J$2:$J$766&lt;&gt;""),'Weekly Tracker'!$J$2:$J$766),"")</f>
        <v/>
      </c>
      <c r="K540" s="9">
        <f>IFERROR(LOOKUP(2,1/('Weekly Tracker'!$E$2:$E$766=$A540)/('Weekly Tracker'!$N$2:$N$766&lt;&gt;""),'Weekly Tracker'!$N$2:$N$766),"")</f>
        <v/>
      </c>
      <c r="L540" s="9">
        <f>IFERROR(LOOKUP(2,1/('Weekly Tracker'!$E$2:$E$766=$A540)/('Weekly Tracker'!$O$2:$O$766&lt;&gt;""),'Weekly Tracker'!$O$2:$O$766),"")</f>
        <v/>
      </c>
    </row>
    <row r="541">
      <c r="A541" s="9" t="inlineStr">
        <is>
          <t>KaniRaj Scl</t>
        </is>
      </c>
      <c r="B541" s="9" t="inlineStr">
        <is>
          <t>919600319406</t>
        </is>
      </c>
      <c r="C541" s="9" t="n"/>
      <c r="D541" s="9" t="n"/>
      <c r="E541" s="9" t="n"/>
      <c r="F541" s="9">
        <f>IFERROR(LOOKUP(2,1/('Weekly Tracker'!$E$2:$E$766=$A541)/('Weekly Tracker'!$F$2:$F$766&lt;&gt;""),'Weekly Tracker'!$F$2:$F$766),"")</f>
        <v/>
      </c>
      <c r="G541" s="16">
        <f>IF(F541&lt;&gt;"",LOOKUP(2,1/('Weekly Tracker'!$E$2:$E$766=$A541)/('Weekly Tracker'!$F$2:$F$766&lt;&gt;""),'Weekly Tracker'!$G$2:$G$766),"")</f>
        <v/>
      </c>
      <c r="H541" s="9">
        <f>IFERROR(LOOKUP(2,1/('Weekly Tracker'!$E$2:$E$766=$A541)/('Weekly Tracker'!$H$2:$H$766&lt;&gt;""),'Weekly Tracker'!$H$2:$H$766),"")</f>
        <v/>
      </c>
      <c r="I541" s="16">
        <f>IF(H541&lt;&gt;"",LOOKUP(2,1/('Weekly Tracker'!$E$2:$E$766=$A541)/('Weekly Tracker'!$H$2:$H$766&lt;&gt;""),'Weekly Tracker'!$I$2:$I$766),"")</f>
        <v/>
      </c>
      <c r="J541" s="9">
        <f>IFERROR(LOOKUP(2,1/('Weekly Tracker'!$E$2:$E$766=$A541)/('Weekly Tracker'!$J$2:$J$766&lt;&gt;""),'Weekly Tracker'!$J$2:$J$766),"")</f>
        <v/>
      </c>
      <c r="K541" s="9">
        <f>IFERROR(LOOKUP(2,1/('Weekly Tracker'!$E$2:$E$766=$A541)/('Weekly Tracker'!$N$2:$N$766&lt;&gt;""),'Weekly Tracker'!$N$2:$N$766),"")</f>
        <v/>
      </c>
      <c r="L541" s="9">
        <f>IFERROR(LOOKUP(2,1/('Weekly Tracker'!$E$2:$E$766=$A541)/('Weekly Tracker'!$O$2:$O$766&lt;&gt;""),'Weekly Tracker'!$O$2:$O$766),"")</f>
        <v/>
      </c>
    </row>
    <row r="542">
      <c r="A542" s="9" t="inlineStr">
        <is>
          <t>Suryaraja Ford</t>
        </is>
      </c>
      <c r="B542" s="9" t="inlineStr">
        <is>
          <t>7667077788</t>
        </is>
      </c>
      <c r="C542" s="9" t="n"/>
      <c r="D542" s="9" t="n"/>
      <c r="E542" s="9" t="n"/>
      <c r="F542" s="9">
        <f>IFERROR(LOOKUP(2,1/('Weekly Tracker'!$E$2:$E$766=$A542)/('Weekly Tracker'!$F$2:$F$766&lt;&gt;""),'Weekly Tracker'!$F$2:$F$766),"")</f>
        <v/>
      </c>
      <c r="G542" s="16">
        <f>IF(F542&lt;&gt;"",LOOKUP(2,1/('Weekly Tracker'!$E$2:$E$766=$A542)/('Weekly Tracker'!$F$2:$F$766&lt;&gt;""),'Weekly Tracker'!$G$2:$G$766),"")</f>
        <v/>
      </c>
      <c r="H542" s="9">
        <f>IFERROR(LOOKUP(2,1/('Weekly Tracker'!$E$2:$E$766=$A542)/('Weekly Tracker'!$H$2:$H$766&lt;&gt;""),'Weekly Tracker'!$H$2:$H$766),"")</f>
        <v/>
      </c>
      <c r="I542" s="16">
        <f>IF(H542&lt;&gt;"",LOOKUP(2,1/('Weekly Tracker'!$E$2:$E$766=$A542)/('Weekly Tracker'!$H$2:$H$766&lt;&gt;""),'Weekly Tracker'!$I$2:$I$766),"")</f>
        <v/>
      </c>
      <c r="J542" s="9">
        <f>IFERROR(LOOKUP(2,1/('Weekly Tracker'!$E$2:$E$766=$A542)/('Weekly Tracker'!$J$2:$J$766&lt;&gt;""),'Weekly Tracker'!$J$2:$J$766),"")</f>
        <v/>
      </c>
      <c r="K542" s="9">
        <f>IFERROR(LOOKUP(2,1/('Weekly Tracker'!$E$2:$E$766=$A542)/('Weekly Tracker'!$N$2:$N$766&lt;&gt;""),'Weekly Tracker'!$N$2:$N$766),"")</f>
        <v/>
      </c>
      <c r="L542" s="9">
        <f>IFERROR(LOOKUP(2,1/('Weekly Tracker'!$E$2:$E$766=$A542)/('Weekly Tracker'!$O$2:$O$766&lt;&gt;""),'Weekly Tracker'!$O$2:$O$766),"")</f>
        <v/>
      </c>
    </row>
    <row r="543">
      <c r="A543" s="9" t="inlineStr">
        <is>
          <t>Fazil Sharks FB</t>
        </is>
      </c>
      <c r="B543" s="9" t="inlineStr">
        <is>
          <t>9159614428</t>
        </is>
      </c>
      <c r="C543" s="9" t="n"/>
      <c r="D543" s="9" t="n"/>
      <c r="E543" s="9" t="n"/>
      <c r="F543" s="9">
        <f>IFERROR(LOOKUP(2,1/('Weekly Tracker'!$E$2:$E$766=$A543)/('Weekly Tracker'!$F$2:$F$766&lt;&gt;""),'Weekly Tracker'!$F$2:$F$766),"")</f>
        <v/>
      </c>
      <c r="G543" s="16">
        <f>IF(F543&lt;&gt;"",LOOKUP(2,1/('Weekly Tracker'!$E$2:$E$766=$A543)/('Weekly Tracker'!$F$2:$F$766&lt;&gt;""),'Weekly Tracker'!$G$2:$G$766),"")</f>
        <v/>
      </c>
      <c r="H543" s="9">
        <f>IFERROR(LOOKUP(2,1/('Weekly Tracker'!$E$2:$E$766=$A543)/('Weekly Tracker'!$H$2:$H$766&lt;&gt;""),'Weekly Tracker'!$H$2:$H$766),"")</f>
        <v/>
      </c>
      <c r="I543" s="16">
        <f>IF(H543&lt;&gt;"",LOOKUP(2,1/('Weekly Tracker'!$E$2:$E$766=$A543)/('Weekly Tracker'!$H$2:$H$766&lt;&gt;""),'Weekly Tracker'!$I$2:$I$766),"")</f>
        <v/>
      </c>
      <c r="J543" s="9">
        <f>IFERROR(LOOKUP(2,1/('Weekly Tracker'!$E$2:$E$766=$A543)/('Weekly Tracker'!$J$2:$J$766&lt;&gt;""),'Weekly Tracker'!$J$2:$J$766),"")</f>
        <v/>
      </c>
      <c r="K543" s="9">
        <f>IFERROR(LOOKUP(2,1/('Weekly Tracker'!$E$2:$E$766=$A543)/('Weekly Tracker'!$N$2:$N$766&lt;&gt;""),'Weekly Tracker'!$N$2:$N$766),"")</f>
        <v/>
      </c>
      <c r="L543" s="9">
        <f>IFERROR(LOOKUP(2,1/('Weekly Tracker'!$E$2:$E$766=$A543)/('Weekly Tracker'!$O$2:$O$766&lt;&gt;""),'Weekly Tracker'!$O$2:$O$766),"")</f>
        <v/>
      </c>
    </row>
    <row r="544">
      <c r="A544" s="9" t="inlineStr">
        <is>
          <t>Soundar Rajan Fb</t>
        </is>
      </c>
      <c r="B544" s="9" t="inlineStr">
        <is>
          <t>9092800807</t>
        </is>
      </c>
      <c r="C544" s="9" t="n"/>
      <c r="D544" s="9" t="n"/>
      <c r="E544" s="9" t="n"/>
      <c r="F544" s="9">
        <f>IFERROR(LOOKUP(2,1/('Weekly Tracker'!$E$2:$E$766=$A544)/('Weekly Tracker'!$F$2:$F$766&lt;&gt;""),'Weekly Tracker'!$F$2:$F$766),"")</f>
        <v/>
      </c>
      <c r="G544" s="16">
        <f>IF(F544&lt;&gt;"",LOOKUP(2,1/('Weekly Tracker'!$E$2:$E$766=$A544)/('Weekly Tracker'!$F$2:$F$766&lt;&gt;""),'Weekly Tracker'!$G$2:$G$766),"")</f>
        <v/>
      </c>
      <c r="H544" s="9">
        <f>IFERROR(LOOKUP(2,1/('Weekly Tracker'!$E$2:$E$766=$A544)/('Weekly Tracker'!$H$2:$H$766&lt;&gt;""),'Weekly Tracker'!$H$2:$H$766),"")</f>
        <v/>
      </c>
      <c r="I544" s="16">
        <f>IF(H544&lt;&gt;"",LOOKUP(2,1/('Weekly Tracker'!$E$2:$E$766=$A544)/('Weekly Tracker'!$H$2:$H$766&lt;&gt;""),'Weekly Tracker'!$I$2:$I$766),"")</f>
        <v/>
      </c>
      <c r="J544" s="9">
        <f>IFERROR(LOOKUP(2,1/('Weekly Tracker'!$E$2:$E$766=$A544)/('Weekly Tracker'!$J$2:$J$766&lt;&gt;""),'Weekly Tracker'!$J$2:$J$766),"")</f>
        <v/>
      </c>
      <c r="K544" s="9">
        <f>IFERROR(LOOKUP(2,1/('Weekly Tracker'!$E$2:$E$766=$A544)/('Weekly Tracker'!$N$2:$N$766&lt;&gt;""),'Weekly Tracker'!$N$2:$N$766),"")</f>
        <v/>
      </c>
      <c r="L544" s="9">
        <f>IFERROR(LOOKUP(2,1/('Weekly Tracker'!$E$2:$E$766=$A544)/('Weekly Tracker'!$O$2:$O$766&lt;&gt;""),'Weekly Tracker'!$O$2:$O$766),"")</f>
        <v/>
      </c>
    </row>
    <row r="545">
      <c r="A545" s="9" t="inlineStr">
        <is>
          <t>RAMG Ucen</t>
        </is>
      </c>
      <c r="B545" s="9" t="inlineStr">
        <is>
          <t>918870753526</t>
        </is>
      </c>
      <c r="C545" s="9" t="n"/>
      <c r="D545" s="9" t="n"/>
      <c r="E545" s="9" t="n"/>
      <c r="F545" s="9">
        <f>IFERROR(LOOKUP(2,1/('Weekly Tracker'!$E$2:$E$766=$A545)/('Weekly Tracker'!$F$2:$F$766&lt;&gt;""),'Weekly Tracker'!$F$2:$F$766),"")</f>
        <v/>
      </c>
      <c r="G545" s="16">
        <f>IF(F545&lt;&gt;"",LOOKUP(2,1/('Weekly Tracker'!$E$2:$E$766=$A545)/('Weekly Tracker'!$F$2:$F$766&lt;&gt;""),'Weekly Tracker'!$G$2:$G$766),"")</f>
        <v/>
      </c>
      <c r="H545" s="9">
        <f>IFERROR(LOOKUP(2,1/('Weekly Tracker'!$E$2:$E$766=$A545)/('Weekly Tracker'!$H$2:$H$766&lt;&gt;""),'Weekly Tracker'!$H$2:$H$766),"")</f>
        <v/>
      </c>
      <c r="I545" s="16">
        <f>IF(H545&lt;&gt;"",LOOKUP(2,1/('Weekly Tracker'!$E$2:$E$766=$A545)/('Weekly Tracker'!$H$2:$H$766&lt;&gt;""),'Weekly Tracker'!$I$2:$I$766),"")</f>
        <v/>
      </c>
      <c r="J545" s="9">
        <f>IFERROR(LOOKUP(2,1/('Weekly Tracker'!$E$2:$E$766=$A545)/('Weekly Tracker'!$J$2:$J$766&lt;&gt;""),'Weekly Tracker'!$J$2:$J$766),"")</f>
        <v/>
      </c>
      <c r="K545" s="9">
        <f>IFERROR(LOOKUP(2,1/('Weekly Tracker'!$E$2:$E$766=$A545)/('Weekly Tracker'!$N$2:$N$766&lt;&gt;""),'Weekly Tracker'!$N$2:$N$766),"")</f>
        <v/>
      </c>
      <c r="L545" s="9">
        <f>IFERROR(LOOKUP(2,1/('Weekly Tracker'!$E$2:$E$766=$A545)/('Weekly Tracker'!$O$2:$O$766&lt;&gt;""),'Weekly Tracker'!$O$2:$O$766),"")</f>
        <v/>
      </c>
    </row>
    <row r="546">
      <c r="A546" s="9" t="inlineStr">
        <is>
          <t>Yogi(s</t>
        </is>
      </c>
      <c r="B546" s="9" t="inlineStr">
        <is>
          <t>918124293993</t>
        </is>
      </c>
      <c r="C546" s="9" t="n"/>
      <c r="D546" s="9" t="n"/>
      <c r="E546" s="9" t="n"/>
      <c r="F546" s="9">
        <f>IFERROR(LOOKUP(2,1/('Weekly Tracker'!$E$2:$E$766=$A546)/('Weekly Tracker'!$F$2:$F$766&lt;&gt;""),'Weekly Tracker'!$F$2:$F$766),"")</f>
        <v/>
      </c>
      <c r="G546" s="16">
        <f>IF(F546&lt;&gt;"",LOOKUP(2,1/('Weekly Tracker'!$E$2:$E$766=$A546)/('Weekly Tracker'!$F$2:$F$766&lt;&gt;""),'Weekly Tracker'!$G$2:$G$766),"")</f>
        <v/>
      </c>
      <c r="H546" s="9">
        <f>IFERROR(LOOKUP(2,1/('Weekly Tracker'!$E$2:$E$766=$A546)/('Weekly Tracker'!$H$2:$H$766&lt;&gt;""),'Weekly Tracker'!$H$2:$H$766),"")</f>
        <v/>
      </c>
      <c r="I546" s="16">
        <f>IF(H546&lt;&gt;"",LOOKUP(2,1/('Weekly Tracker'!$E$2:$E$766=$A546)/('Weekly Tracker'!$H$2:$H$766&lt;&gt;""),'Weekly Tracker'!$I$2:$I$766),"")</f>
        <v/>
      </c>
      <c r="J546" s="9">
        <f>IFERROR(LOOKUP(2,1/('Weekly Tracker'!$E$2:$E$766=$A546)/('Weekly Tracker'!$J$2:$J$766&lt;&gt;""),'Weekly Tracker'!$J$2:$J$766),"")</f>
        <v/>
      </c>
      <c r="K546" s="9">
        <f>IFERROR(LOOKUP(2,1/('Weekly Tracker'!$E$2:$E$766=$A546)/('Weekly Tracker'!$N$2:$N$766&lt;&gt;""),'Weekly Tracker'!$N$2:$N$766),"")</f>
        <v/>
      </c>
      <c r="L546" s="9">
        <f>IFERROR(LOOKUP(2,1/('Weekly Tracker'!$E$2:$E$766=$A546)/('Weekly Tracker'!$O$2:$O$766&lt;&gt;""),'Weekly Tracker'!$O$2:$O$766),"")</f>
        <v/>
      </c>
    </row>
    <row r="547">
      <c r="A547" s="9" t="inlineStr">
        <is>
          <t>Sanjay HDFC</t>
        </is>
      </c>
      <c r="B547" s="9" t="inlineStr">
        <is>
          <t>919176165395</t>
        </is>
      </c>
      <c r="C547" s="9" t="n"/>
      <c r="D547" s="9" t="n"/>
      <c r="E547" s="9" t="n"/>
      <c r="F547" s="9">
        <f>IFERROR(LOOKUP(2,1/('Weekly Tracker'!$E$2:$E$766=$A547)/('Weekly Tracker'!$F$2:$F$766&lt;&gt;""),'Weekly Tracker'!$F$2:$F$766),"")</f>
        <v/>
      </c>
      <c r="G547" s="16">
        <f>IF(F547&lt;&gt;"",LOOKUP(2,1/('Weekly Tracker'!$E$2:$E$766=$A547)/('Weekly Tracker'!$F$2:$F$766&lt;&gt;""),'Weekly Tracker'!$G$2:$G$766),"")</f>
        <v/>
      </c>
      <c r="H547" s="9">
        <f>IFERROR(LOOKUP(2,1/('Weekly Tracker'!$E$2:$E$766=$A547)/('Weekly Tracker'!$H$2:$H$766&lt;&gt;""),'Weekly Tracker'!$H$2:$H$766),"")</f>
        <v/>
      </c>
      <c r="I547" s="16">
        <f>IF(H547&lt;&gt;"",LOOKUP(2,1/('Weekly Tracker'!$E$2:$E$766=$A547)/('Weekly Tracker'!$H$2:$H$766&lt;&gt;""),'Weekly Tracker'!$I$2:$I$766),"")</f>
        <v/>
      </c>
      <c r="J547" s="9">
        <f>IFERROR(LOOKUP(2,1/('Weekly Tracker'!$E$2:$E$766=$A547)/('Weekly Tracker'!$J$2:$J$766&lt;&gt;""),'Weekly Tracker'!$J$2:$J$766),"")</f>
        <v/>
      </c>
      <c r="K547" s="9">
        <f>IFERROR(LOOKUP(2,1/('Weekly Tracker'!$E$2:$E$766=$A547)/('Weekly Tracker'!$N$2:$N$766&lt;&gt;""),'Weekly Tracker'!$N$2:$N$766),"")</f>
        <v/>
      </c>
      <c r="L547" s="9">
        <f>IFERROR(LOOKUP(2,1/('Weekly Tracker'!$E$2:$E$766=$A547)/('Weekly Tracker'!$O$2:$O$766&lt;&gt;""),'Weekly Tracker'!$O$2:$O$766),"")</f>
        <v/>
      </c>
    </row>
    <row r="548">
      <c r="A548" s="9" t="inlineStr">
        <is>
          <t>Balu Water</t>
        </is>
      </c>
      <c r="B548" s="9" t="inlineStr">
        <is>
          <t>6369-875600</t>
        </is>
      </c>
      <c r="C548" s="9" t="n"/>
      <c r="D548" s="9" t="n"/>
      <c r="E548" s="9" t="n"/>
      <c r="F548" s="9">
        <f>IFERROR(LOOKUP(2,1/('Weekly Tracker'!$E$2:$E$766=$A548)/('Weekly Tracker'!$F$2:$F$766&lt;&gt;""),'Weekly Tracker'!$F$2:$F$766),"")</f>
        <v/>
      </c>
      <c r="G548" s="16">
        <f>IF(F548&lt;&gt;"",LOOKUP(2,1/('Weekly Tracker'!$E$2:$E$766=$A548)/('Weekly Tracker'!$F$2:$F$766&lt;&gt;""),'Weekly Tracker'!$G$2:$G$766),"")</f>
        <v/>
      </c>
      <c r="H548" s="9">
        <f>IFERROR(LOOKUP(2,1/('Weekly Tracker'!$E$2:$E$766=$A548)/('Weekly Tracker'!$H$2:$H$766&lt;&gt;""),'Weekly Tracker'!$H$2:$H$766),"")</f>
        <v/>
      </c>
      <c r="I548" s="16">
        <f>IF(H548&lt;&gt;"",LOOKUP(2,1/('Weekly Tracker'!$E$2:$E$766=$A548)/('Weekly Tracker'!$H$2:$H$766&lt;&gt;""),'Weekly Tracker'!$I$2:$I$766),"")</f>
        <v/>
      </c>
      <c r="J548" s="9">
        <f>IFERROR(LOOKUP(2,1/('Weekly Tracker'!$E$2:$E$766=$A548)/('Weekly Tracker'!$J$2:$J$766&lt;&gt;""),'Weekly Tracker'!$J$2:$J$766),"")</f>
        <v/>
      </c>
      <c r="K548" s="9">
        <f>IFERROR(LOOKUP(2,1/('Weekly Tracker'!$E$2:$E$766=$A548)/('Weekly Tracker'!$N$2:$N$766&lt;&gt;""),'Weekly Tracker'!$N$2:$N$766),"")</f>
        <v/>
      </c>
      <c r="L548" s="9">
        <f>IFERROR(LOOKUP(2,1/('Weekly Tracker'!$E$2:$E$766=$A548)/('Weekly Tracker'!$O$2:$O$766&lt;&gt;""),'Weekly Tracker'!$O$2:$O$766),"")</f>
        <v/>
      </c>
    </row>
    <row r="549">
      <c r="A549" s="9" t="inlineStr">
        <is>
          <t>Hari Veni FB</t>
        </is>
      </c>
      <c r="B549" s="9" t="inlineStr">
        <is>
          <t>7708737712</t>
        </is>
      </c>
      <c r="C549" s="9" t="n"/>
      <c r="D549" s="9" t="n"/>
      <c r="E549" s="9" t="n"/>
      <c r="F549" s="9">
        <f>IFERROR(LOOKUP(2,1/('Weekly Tracker'!$E$2:$E$766=$A549)/('Weekly Tracker'!$F$2:$F$766&lt;&gt;""),'Weekly Tracker'!$F$2:$F$766),"")</f>
        <v/>
      </c>
      <c r="G549" s="16">
        <f>IF(F549&lt;&gt;"",LOOKUP(2,1/('Weekly Tracker'!$E$2:$E$766=$A549)/('Weekly Tracker'!$F$2:$F$766&lt;&gt;""),'Weekly Tracker'!$G$2:$G$766),"")</f>
        <v/>
      </c>
      <c r="H549" s="9">
        <f>IFERROR(LOOKUP(2,1/('Weekly Tracker'!$E$2:$E$766=$A549)/('Weekly Tracker'!$H$2:$H$766&lt;&gt;""),'Weekly Tracker'!$H$2:$H$766),"")</f>
        <v/>
      </c>
      <c r="I549" s="16">
        <f>IF(H549&lt;&gt;"",LOOKUP(2,1/('Weekly Tracker'!$E$2:$E$766=$A549)/('Weekly Tracker'!$H$2:$H$766&lt;&gt;""),'Weekly Tracker'!$I$2:$I$766),"")</f>
        <v/>
      </c>
      <c r="J549" s="9">
        <f>IFERROR(LOOKUP(2,1/('Weekly Tracker'!$E$2:$E$766=$A549)/('Weekly Tracker'!$J$2:$J$766&lt;&gt;""),'Weekly Tracker'!$J$2:$J$766),"")</f>
        <v/>
      </c>
      <c r="K549" s="9">
        <f>IFERROR(LOOKUP(2,1/('Weekly Tracker'!$E$2:$E$766=$A549)/('Weekly Tracker'!$N$2:$N$766&lt;&gt;""),'Weekly Tracker'!$N$2:$N$766),"")</f>
        <v/>
      </c>
      <c r="L549" s="9">
        <f>IFERROR(LOOKUP(2,1/('Weekly Tracker'!$E$2:$E$766=$A549)/('Weekly Tracker'!$O$2:$O$766&lt;&gt;""),'Weekly Tracker'!$O$2:$O$766),"")</f>
        <v/>
      </c>
    </row>
    <row r="550">
      <c r="A550" s="9" t="inlineStr">
        <is>
          <t>Thesingh Raja FB</t>
        </is>
      </c>
      <c r="B550" s="9" t="inlineStr">
        <is>
          <t>919751166398</t>
        </is>
      </c>
      <c r="C550" s="9" t="n"/>
      <c r="D550" s="9" t="n"/>
      <c r="E550" s="9" t="n"/>
      <c r="F550" s="9">
        <f>IFERROR(LOOKUP(2,1/('Weekly Tracker'!$E$2:$E$766=$A550)/('Weekly Tracker'!$F$2:$F$766&lt;&gt;""),'Weekly Tracker'!$F$2:$F$766),"")</f>
        <v/>
      </c>
      <c r="G550" s="16">
        <f>IF(F550&lt;&gt;"",LOOKUP(2,1/('Weekly Tracker'!$E$2:$E$766=$A550)/('Weekly Tracker'!$F$2:$F$766&lt;&gt;""),'Weekly Tracker'!$G$2:$G$766),"")</f>
        <v/>
      </c>
      <c r="H550" s="9">
        <f>IFERROR(LOOKUP(2,1/('Weekly Tracker'!$E$2:$E$766=$A550)/('Weekly Tracker'!$H$2:$H$766&lt;&gt;""),'Weekly Tracker'!$H$2:$H$766),"")</f>
        <v/>
      </c>
      <c r="I550" s="16">
        <f>IF(H550&lt;&gt;"",LOOKUP(2,1/('Weekly Tracker'!$E$2:$E$766=$A550)/('Weekly Tracker'!$H$2:$H$766&lt;&gt;""),'Weekly Tracker'!$I$2:$I$766),"")</f>
        <v/>
      </c>
      <c r="J550" s="9">
        <f>IFERROR(LOOKUP(2,1/('Weekly Tracker'!$E$2:$E$766=$A550)/('Weekly Tracker'!$J$2:$J$766&lt;&gt;""),'Weekly Tracker'!$J$2:$J$766),"")</f>
        <v/>
      </c>
      <c r="K550" s="9">
        <f>IFERROR(LOOKUP(2,1/('Weekly Tracker'!$E$2:$E$766=$A550)/('Weekly Tracker'!$N$2:$N$766&lt;&gt;""),'Weekly Tracker'!$N$2:$N$766),"")</f>
        <v/>
      </c>
      <c r="L550" s="9">
        <f>IFERROR(LOOKUP(2,1/('Weekly Tracker'!$E$2:$E$766=$A550)/('Weekly Tracker'!$O$2:$O$766&lt;&gt;""),'Weekly Tracker'!$O$2:$O$766),"")</f>
        <v/>
      </c>
    </row>
    <row r="551">
      <c r="A551" s="9" t="inlineStr">
        <is>
          <t>Mahesh R Home</t>
        </is>
      </c>
      <c r="B551" s="9" t="inlineStr">
        <is>
          <t>919444509510</t>
        </is>
      </c>
      <c r="C551" s="9" t="n"/>
      <c r="D551" s="9" t="n"/>
      <c r="E551" s="9" t="n"/>
      <c r="F551" s="9">
        <f>IFERROR(LOOKUP(2,1/('Weekly Tracker'!$E$2:$E$766=$A551)/('Weekly Tracker'!$F$2:$F$766&lt;&gt;""),'Weekly Tracker'!$F$2:$F$766),"")</f>
        <v/>
      </c>
      <c r="G551" s="16">
        <f>IF(F551&lt;&gt;"",LOOKUP(2,1/('Weekly Tracker'!$E$2:$E$766=$A551)/('Weekly Tracker'!$F$2:$F$766&lt;&gt;""),'Weekly Tracker'!$G$2:$G$766),"")</f>
        <v/>
      </c>
      <c r="H551" s="9">
        <f>IFERROR(LOOKUP(2,1/('Weekly Tracker'!$E$2:$E$766=$A551)/('Weekly Tracker'!$H$2:$H$766&lt;&gt;""),'Weekly Tracker'!$H$2:$H$766),"")</f>
        <v/>
      </c>
      <c r="I551" s="16">
        <f>IF(H551&lt;&gt;"",LOOKUP(2,1/('Weekly Tracker'!$E$2:$E$766=$A551)/('Weekly Tracker'!$H$2:$H$766&lt;&gt;""),'Weekly Tracker'!$I$2:$I$766),"")</f>
        <v/>
      </c>
      <c r="J551" s="9">
        <f>IFERROR(LOOKUP(2,1/('Weekly Tracker'!$E$2:$E$766=$A551)/('Weekly Tracker'!$J$2:$J$766&lt;&gt;""),'Weekly Tracker'!$J$2:$J$766),"")</f>
        <v/>
      </c>
      <c r="K551" s="9">
        <f>IFERROR(LOOKUP(2,1/('Weekly Tracker'!$E$2:$E$766=$A551)/('Weekly Tracker'!$N$2:$N$766&lt;&gt;""),'Weekly Tracker'!$N$2:$N$766),"")</f>
        <v/>
      </c>
      <c r="L551" s="9">
        <f>IFERROR(LOOKUP(2,1/('Weekly Tracker'!$E$2:$E$766=$A551)/('Weekly Tracker'!$O$2:$O$766&lt;&gt;""),'Weekly Tracker'!$O$2:$O$766),"")</f>
        <v/>
      </c>
    </row>
    <row r="552">
      <c r="A552" s="9" t="inlineStr">
        <is>
          <t>Masthan Reddy HCL</t>
        </is>
      </c>
      <c r="B552" s="9" t="inlineStr">
        <is>
          <t>9248677993</t>
        </is>
      </c>
      <c r="C552" s="9" t="n"/>
      <c r="D552" s="9" t="n"/>
      <c r="E552" s="9" t="n"/>
      <c r="F552" s="9">
        <f>IFERROR(LOOKUP(2,1/('Weekly Tracker'!$E$2:$E$766=$A552)/('Weekly Tracker'!$F$2:$F$766&lt;&gt;""),'Weekly Tracker'!$F$2:$F$766),"")</f>
        <v/>
      </c>
      <c r="G552" s="16">
        <f>IF(F552&lt;&gt;"",LOOKUP(2,1/('Weekly Tracker'!$E$2:$E$766=$A552)/('Weekly Tracker'!$F$2:$F$766&lt;&gt;""),'Weekly Tracker'!$G$2:$G$766),"")</f>
        <v/>
      </c>
      <c r="H552" s="9">
        <f>IFERROR(LOOKUP(2,1/('Weekly Tracker'!$E$2:$E$766=$A552)/('Weekly Tracker'!$H$2:$H$766&lt;&gt;""),'Weekly Tracker'!$H$2:$H$766),"")</f>
        <v/>
      </c>
      <c r="I552" s="16">
        <f>IF(H552&lt;&gt;"",LOOKUP(2,1/('Weekly Tracker'!$E$2:$E$766=$A552)/('Weekly Tracker'!$H$2:$H$766&lt;&gt;""),'Weekly Tracker'!$I$2:$I$766),"")</f>
        <v/>
      </c>
      <c r="J552" s="9">
        <f>IFERROR(LOOKUP(2,1/('Weekly Tracker'!$E$2:$E$766=$A552)/('Weekly Tracker'!$J$2:$J$766&lt;&gt;""),'Weekly Tracker'!$J$2:$J$766),"")</f>
        <v/>
      </c>
      <c r="K552" s="9">
        <f>IFERROR(LOOKUP(2,1/('Weekly Tracker'!$E$2:$E$766=$A552)/('Weekly Tracker'!$N$2:$N$766&lt;&gt;""),'Weekly Tracker'!$N$2:$N$766),"")</f>
        <v/>
      </c>
      <c r="L552" s="9">
        <f>IFERROR(LOOKUP(2,1/('Weekly Tracker'!$E$2:$E$766=$A552)/('Weekly Tracker'!$O$2:$O$766&lt;&gt;""),'Weekly Tracker'!$O$2:$O$766),"")</f>
        <v/>
      </c>
    </row>
    <row r="553">
      <c r="A553" s="9" t="inlineStr">
        <is>
          <t>Ilavarasi Suganya ECE</t>
        </is>
      </c>
      <c r="B553" s="9" t="inlineStr">
        <is>
          <t>918072400560</t>
        </is>
      </c>
      <c r="C553" s="9" t="n"/>
      <c r="D553" s="9" t="n"/>
      <c r="E553" s="9" t="n"/>
      <c r="F553" s="9">
        <f>IFERROR(LOOKUP(2,1/('Weekly Tracker'!$E$2:$E$766=$A553)/('Weekly Tracker'!$F$2:$F$766&lt;&gt;""),'Weekly Tracker'!$F$2:$F$766),"")</f>
        <v/>
      </c>
      <c r="G553" s="16">
        <f>IF(F553&lt;&gt;"",LOOKUP(2,1/('Weekly Tracker'!$E$2:$E$766=$A553)/('Weekly Tracker'!$F$2:$F$766&lt;&gt;""),'Weekly Tracker'!$G$2:$G$766),"")</f>
        <v/>
      </c>
      <c r="H553" s="9">
        <f>IFERROR(LOOKUP(2,1/('Weekly Tracker'!$E$2:$E$766=$A553)/('Weekly Tracker'!$H$2:$H$766&lt;&gt;""),'Weekly Tracker'!$H$2:$H$766),"")</f>
        <v/>
      </c>
      <c r="I553" s="16">
        <f>IF(H553&lt;&gt;"",LOOKUP(2,1/('Weekly Tracker'!$E$2:$E$766=$A553)/('Weekly Tracker'!$H$2:$H$766&lt;&gt;""),'Weekly Tracker'!$I$2:$I$766),"")</f>
        <v/>
      </c>
      <c r="J553" s="9">
        <f>IFERROR(LOOKUP(2,1/('Weekly Tracker'!$E$2:$E$766=$A553)/('Weekly Tracker'!$J$2:$J$766&lt;&gt;""),'Weekly Tracker'!$J$2:$J$766),"")</f>
        <v/>
      </c>
      <c r="K553" s="9">
        <f>IFERROR(LOOKUP(2,1/('Weekly Tracker'!$E$2:$E$766=$A553)/('Weekly Tracker'!$N$2:$N$766&lt;&gt;""),'Weekly Tracker'!$N$2:$N$766),"")</f>
        <v/>
      </c>
      <c r="L553" s="9">
        <f>IFERROR(LOOKUP(2,1/('Weekly Tracker'!$E$2:$E$766=$A553)/('Weekly Tracker'!$O$2:$O$766&lt;&gt;""),'Weekly Tracker'!$O$2:$O$766),"")</f>
        <v/>
      </c>
    </row>
    <row r="554">
      <c r="A554" s="9" t="inlineStr">
        <is>
          <t>Sudeshna Infosys</t>
        </is>
      </c>
      <c r="B554" s="9" t="inlineStr">
        <is>
          <t>919884404425</t>
        </is>
      </c>
      <c r="C554" s="9" t="n"/>
      <c r="D554" s="9" t="n"/>
      <c r="E554" s="9" t="n"/>
      <c r="F554" s="9">
        <f>IFERROR(LOOKUP(2,1/('Weekly Tracker'!$E$2:$E$766=$A554)/('Weekly Tracker'!$F$2:$F$766&lt;&gt;""),'Weekly Tracker'!$F$2:$F$766),"")</f>
        <v/>
      </c>
      <c r="G554" s="16">
        <f>IF(F554&lt;&gt;"",LOOKUP(2,1/('Weekly Tracker'!$E$2:$E$766=$A554)/('Weekly Tracker'!$F$2:$F$766&lt;&gt;""),'Weekly Tracker'!$G$2:$G$766),"")</f>
        <v/>
      </c>
      <c r="H554" s="9">
        <f>IFERROR(LOOKUP(2,1/('Weekly Tracker'!$E$2:$E$766=$A554)/('Weekly Tracker'!$H$2:$H$766&lt;&gt;""),'Weekly Tracker'!$H$2:$H$766),"")</f>
        <v/>
      </c>
      <c r="I554" s="16">
        <f>IF(H554&lt;&gt;"",LOOKUP(2,1/('Weekly Tracker'!$E$2:$E$766=$A554)/('Weekly Tracker'!$H$2:$H$766&lt;&gt;""),'Weekly Tracker'!$I$2:$I$766),"")</f>
        <v/>
      </c>
      <c r="J554" s="9">
        <f>IFERROR(LOOKUP(2,1/('Weekly Tracker'!$E$2:$E$766=$A554)/('Weekly Tracker'!$J$2:$J$766&lt;&gt;""),'Weekly Tracker'!$J$2:$J$766),"")</f>
        <v/>
      </c>
      <c r="K554" s="9">
        <f>IFERROR(LOOKUP(2,1/('Weekly Tracker'!$E$2:$E$766=$A554)/('Weekly Tracker'!$N$2:$N$766&lt;&gt;""),'Weekly Tracker'!$N$2:$N$766),"")</f>
        <v/>
      </c>
      <c r="L554" s="9">
        <f>IFERROR(LOOKUP(2,1/('Weekly Tracker'!$E$2:$E$766=$A554)/('Weekly Tracker'!$O$2:$O$766&lt;&gt;""),'Weekly Tracker'!$O$2:$O$766),"")</f>
        <v/>
      </c>
    </row>
    <row r="555">
      <c r="A555" s="9" t="inlineStr">
        <is>
          <t>Janardhan Gopal FB</t>
        </is>
      </c>
      <c r="B555" s="9" t="inlineStr">
        <is>
          <t>919884047874</t>
        </is>
      </c>
      <c r="C555" s="9" t="n"/>
      <c r="D555" s="9" t="n"/>
      <c r="E555" s="9" t="n"/>
      <c r="F555" s="9">
        <f>IFERROR(LOOKUP(2,1/('Weekly Tracker'!$E$2:$E$766=$A555)/('Weekly Tracker'!$F$2:$F$766&lt;&gt;""),'Weekly Tracker'!$F$2:$F$766),"")</f>
        <v/>
      </c>
      <c r="G555" s="16">
        <f>IF(F555&lt;&gt;"",LOOKUP(2,1/('Weekly Tracker'!$E$2:$E$766=$A555)/('Weekly Tracker'!$F$2:$F$766&lt;&gt;""),'Weekly Tracker'!$G$2:$G$766),"")</f>
        <v/>
      </c>
      <c r="H555" s="9">
        <f>IFERROR(LOOKUP(2,1/('Weekly Tracker'!$E$2:$E$766=$A555)/('Weekly Tracker'!$H$2:$H$766&lt;&gt;""),'Weekly Tracker'!$H$2:$H$766),"")</f>
        <v/>
      </c>
      <c r="I555" s="16">
        <f>IF(H555&lt;&gt;"",LOOKUP(2,1/('Weekly Tracker'!$E$2:$E$766=$A555)/('Weekly Tracker'!$H$2:$H$766&lt;&gt;""),'Weekly Tracker'!$I$2:$I$766),"")</f>
        <v/>
      </c>
      <c r="J555" s="9">
        <f>IFERROR(LOOKUP(2,1/('Weekly Tracker'!$E$2:$E$766=$A555)/('Weekly Tracker'!$J$2:$J$766&lt;&gt;""),'Weekly Tracker'!$J$2:$J$766),"")</f>
        <v/>
      </c>
      <c r="K555" s="9">
        <f>IFERROR(LOOKUP(2,1/('Weekly Tracker'!$E$2:$E$766=$A555)/('Weekly Tracker'!$N$2:$N$766&lt;&gt;""),'Weekly Tracker'!$N$2:$N$766),"")</f>
        <v/>
      </c>
      <c r="L555" s="9">
        <f>IFERROR(LOOKUP(2,1/('Weekly Tracker'!$E$2:$E$766=$A555)/('Weekly Tracker'!$O$2:$O$766&lt;&gt;""),'Weekly Tracker'!$O$2:$O$766),"")</f>
        <v/>
      </c>
    </row>
    <row r="556">
      <c r="A556" s="9" t="inlineStr">
        <is>
          <t>Prem D4V</t>
        </is>
      </c>
      <c r="B556" s="9" t="inlineStr">
        <is>
          <t>919789889308</t>
        </is>
      </c>
      <c r="C556" s="9" t="n"/>
      <c r="D556" s="9" t="n"/>
      <c r="E556" s="9" t="n"/>
      <c r="F556" s="9">
        <f>IFERROR(LOOKUP(2,1/('Weekly Tracker'!$E$2:$E$766=$A556)/('Weekly Tracker'!$F$2:$F$766&lt;&gt;""),'Weekly Tracker'!$F$2:$F$766),"")</f>
        <v/>
      </c>
      <c r="G556" s="16">
        <f>IF(F556&lt;&gt;"",LOOKUP(2,1/('Weekly Tracker'!$E$2:$E$766=$A556)/('Weekly Tracker'!$F$2:$F$766&lt;&gt;""),'Weekly Tracker'!$G$2:$G$766),"")</f>
        <v/>
      </c>
      <c r="H556" s="9">
        <f>IFERROR(LOOKUP(2,1/('Weekly Tracker'!$E$2:$E$766=$A556)/('Weekly Tracker'!$H$2:$H$766&lt;&gt;""),'Weekly Tracker'!$H$2:$H$766),"")</f>
        <v/>
      </c>
      <c r="I556" s="16">
        <f>IF(H556&lt;&gt;"",LOOKUP(2,1/('Weekly Tracker'!$E$2:$E$766=$A556)/('Weekly Tracker'!$H$2:$H$766&lt;&gt;""),'Weekly Tracker'!$I$2:$I$766),"")</f>
        <v/>
      </c>
      <c r="J556" s="9">
        <f>IFERROR(LOOKUP(2,1/('Weekly Tracker'!$E$2:$E$766=$A556)/('Weekly Tracker'!$J$2:$J$766&lt;&gt;""),'Weekly Tracker'!$J$2:$J$766),"")</f>
        <v/>
      </c>
      <c r="K556" s="9">
        <f>IFERROR(LOOKUP(2,1/('Weekly Tracker'!$E$2:$E$766=$A556)/('Weekly Tracker'!$N$2:$N$766&lt;&gt;""),'Weekly Tracker'!$N$2:$N$766),"")</f>
        <v/>
      </c>
      <c r="L556" s="9">
        <f>IFERROR(LOOKUP(2,1/('Weekly Tracker'!$E$2:$E$766=$A556)/('Weekly Tracker'!$O$2:$O$766&lt;&gt;""),'Weekly Tracker'!$O$2:$O$766),"")</f>
        <v/>
      </c>
    </row>
    <row r="557">
      <c r="A557" s="9" t="inlineStr">
        <is>
          <t>Indira_Kumar Mech</t>
        </is>
      </c>
      <c r="B557" s="9" t="inlineStr">
        <is>
          <t>919677469117</t>
        </is>
      </c>
      <c r="C557" s="9" t="n"/>
      <c r="D557" s="9" t="n"/>
      <c r="E557" s="9" t="n"/>
      <c r="F557" s="9">
        <f>IFERROR(LOOKUP(2,1/('Weekly Tracker'!$E$2:$E$766=$A557)/('Weekly Tracker'!$F$2:$F$766&lt;&gt;""),'Weekly Tracker'!$F$2:$F$766),"")</f>
        <v/>
      </c>
      <c r="G557" s="16">
        <f>IF(F557&lt;&gt;"",LOOKUP(2,1/('Weekly Tracker'!$E$2:$E$766=$A557)/('Weekly Tracker'!$F$2:$F$766&lt;&gt;""),'Weekly Tracker'!$G$2:$G$766),"")</f>
        <v/>
      </c>
      <c r="H557" s="9">
        <f>IFERROR(LOOKUP(2,1/('Weekly Tracker'!$E$2:$E$766=$A557)/('Weekly Tracker'!$H$2:$H$766&lt;&gt;""),'Weekly Tracker'!$H$2:$H$766),"")</f>
        <v/>
      </c>
      <c r="I557" s="16">
        <f>IF(H557&lt;&gt;"",LOOKUP(2,1/('Weekly Tracker'!$E$2:$E$766=$A557)/('Weekly Tracker'!$H$2:$H$766&lt;&gt;""),'Weekly Tracker'!$I$2:$I$766),"")</f>
        <v/>
      </c>
      <c r="J557" s="9">
        <f>IFERROR(LOOKUP(2,1/('Weekly Tracker'!$E$2:$E$766=$A557)/('Weekly Tracker'!$J$2:$J$766&lt;&gt;""),'Weekly Tracker'!$J$2:$J$766),"")</f>
        <v/>
      </c>
      <c r="K557" s="9">
        <f>IFERROR(LOOKUP(2,1/('Weekly Tracker'!$E$2:$E$766=$A557)/('Weekly Tracker'!$N$2:$N$766&lt;&gt;""),'Weekly Tracker'!$N$2:$N$766),"")</f>
        <v/>
      </c>
      <c r="L557" s="9">
        <f>IFERROR(LOOKUP(2,1/('Weekly Tracker'!$E$2:$E$766=$A557)/('Weekly Tracker'!$O$2:$O$766&lt;&gt;""),'Weekly Tracker'!$O$2:$O$766),"")</f>
        <v/>
      </c>
    </row>
    <row r="558">
      <c r="A558" s="9" t="inlineStr">
        <is>
          <t>Ganesan Ganesen FB</t>
        </is>
      </c>
      <c r="B558" s="9" t="inlineStr">
        <is>
          <t>9843252572</t>
        </is>
      </c>
      <c r="C558" s="9" t="n"/>
      <c r="D558" s="9" t="n"/>
      <c r="E558" s="9" t="n"/>
      <c r="F558" s="9">
        <f>IFERROR(LOOKUP(2,1/('Weekly Tracker'!$E$2:$E$766=$A558)/('Weekly Tracker'!$F$2:$F$766&lt;&gt;""),'Weekly Tracker'!$F$2:$F$766),"")</f>
        <v/>
      </c>
      <c r="G558" s="16">
        <f>IF(F558&lt;&gt;"",LOOKUP(2,1/('Weekly Tracker'!$E$2:$E$766=$A558)/('Weekly Tracker'!$F$2:$F$766&lt;&gt;""),'Weekly Tracker'!$G$2:$G$766),"")</f>
        <v/>
      </c>
      <c r="H558" s="9">
        <f>IFERROR(LOOKUP(2,1/('Weekly Tracker'!$E$2:$E$766=$A558)/('Weekly Tracker'!$H$2:$H$766&lt;&gt;""),'Weekly Tracker'!$H$2:$H$766),"")</f>
        <v/>
      </c>
      <c r="I558" s="16">
        <f>IF(H558&lt;&gt;"",LOOKUP(2,1/('Weekly Tracker'!$E$2:$E$766=$A558)/('Weekly Tracker'!$H$2:$H$766&lt;&gt;""),'Weekly Tracker'!$I$2:$I$766),"")</f>
        <v/>
      </c>
      <c r="J558" s="9">
        <f>IFERROR(LOOKUP(2,1/('Weekly Tracker'!$E$2:$E$766=$A558)/('Weekly Tracker'!$J$2:$J$766&lt;&gt;""),'Weekly Tracker'!$J$2:$J$766),"")</f>
        <v/>
      </c>
      <c r="K558" s="9">
        <f>IFERROR(LOOKUP(2,1/('Weekly Tracker'!$E$2:$E$766=$A558)/('Weekly Tracker'!$N$2:$N$766&lt;&gt;""),'Weekly Tracker'!$N$2:$N$766),"")</f>
        <v/>
      </c>
      <c r="L558" s="9">
        <f>IFERROR(LOOKUP(2,1/('Weekly Tracker'!$E$2:$E$766=$A558)/('Weekly Tracker'!$O$2:$O$766&lt;&gt;""),'Weekly Tracker'!$O$2:$O$766),"")</f>
        <v/>
      </c>
    </row>
    <row r="559">
      <c r="A559" s="9" t="inlineStr">
        <is>
          <t>Vimal Antony FB</t>
        </is>
      </c>
      <c r="B559" s="9" t="inlineStr">
        <is>
          <t>9750583967</t>
        </is>
      </c>
      <c r="C559" s="9" t="n"/>
      <c r="D559" s="9" t="n"/>
      <c r="E559" s="9" t="n"/>
      <c r="F559" s="9">
        <f>IFERROR(LOOKUP(2,1/('Weekly Tracker'!$E$2:$E$766=$A559)/('Weekly Tracker'!$F$2:$F$766&lt;&gt;""),'Weekly Tracker'!$F$2:$F$766),"")</f>
        <v/>
      </c>
      <c r="G559" s="16">
        <f>IF(F559&lt;&gt;"",LOOKUP(2,1/('Weekly Tracker'!$E$2:$E$766=$A559)/('Weekly Tracker'!$F$2:$F$766&lt;&gt;""),'Weekly Tracker'!$G$2:$G$766),"")</f>
        <v/>
      </c>
      <c r="H559" s="9">
        <f>IFERROR(LOOKUP(2,1/('Weekly Tracker'!$E$2:$E$766=$A559)/('Weekly Tracker'!$H$2:$H$766&lt;&gt;""),'Weekly Tracker'!$H$2:$H$766),"")</f>
        <v/>
      </c>
      <c r="I559" s="16">
        <f>IF(H559&lt;&gt;"",LOOKUP(2,1/('Weekly Tracker'!$E$2:$E$766=$A559)/('Weekly Tracker'!$H$2:$H$766&lt;&gt;""),'Weekly Tracker'!$I$2:$I$766),"")</f>
        <v/>
      </c>
      <c r="J559" s="9">
        <f>IFERROR(LOOKUP(2,1/('Weekly Tracker'!$E$2:$E$766=$A559)/('Weekly Tracker'!$J$2:$J$766&lt;&gt;""),'Weekly Tracker'!$J$2:$J$766),"")</f>
        <v/>
      </c>
      <c r="K559" s="9">
        <f>IFERROR(LOOKUP(2,1/('Weekly Tracker'!$E$2:$E$766=$A559)/('Weekly Tracker'!$N$2:$N$766&lt;&gt;""),'Weekly Tracker'!$N$2:$N$766),"")</f>
        <v/>
      </c>
      <c r="L559" s="9">
        <f>IFERROR(LOOKUP(2,1/('Weekly Tracker'!$E$2:$E$766=$A559)/('Weekly Tracker'!$O$2:$O$766&lt;&gt;""),'Weekly Tracker'!$O$2:$O$766),"")</f>
        <v/>
      </c>
    </row>
    <row r="560">
      <c r="A560" s="9" t="inlineStr">
        <is>
          <t>Rohith Urja</t>
        </is>
      </c>
      <c r="B560" s="9" t="inlineStr">
        <is>
          <t>919444955454</t>
        </is>
      </c>
      <c r="C560" s="9" t="n"/>
      <c r="D560" s="9" t="n"/>
      <c r="E560" s="9" t="n"/>
      <c r="F560" s="9">
        <f>IFERROR(LOOKUP(2,1/('Weekly Tracker'!$E$2:$E$766=$A560)/('Weekly Tracker'!$F$2:$F$766&lt;&gt;""),'Weekly Tracker'!$F$2:$F$766),"")</f>
        <v/>
      </c>
      <c r="G560" s="16">
        <f>IF(F560&lt;&gt;"",LOOKUP(2,1/('Weekly Tracker'!$E$2:$E$766=$A560)/('Weekly Tracker'!$F$2:$F$766&lt;&gt;""),'Weekly Tracker'!$G$2:$G$766),"")</f>
        <v/>
      </c>
      <c r="H560" s="9">
        <f>IFERROR(LOOKUP(2,1/('Weekly Tracker'!$E$2:$E$766=$A560)/('Weekly Tracker'!$H$2:$H$766&lt;&gt;""),'Weekly Tracker'!$H$2:$H$766),"")</f>
        <v/>
      </c>
      <c r="I560" s="16">
        <f>IF(H560&lt;&gt;"",LOOKUP(2,1/('Weekly Tracker'!$E$2:$E$766=$A560)/('Weekly Tracker'!$H$2:$H$766&lt;&gt;""),'Weekly Tracker'!$I$2:$I$766),"")</f>
        <v/>
      </c>
      <c r="J560" s="9">
        <f>IFERROR(LOOKUP(2,1/('Weekly Tracker'!$E$2:$E$766=$A560)/('Weekly Tracker'!$J$2:$J$766&lt;&gt;""),'Weekly Tracker'!$J$2:$J$766),"")</f>
        <v/>
      </c>
      <c r="K560" s="9">
        <f>IFERROR(LOOKUP(2,1/('Weekly Tracker'!$E$2:$E$766=$A560)/('Weekly Tracker'!$N$2:$N$766&lt;&gt;""),'Weekly Tracker'!$N$2:$N$766),"")</f>
        <v/>
      </c>
      <c r="L560" s="9">
        <f>IFERROR(LOOKUP(2,1/('Weekly Tracker'!$E$2:$E$766=$A560)/('Weekly Tracker'!$O$2:$O$766&lt;&gt;""),'Weekly Tracker'!$O$2:$O$766),"")</f>
        <v/>
      </c>
    </row>
    <row r="561">
      <c r="A561" s="9" t="inlineStr">
        <is>
          <t>Kanaga Selvan FB</t>
        </is>
      </c>
      <c r="B561" s="9" t="inlineStr">
        <is>
          <t>9715792423</t>
        </is>
      </c>
      <c r="C561" s="9" t="n"/>
      <c r="D561" s="9" t="n"/>
      <c r="E561" s="9" t="n"/>
      <c r="F561" s="9">
        <f>IFERROR(LOOKUP(2,1/('Weekly Tracker'!$E$2:$E$766=$A561)/('Weekly Tracker'!$F$2:$F$766&lt;&gt;""),'Weekly Tracker'!$F$2:$F$766),"")</f>
        <v/>
      </c>
      <c r="G561" s="16">
        <f>IF(F561&lt;&gt;"",LOOKUP(2,1/('Weekly Tracker'!$E$2:$E$766=$A561)/('Weekly Tracker'!$F$2:$F$766&lt;&gt;""),'Weekly Tracker'!$G$2:$G$766),"")</f>
        <v/>
      </c>
      <c r="H561" s="9">
        <f>IFERROR(LOOKUP(2,1/('Weekly Tracker'!$E$2:$E$766=$A561)/('Weekly Tracker'!$H$2:$H$766&lt;&gt;""),'Weekly Tracker'!$H$2:$H$766),"")</f>
        <v/>
      </c>
      <c r="I561" s="16">
        <f>IF(H561&lt;&gt;"",LOOKUP(2,1/('Weekly Tracker'!$E$2:$E$766=$A561)/('Weekly Tracker'!$H$2:$H$766&lt;&gt;""),'Weekly Tracker'!$I$2:$I$766),"")</f>
        <v/>
      </c>
      <c r="J561" s="9">
        <f>IFERROR(LOOKUP(2,1/('Weekly Tracker'!$E$2:$E$766=$A561)/('Weekly Tracker'!$J$2:$J$766&lt;&gt;""),'Weekly Tracker'!$J$2:$J$766),"")</f>
        <v/>
      </c>
      <c r="K561" s="9">
        <f>IFERROR(LOOKUP(2,1/('Weekly Tracker'!$E$2:$E$766=$A561)/('Weekly Tracker'!$N$2:$N$766&lt;&gt;""),'Weekly Tracker'!$N$2:$N$766),"")</f>
        <v/>
      </c>
      <c r="L561" s="9">
        <f>IFERROR(LOOKUP(2,1/('Weekly Tracker'!$E$2:$E$766=$A561)/('Weekly Tracker'!$O$2:$O$766&lt;&gt;""),'Weekly Tracker'!$O$2:$O$766),"")</f>
        <v/>
      </c>
    </row>
    <row r="562">
      <c r="A562" s="9" t="inlineStr">
        <is>
          <t>Santhosh Master Kalari</t>
        </is>
      </c>
      <c r="B562" s="9" t="inlineStr">
        <is>
          <t>919791263619</t>
        </is>
      </c>
      <c r="C562" s="9" t="n"/>
      <c r="D562" s="9" t="n"/>
      <c r="E562" s="9" t="n"/>
      <c r="F562" s="9">
        <f>IFERROR(LOOKUP(2,1/('Weekly Tracker'!$E$2:$E$766=$A562)/('Weekly Tracker'!$F$2:$F$766&lt;&gt;""),'Weekly Tracker'!$F$2:$F$766),"")</f>
        <v/>
      </c>
      <c r="G562" s="16">
        <f>IF(F562&lt;&gt;"",LOOKUP(2,1/('Weekly Tracker'!$E$2:$E$766=$A562)/('Weekly Tracker'!$F$2:$F$766&lt;&gt;""),'Weekly Tracker'!$G$2:$G$766),"")</f>
        <v/>
      </c>
      <c r="H562" s="9">
        <f>IFERROR(LOOKUP(2,1/('Weekly Tracker'!$E$2:$E$766=$A562)/('Weekly Tracker'!$H$2:$H$766&lt;&gt;""),'Weekly Tracker'!$H$2:$H$766),"")</f>
        <v/>
      </c>
      <c r="I562" s="16">
        <f>IF(H562&lt;&gt;"",LOOKUP(2,1/('Weekly Tracker'!$E$2:$E$766=$A562)/('Weekly Tracker'!$H$2:$H$766&lt;&gt;""),'Weekly Tracker'!$I$2:$I$766),"")</f>
        <v/>
      </c>
      <c r="J562" s="9">
        <f>IFERROR(LOOKUP(2,1/('Weekly Tracker'!$E$2:$E$766=$A562)/('Weekly Tracker'!$J$2:$J$766&lt;&gt;""),'Weekly Tracker'!$J$2:$J$766),"")</f>
        <v/>
      </c>
      <c r="K562" s="9">
        <f>IFERROR(LOOKUP(2,1/('Weekly Tracker'!$E$2:$E$766=$A562)/('Weekly Tracker'!$N$2:$N$766&lt;&gt;""),'Weekly Tracker'!$N$2:$N$766),"")</f>
        <v/>
      </c>
      <c r="L562" s="9">
        <f>IFERROR(LOOKUP(2,1/('Weekly Tracker'!$E$2:$E$766=$A562)/('Weekly Tracker'!$O$2:$O$766&lt;&gt;""),'Weekly Tracker'!$O$2:$O$766),"")</f>
        <v/>
      </c>
    </row>
    <row r="563">
      <c r="A563" s="9" t="inlineStr">
        <is>
          <t>Abnish Qs</t>
        </is>
      </c>
      <c r="B563" s="9" t="inlineStr">
        <is>
          <t>+91 8340-529412, 918807834842</t>
        </is>
      </c>
      <c r="C563" s="9" t="n"/>
      <c r="D563" s="9" t="n"/>
      <c r="E563" s="9" t="n"/>
      <c r="F563" s="9">
        <f>IFERROR(LOOKUP(2,1/('Weekly Tracker'!$E$2:$E$766=$A563)/('Weekly Tracker'!$F$2:$F$766&lt;&gt;""),'Weekly Tracker'!$F$2:$F$766),"")</f>
        <v/>
      </c>
      <c r="G563" s="16">
        <f>IF(F563&lt;&gt;"",LOOKUP(2,1/('Weekly Tracker'!$E$2:$E$766=$A563)/('Weekly Tracker'!$F$2:$F$766&lt;&gt;""),'Weekly Tracker'!$G$2:$G$766),"")</f>
        <v/>
      </c>
      <c r="H563" s="9">
        <f>IFERROR(LOOKUP(2,1/('Weekly Tracker'!$E$2:$E$766=$A563)/('Weekly Tracker'!$H$2:$H$766&lt;&gt;""),'Weekly Tracker'!$H$2:$H$766),"")</f>
        <v/>
      </c>
      <c r="I563" s="16">
        <f>IF(H563&lt;&gt;"",LOOKUP(2,1/('Weekly Tracker'!$E$2:$E$766=$A563)/('Weekly Tracker'!$H$2:$H$766&lt;&gt;""),'Weekly Tracker'!$I$2:$I$766),"")</f>
        <v/>
      </c>
      <c r="J563" s="9">
        <f>IFERROR(LOOKUP(2,1/('Weekly Tracker'!$E$2:$E$766=$A563)/('Weekly Tracker'!$J$2:$J$766&lt;&gt;""),'Weekly Tracker'!$J$2:$J$766),"")</f>
        <v/>
      </c>
      <c r="K563" s="9">
        <f>IFERROR(LOOKUP(2,1/('Weekly Tracker'!$E$2:$E$766=$A563)/('Weekly Tracker'!$N$2:$N$766&lt;&gt;""),'Weekly Tracker'!$N$2:$N$766),"")</f>
        <v/>
      </c>
      <c r="L563" s="9">
        <f>IFERROR(LOOKUP(2,1/('Weekly Tracker'!$E$2:$E$766=$A563)/('Weekly Tracker'!$O$2:$O$766&lt;&gt;""),'Weekly Tracker'!$O$2:$O$766),"")</f>
        <v/>
      </c>
    </row>
    <row r="564">
      <c r="A564" s="9" t="inlineStr">
        <is>
          <t>Bhavya Geda HCL</t>
        </is>
      </c>
      <c r="B564" s="9" t="inlineStr">
        <is>
          <t>6238160095</t>
        </is>
      </c>
      <c r="C564" s="9" t="n"/>
      <c r="D564" s="9" t="n"/>
      <c r="E564" s="9" t="n"/>
      <c r="F564" s="9">
        <f>IFERROR(LOOKUP(2,1/('Weekly Tracker'!$E$2:$E$766=$A564)/('Weekly Tracker'!$F$2:$F$766&lt;&gt;""),'Weekly Tracker'!$F$2:$F$766),"")</f>
        <v/>
      </c>
      <c r="G564" s="16">
        <f>IF(F564&lt;&gt;"",LOOKUP(2,1/('Weekly Tracker'!$E$2:$E$766=$A564)/('Weekly Tracker'!$F$2:$F$766&lt;&gt;""),'Weekly Tracker'!$G$2:$G$766),"")</f>
        <v/>
      </c>
      <c r="H564" s="9">
        <f>IFERROR(LOOKUP(2,1/('Weekly Tracker'!$E$2:$E$766=$A564)/('Weekly Tracker'!$H$2:$H$766&lt;&gt;""),'Weekly Tracker'!$H$2:$H$766),"")</f>
        <v/>
      </c>
      <c r="I564" s="16">
        <f>IF(H564&lt;&gt;"",LOOKUP(2,1/('Weekly Tracker'!$E$2:$E$766=$A564)/('Weekly Tracker'!$H$2:$H$766&lt;&gt;""),'Weekly Tracker'!$I$2:$I$766),"")</f>
        <v/>
      </c>
      <c r="J564" s="9">
        <f>IFERROR(LOOKUP(2,1/('Weekly Tracker'!$E$2:$E$766=$A564)/('Weekly Tracker'!$J$2:$J$766&lt;&gt;""),'Weekly Tracker'!$J$2:$J$766),"")</f>
        <v/>
      </c>
      <c r="K564" s="9">
        <f>IFERROR(LOOKUP(2,1/('Weekly Tracker'!$E$2:$E$766=$A564)/('Weekly Tracker'!$N$2:$N$766&lt;&gt;""),'Weekly Tracker'!$N$2:$N$766),"")</f>
        <v/>
      </c>
      <c r="L564" s="9">
        <f>IFERROR(LOOKUP(2,1/('Weekly Tracker'!$E$2:$E$766=$A564)/('Weekly Tracker'!$O$2:$O$766&lt;&gt;""),'Weekly Tracker'!$O$2:$O$766),"")</f>
        <v/>
      </c>
    </row>
    <row r="565">
      <c r="A565" s="9" t="inlineStr">
        <is>
          <t>Elango Elaa FB</t>
        </is>
      </c>
      <c r="B565" s="9" t="inlineStr">
        <is>
          <t>9750568549</t>
        </is>
      </c>
      <c r="C565" s="9" t="n"/>
      <c r="D565" s="9" t="n"/>
      <c r="E565" s="9" t="n"/>
      <c r="F565" s="9">
        <f>IFERROR(LOOKUP(2,1/('Weekly Tracker'!$E$2:$E$766=$A565)/('Weekly Tracker'!$F$2:$F$766&lt;&gt;""),'Weekly Tracker'!$F$2:$F$766),"")</f>
        <v/>
      </c>
      <c r="G565" s="16">
        <f>IF(F565&lt;&gt;"",LOOKUP(2,1/('Weekly Tracker'!$E$2:$E$766=$A565)/('Weekly Tracker'!$F$2:$F$766&lt;&gt;""),'Weekly Tracker'!$G$2:$G$766),"")</f>
        <v/>
      </c>
      <c r="H565" s="9">
        <f>IFERROR(LOOKUP(2,1/('Weekly Tracker'!$E$2:$E$766=$A565)/('Weekly Tracker'!$H$2:$H$766&lt;&gt;""),'Weekly Tracker'!$H$2:$H$766),"")</f>
        <v/>
      </c>
      <c r="I565" s="16">
        <f>IF(H565&lt;&gt;"",LOOKUP(2,1/('Weekly Tracker'!$E$2:$E$766=$A565)/('Weekly Tracker'!$H$2:$H$766&lt;&gt;""),'Weekly Tracker'!$I$2:$I$766),"")</f>
        <v/>
      </c>
      <c r="J565" s="9">
        <f>IFERROR(LOOKUP(2,1/('Weekly Tracker'!$E$2:$E$766=$A565)/('Weekly Tracker'!$J$2:$J$766&lt;&gt;""),'Weekly Tracker'!$J$2:$J$766),"")</f>
        <v/>
      </c>
      <c r="K565" s="9">
        <f>IFERROR(LOOKUP(2,1/('Weekly Tracker'!$E$2:$E$766=$A565)/('Weekly Tracker'!$N$2:$N$766&lt;&gt;""),'Weekly Tracker'!$N$2:$N$766),"")</f>
        <v/>
      </c>
      <c r="L565" s="9">
        <f>IFERROR(LOOKUP(2,1/('Weekly Tracker'!$E$2:$E$766=$A565)/('Weekly Tracker'!$O$2:$O$766&lt;&gt;""),'Weekly Tracker'!$O$2:$O$766),"")</f>
        <v/>
      </c>
    </row>
    <row r="566">
      <c r="A566" s="9" t="inlineStr">
        <is>
          <t>Shaik Abdul Razak HCL</t>
        </is>
      </c>
      <c r="B566" s="9" t="inlineStr">
        <is>
          <t>9491364423</t>
        </is>
      </c>
      <c r="C566" s="9" t="n"/>
      <c r="D566" s="9" t="n"/>
      <c r="E566" s="9" t="n"/>
      <c r="F566" s="9">
        <f>IFERROR(LOOKUP(2,1/('Weekly Tracker'!$E$2:$E$766=$A566)/('Weekly Tracker'!$F$2:$F$766&lt;&gt;""),'Weekly Tracker'!$F$2:$F$766),"")</f>
        <v/>
      </c>
      <c r="G566" s="16">
        <f>IF(F566&lt;&gt;"",LOOKUP(2,1/('Weekly Tracker'!$E$2:$E$766=$A566)/('Weekly Tracker'!$F$2:$F$766&lt;&gt;""),'Weekly Tracker'!$G$2:$G$766),"")</f>
        <v/>
      </c>
      <c r="H566" s="9">
        <f>IFERROR(LOOKUP(2,1/('Weekly Tracker'!$E$2:$E$766=$A566)/('Weekly Tracker'!$H$2:$H$766&lt;&gt;""),'Weekly Tracker'!$H$2:$H$766),"")</f>
        <v/>
      </c>
      <c r="I566" s="16">
        <f>IF(H566&lt;&gt;"",LOOKUP(2,1/('Weekly Tracker'!$E$2:$E$766=$A566)/('Weekly Tracker'!$H$2:$H$766&lt;&gt;""),'Weekly Tracker'!$I$2:$I$766),"")</f>
        <v/>
      </c>
      <c r="J566" s="9">
        <f>IFERROR(LOOKUP(2,1/('Weekly Tracker'!$E$2:$E$766=$A566)/('Weekly Tracker'!$J$2:$J$766&lt;&gt;""),'Weekly Tracker'!$J$2:$J$766),"")</f>
        <v/>
      </c>
      <c r="K566" s="9">
        <f>IFERROR(LOOKUP(2,1/('Weekly Tracker'!$E$2:$E$766=$A566)/('Weekly Tracker'!$N$2:$N$766&lt;&gt;""),'Weekly Tracker'!$N$2:$N$766),"")</f>
        <v/>
      </c>
      <c r="L566" s="9">
        <f>IFERROR(LOOKUP(2,1/('Weekly Tracker'!$E$2:$E$766=$A566)/('Weekly Tracker'!$O$2:$O$766&lt;&gt;""),'Weekly Tracker'!$O$2:$O$766),"")</f>
        <v/>
      </c>
    </row>
    <row r="567">
      <c r="A567" s="9" t="inlineStr">
        <is>
          <t>Suman muthu</t>
        </is>
      </c>
      <c r="B567" s="9" t="inlineStr">
        <is>
          <t>916380954131</t>
        </is>
      </c>
      <c r="C567" s="9" t="n"/>
      <c r="D567" s="9" t="n"/>
      <c r="E567" s="9" t="n"/>
      <c r="F567" s="9">
        <f>IFERROR(LOOKUP(2,1/('Weekly Tracker'!$E$2:$E$766=$A567)/('Weekly Tracker'!$F$2:$F$766&lt;&gt;""),'Weekly Tracker'!$F$2:$F$766),"")</f>
        <v/>
      </c>
      <c r="G567" s="16">
        <f>IF(F567&lt;&gt;"",LOOKUP(2,1/('Weekly Tracker'!$E$2:$E$766=$A567)/('Weekly Tracker'!$F$2:$F$766&lt;&gt;""),'Weekly Tracker'!$G$2:$G$766),"")</f>
        <v/>
      </c>
      <c r="H567" s="9">
        <f>IFERROR(LOOKUP(2,1/('Weekly Tracker'!$E$2:$E$766=$A567)/('Weekly Tracker'!$H$2:$H$766&lt;&gt;""),'Weekly Tracker'!$H$2:$H$766),"")</f>
        <v/>
      </c>
      <c r="I567" s="16">
        <f>IF(H567&lt;&gt;"",LOOKUP(2,1/('Weekly Tracker'!$E$2:$E$766=$A567)/('Weekly Tracker'!$H$2:$H$766&lt;&gt;""),'Weekly Tracker'!$I$2:$I$766),"")</f>
        <v/>
      </c>
      <c r="J567" s="9">
        <f>IFERROR(LOOKUP(2,1/('Weekly Tracker'!$E$2:$E$766=$A567)/('Weekly Tracker'!$J$2:$J$766&lt;&gt;""),'Weekly Tracker'!$J$2:$J$766),"")</f>
        <v/>
      </c>
      <c r="K567" s="9">
        <f>IFERROR(LOOKUP(2,1/('Weekly Tracker'!$E$2:$E$766=$A567)/('Weekly Tracker'!$N$2:$N$766&lt;&gt;""),'Weekly Tracker'!$N$2:$N$766),"")</f>
        <v/>
      </c>
      <c r="L567" s="9">
        <f>IFERROR(LOOKUP(2,1/('Weekly Tracker'!$E$2:$E$766=$A567)/('Weekly Tracker'!$O$2:$O$766&lt;&gt;""),'Weekly Tracker'!$O$2:$O$766),"")</f>
        <v/>
      </c>
    </row>
    <row r="568">
      <c r="A568" s="9" t="inlineStr">
        <is>
          <t>Srihari Verz</t>
        </is>
      </c>
      <c r="B568" s="9" t="inlineStr">
        <is>
          <t>919940690888</t>
        </is>
      </c>
      <c r="C568" s="9" t="n"/>
      <c r="D568" s="9" t="n"/>
      <c r="E568" s="9" t="n"/>
      <c r="F568" s="9">
        <f>IFERROR(LOOKUP(2,1/('Weekly Tracker'!$E$2:$E$766=$A568)/('Weekly Tracker'!$F$2:$F$766&lt;&gt;""),'Weekly Tracker'!$F$2:$F$766),"")</f>
        <v/>
      </c>
      <c r="G568" s="16">
        <f>IF(F568&lt;&gt;"",LOOKUP(2,1/('Weekly Tracker'!$E$2:$E$766=$A568)/('Weekly Tracker'!$F$2:$F$766&lt;&gt;""),'Weekly Tracker'!$G$2:$G$766),"")</f>
        <v/>
      </c>
      <c r="H568" s="9">
        <f>IFERROR(LOOKUP(2,1/('Weekly Tracker'!$E$2:$E$766=$A568)/('Weekly Tracker'!$H$2:$H$766&lt;&gt;""),'Weekly Tracker'!$H$2:$H$766),"")</f>
        <v/>
      </c>
      <c r="I568" s="16">
        <f>IF(H568&lt;&gt;"",LOOKUP(2,1/('Weekly Tracker'!$E$2:$E$766=$A568)/('Weekly Tracker'!$H$2:$H$766&lt;&gt;""),'Weekly Tracker'!$I$2:$I$766),"")</f>
        <v/>
      </c>
      <c r="J568" s="9">
        <f>IFERROR(LOOKUP(2,1/('Weekly Tracker'!$E$2:$E$766=$A568)/('Weekly Tracker'!$J$2:$J$766&lt;&gt;""),'Weekly Tracker'!$J$2:$J$766),"")</f>
        <v/>
      </c>
      <c r="K568" s="9">
        <f>IFERROR(LOOKUP(2,1/('Weekly Tracker'!$E$2:$E$766=$A568)/('Weekly Tracker'!$N$2:$N$766&lt;&gt;""),'Weekly Tracker'!$N$2:$N$766),"")</f>
        <v/>
      </c>
      <c r="L568" s="9">
        <f>IFERROR(LOOKUP(2,1/('Weekly Tracker'!$E$2:$E$766=$A568)/('Weekly Tracker'!$O$2:$O$766&lt;&gt;""),'Weekly Tracker'!$O$2:$O$766),"")</f>
        <v/>
      </c>
    </row>
    <row r="569">
      <c r="A569" s="9" t="inlineStr">
        <is>
          <t>Pattamuthu kasi Grp</t>
        </is>
      </c>
      <c r="B569" s="9" t="inlineStr">
        <is>
          <t>918144140296</t>
        </is>
      </c>
      <c r="C569" s="9" t="n"/>
      <c r="D569" s="9" t="n"/>
      <c r="E569" s="9" t="n"/>
      <c r="F569" s="9">
        <f>IFERROR(LOOKUP(2,1/('Weekly Tracker'!$E$2:$E$766=$A569)/('Weekly Tracker'!$F$2:$F$766&lt;&gt;""),'Weekly Tracker'!$F$2:$F$766),"")</f>
        <v/>
      </c>
      <c r="G569" s="16">
        <f>IF(F569&lt;&gt;"",LOOKUP(2,1/('Weekly Tracker'!$E$2:$E$766=$A569)/('Weekly Tracker'!$F$2:$F$766&lt;&gt;""),'Weekly Tracker'!$G$2:$G$766),"")</f>
        <v/>
      </c>
      <c r="H569" s="9">
        <f>IFERROR(LOOKUP(2,1/('Weekly Tracker'!$E$2:$E$766=$A569)/('Weekly Tracker'!$H$2:$H$766&lt;&gt;""),'Weekly Tracker'!$H$2:$H$766),"")</f>
        <v/>
      </c>
      <c r="I569" s="16">
        <f>IF(H569&lt;&gt;"",LOOKUP(2,1/('Weekly Tracker'!$E$2:$E$766=$A569)/('Weekly Tracker'!$H$2:$H$766&lt;&gt;""),'Weekly Tracker'!$I$2:$I$766),"")</f>
        <v/>
      </c>
      <c r="J569" s="9">
        <f>IFERROR(LOOKUP(2,1/('Weekly Tracker'!$E$2:$E$766=$A569)/('Weekly Tracker'!$J$2:$J$766&lt;&gt;""),'Weekly Tracker'!$J$2:$J$766),"")</f>
        <v/>
      </c>
      <c r="K569" s="9">
        <f>IFERROR(LOOKUP(2,1/('Weekly Tracker'!$E$2:$E$766=$A569)/('Weekly Tracker'!$N$2:$N$766&lt;&gt;""),'Weekly Tracker'!$N$2:$N$766),"")</f>
        <v/>
      </c>
      <c r="L569" s="9">
        <f>IFERROR(LOOKUP(2,1/('Weekly Tracker'!$E$2:$E$766=$A569)/('Weekly Tracker'!$O$2:$O$766&lt;&gt;""),'Weekly Tracker'!$O$2:$O$766),"")</f>
        <v/>
      </c>
    </row>
    <row r="570">
      <c r="A570" s="9" t="inlineStr">
        <is>
          <t>Blessen Grp Ucen</t>
        </is>
      </c>
      <c r="B570" s="9" t="inlineStr">
        <is>
          <t>919942442161</t>
        </is>
      </c>
      <c r="C570" s="9" t="n"/>
      <c r="D570" s="9" t="n"/>
      <c r="E570" s="9" t="n"/>
      <c r="F570" s="9">
        <f>IFERROR(LOOKUP(2,1/('Weekly Tracker'!$E$2:$E$766=$A570)/('Weekly Tracker'!$F$2:$F$766&lt;&gt;""),'Weekly Tracker'!$F$2:$F$766),"")</f>
        <v/>
      </c>
      <c r="G570" s="16">
        <f>IF(F570&lt;&gt;"",LOOKUP(2,1/('Weekly Tracker'!$E$2:$E$766=$A570)/('Weekly Tracker'!$F$2:$F$766&lt;&gt;""),'Weekly Tracker'!$G$2:$G$766),"")</f>
        <v/>
      </c>
      <c r="H570" s="9">
        <f>IFERROR(LOOKUP(2,1/('Weekly Tracker'!$E$2:$E$766=$A570)/('Weekly Tracker'!$H$2:$H$766&lt;&gt;""),'Weekly Tracker'!$H$2:$H$766),"")</f>
        <v/>
      </c>
      <c r="I570" s="16">
        <f>IF(H570&lt;&gt;"",LOOKUP(2,1/('Weekly Tracker'!$E$2:$E$766=$A570)/('Weekly Tracker'!$H$2:$H$766&lt;&gt;""),'Weekly Tracker'!$I$2:$I$766),"")</f>
        <v/>
      </c>
      <c r="J570" s="9">
        <f>IFERROR(LOOKUP(2,1/('Weekly Tracker'!$E$2:$E$766=$A570)/('Weekly Tracker'!$J$2:$J$766&lt;&gt;""),'Weekly Tracker'!$J$2:$J$766),"")</f>
        <v/>
      </c>
      <c r="K570" s="9">
        <f>IFERROR(LOOKUP(2,1/('Weekly Tracker'!$E$2:$E$766=$A570)/('Weekly Tracker'!$N$2:$N$766&lt;&gt;""),'Weekly Tracker'!$N$2:$N$766),"")</f>
        <v/>
      </c>
      <c r="L570" s="9">
        <f>IFERROR(LOOKUP(2,1/('Weekly Tracker'!$E$2:$E$766=$A570)/('Weekly Tracker'!$O$2:$O$766&lt;&gt;""),'Weekly Tracker'!$O$2:$O$766),"")</f>
        <v/>
      </c>
    </row>
    <row r="571">
      <c r="A571" s="9" t="inlineStr">
        <is>
          <t>Bairavan Moorthi FB</t>
        </is>
      </c>
      <c r="B571" s="9" t="inlineStr">
        <is>
          <t>7639286938</t>
        </is>
      </c>
      <c r="C571" s="9" t="n"/>
      <c r="D571" s="9" t="n"/>
      <c r="E571" s="9" t="n"/>
      <c r="F571" s="9">
        <f>IFERROR(LOOKUP(2,1/('Weekly Tracker'!$E$2:$E$766=$A571)/('Weekly Tracker'!$F$2:$F$766&lt;&gt;""),'Weekly Tracker'!$F$2:$F$766),"")</f>
        <v/>
      </c>
      <c r="G571" s="16">
        <f>IF(F571&lt;&gt;"",LOOKUP(2,1/('Weekly Tracker'!$E$2:$E$766=$A571)/('Weekly Tracker'!$F$2:$F$766&lt;&gt;""),'Weekly Tracker'!$G$2:$G$766),"")</f>
        <v/>
      </c>
      <c r="H571" s="9">
        <f>IFERROR(LOOKUP(2,1/('Weekly Tracker'!$E$2:$E$766=$A571)/('Weekly Tracker'!$H$2:$H$766&lt;&gt;""),'Weekly Tracker'!$H$2:$H$766),"")</f>
        <v/>
      </c>
      <c r="I571" s="16">
        <f>IF(H571&lt;&gt;"",LOOKUP(2,1/('Weekly Tracker'!$E$2:$E$766=$A571)/('Weekly Tracker'!$H$2:$H$766&lt;&gt;""),'Weekly Tracker'!$I$2:$I$766),"")</f>
        <v/>
      </c>
      <c r="J571" s="9">
        <f>IFERROR(LOOKUP(2,1/('Weekly Tracker'!$E$2:$E$766=$A571)/('Weekly Tracker'!$J$2:$J$766&lt;&gt;""),'Weekly Tracker'!$J$2:$J$766),"")</f>
        <v/>
      </c>
      <c r="K571" s="9">
        <f>IFERROR(LOOKUP(2,1/('Weekly Tracker'!$E$2:$E$766=$A571)/('Weekly Tracker'!$N$2:$N$766&lt;&gt;""),'Weekly Tracker'!$N$2:$N$766),"")</f>
        <v/>
      </c>
      <c r="L571" s="9">
        <f>IFERROR(LOOKUP(2,1/('Weekly Tracker'!$E$2:$E$766=$A571)/('Weekly Tracker'!$O$2:$O$766&lt;&gt;""),'Weekly Tracker'!$O$2:$O$766),"")</f>
        <v/>
      </c>
    </row>
    <row r="572">
      <c r="A572" s="9" t="inlineStr">
        <is>
          <t>Raja Raja FB</t>
        </is>
      </c>
      <c r="B572" s="9" t="inlineStr">
        <is>
          <t>8072907421</t>
        </is>
      </c>
      <c r="C572" s="9" t="n"/>
      <c r="D572" s="9" t="n"/>
      <c r="E572" s="9" t="n"/>
      <c r="F572" s="9">
        <f>IFERROR(LOOKUP(2,1/('Weekly Tracker'!$E$2:$E$766=$A572)/('Weekly Tracker'!$F$2:$F$766&lt;&gt;""),'Weekly Tracker'!$F$2:$F$766),"")</f>
        <v/>
      </c>
      <c r="G572" s="16">
        <f>IF(F572&lt;&gt;"",LOOKUP(2,1/('Weekly Tracker'!$E$2:$E$766=$A572)/('Weekly Tracker'!$F$2:$F$766&lt;&gt;""),'Weekly Tracker'!$G$2:$G$766),"")</f>
        <v/>
      </c>
      <c r="H572" s="9">
        <f>IFERROR(LOOKUP(2,1/('Weekly Tracker'!$E$2:$E$766=$A572)/('Weekly Tracker'!$H$2:$H$766&lt;&gt;""),'Weekly Tracker'!$H$2:$H$766),"")</f>
        <v/>
      </c>
      <c r="I572" s="16">
        <f>IF(H572&lt;&gt;"",LOOKUP(2,1/('Weekly Tracker'!$E$2:$E$766=$A572)/('Weekly Tracker'!$H$2:$H$766&lt;&gt;""),'Weekly Tracker'!$I$2:$I$766),"")</f>
        <v/>
      </c>
      <c r="J572" s="9">
        <f>IFERROR(LOOKUP(2,1/('Weekly Tracker'!$E$2:$E$766=$A572)/('Weekly Tracker'!$J$2:$J$766&lt;&gt;""),'Weekly Tracker'!$J$2:$J$766),"")</f>
        <v/>
      </c>
      <c r="K572" s="9">
        <f>IFERROR(LOOKUP(2,1/('Weekly Tracker'!$E$2:$E$766=$A572)/('Weekly Tracker'!$N$2:$N$766&lt;&gt;""),'Weekly Tracker'!$N$2:$N$766),"")</f>
        <v/>
      </c>
      <c r="L572" s="9">
        <f>IFERROR(LOOKUP(2,1/('Weekly Tracker'!$E$2:$E$766=$A572)/('Weekly Tracker'!$O$2:$O$766&lt;&gt;""),'Weekly Tracker'!$O$2:$O$766),"")</f>
        <v/>
      </c>
    </row>
    <row r="573">
      <c r="A573" s="9" t="inlineStr">
        <is>
          <t>Ashok Sakthi FB</t>
        </is>
      </c>
      <c r="B573" s="9" t="inlineStr">
        <is>
          <t>9677643027</t>
        </is>
      </c>
      <c r="C573" s="9" t="n"/>
      <c r="D573" s="9" t="n"/>
      <c r="E573" s="9" t="n"/>
      <c r="F573" s="9">
        <f>IFERROR(LOOKUP(2,1/('Weekly Tracker'!$E$2:$E$766=$A573)/('Weekly Tracker'!$F$2:$F$766&lt;&gt;""),'Weekly Tracker'!$F$2:$F$766),"")</f>
        <v/>
      </c>
      <c r="G573" s="16">
        <f>IF(F573&lt;&gt;"",LOOKUP(2,1/('Weekly Tracker'!$E$2:$E$766=$A573)/('Weekly Tracker'!$F$2:$F$766&lt;&gt;""),'Weekly Tracker'!$G$2:$G$766),"")</f>
        <v/>
      </c>
      <c r="H573" s="9">
        <f>IFERROR(LOOKUP(2,1/('Weekly Tracker'!$E$2:$E$766=$A573)/('Weekly Tracker'!$H$2:$H$766&lt;&gt;""),'Weekly Tracker'!$H$2:$H$766),"")</f>
        <v/>
      </c>
      <c r="I573" s="16">
        <f>IF(H573&lt;&gt;"",LOOKUP(2,1/('Weekly Tracker'!$E$2:$E$766=$A573)/('Weekly Tracker'!$H$2:$H$766&lt;&gt;""),'Weekly Tracker'!$I$2:$I$766),"")</f>
        <v/>
      </c>
      <c r="J573" s="9">
        <f>IFERROR(LOOKUP(2,1/('Weekly Tracker'!$E$2:$E$766=$A573)/('Weekly Tracker'!$J$2:$J$766&lt;&gt;""),'Weekly Tracker'!$J$2:$J$766),"")</f>
        <v/>
      </c>
      <c r="K573" s="9">
        <f>IFERROR(LOOKUP(2,1/('Weekly Tracker'!$E$2:$E$766=$A573)/('Weekly Tracker'!$N$2:$N$766&lt;&gt;""),'Weekly Tracker'!$N$2:$N$766),"")</f>
        <v/>
      </c>
      <c r="L573" s="9">
        <f>IFERROR(LOOKUP(2,1/('Weekly Tracker'!$E$2:$E$766=$A573)/('Weekly Tracker'!$O$2:$O$766&lt;&gt;""),'Weekly Tracker'!$O$2:$O$766),"")</f>
        <v/>
      </c>
    </row>
    <row r="574">
      <c r="A574" s="9" t="inlineStr">
        <is>
          <t>Aathi Scl</t>
        </is>
      </c>
      <c r="B574" s="9" t="inlineStr">
        <is>
          <t>919524496859</t>
        </is>
      </c>
      <c r="C574" s="9" t="n"/>
      <c r="D574" s="9" t="n"/>
      <c r="E574" s="9" t="n"/>
      <c r="F574" s="9">
        <f>IFERROR(LOOKUP(2,1/('Weekly Tracker'!$E$2:$E$766=$A574)/('Weekly Tracker'!$F$2:$F$766&lt;&gt;""),'Weekly Tracker'!$F$2:$F$766),"")</f>
        <v/>
      </c>
      <c r="G574" s="16">
        <f>IF(F574&lt;&gt;"",LOOKUP(2,1/('Weekly Tracker'!$E$2:$E$766=$A574)/('Weekly Tracker'!$F$2:$F$766&lt;&gt;""),'Weekly Tracker'!$G$2:$G$766),"")</f>
        <v/>
      </c>
      <c r="H574" s="9">
        <f>IFERROR(LOOKUP(2,1/('Weekly Tracker'!$E$2:$E$766=$A574)/('Weekly Tracker'!$H$2:$H$766&lt;&gt;""),'Weekly Tracker'!$H$2:$H$766),"")</f>
        <v/>
      </c>
      <c r="I574" s="16">
        <f>IF(H574&lt;&gt;"",LOOKUP(2,1/('Weekly Tracker'!$E$2:$E$766=$A574)/('Weekly Tracker'!$H$2:$H$766&lt;&gt;""),'Weekly Tracker'!$I$2:$I$766),"")</f>
        <v/>
      </c>
      <c r="J574" s="9">
        <f>IFERROR(LOOKUP(2,1/('Weekly Tracker'!$E$2:$E$766=$A574)/('Weekly Tracker'!$J$2:$J$766&lt;&gt;""),'Weekly Tracker'!$J$2:$J$766),"")</f>
        <v/>
      </c>
      <c r="K574" s="9">
        <f>IFERROR(LOOKUP(2,1/('Weekly Tracker'!$E$2:$E$766=$A574)/('Weekly Tracker'!$N$2:$N$766&lt;&gt;""),'Weekly Tracker'!$N$2:$N$766),"")</f>
        <v/>
      </c>
      <c r="L574" s="9">
        <f>IFERROR(LOOKUP(2,1/('Weekly Tracker'!$E$2:$E$766=$A574)/('Weekly Tracker'!$O$2:$O$766&lt;&gt;""),'Weekly Tracker'!$O$2:$O$766),"")</f>
        <v/>
      </c>
    </row>
    <row r="575">
      <c r="A575" s="9" t="inlineStr">
        <is>
          <t>Gandhi Grp Ucen</t>
        </is>
      </c>
      <c r="B575" s="9" t="inlineStr">
        <is>
          <t>919952013736</t>
        </is>
      </c>
      <c r="C575" s="9" t="n"/>
      <c r="D575" s="9" t="n"/>
      <c r="E575" s="9" t="n"/>
      <c r="F575" s="9">
        <f>IFERROR(LOOKUP(2,1/('Weekly Tracker'!$E$2:$E$766=$A575)/('Weekly Tracker'!$F$2:$F$766&lt;&gt;""),'Weekly Tracker'!$F$2:$F$766),"")</f>
        <v/>
      </c>
      <c r="G575" s="16">
        <f>IF(F575&lt;&gt;"",LOOKUP(2,1/('Weekly Tracker'!$E$2:$E$766=$A575)/('Weekly Tracker'!$F$2:$F$766&lt;&gt;""),'Weekly Tracker'!$G$2:$G$766),"")</f>
        <v/>
      </c>
      <c r="H575" s="9">
        <f>IFERROR(LOOKUP(2,1/('Weekly Tracker'!$E$2:$E$766=$A575)/('Weekly Tracker'!$H$2:$H$766&lt;&gt;""),'Weekly Tracker'!$H$2:$H$766),"")</f>
        <v/>
      </c>
      <c r="I575" s="16">
        <f>IF(H575&lt;&gt;"",LOOKUP(2,1/('Weekly Tracker'!$E$2:$E$766=$A575)/('Weekly Tracker'!$H$2:$H$766&lt;&gt;""),'Weekly Tracker'!$I$2:$I$766),"")</f>
        <v/>
      </c>
      <c r="J575" s="9">
        <f>IFERROR(LOOKUP(2,1/('Weekly Tracker'!$E$2:$E$766=$A575)/('Weekly Tracker'!$J$2:$J$766&lt;&gt;""),'Weekly Tracker'!$J$2:$J$766),"")</f>
        <v/>
      </c>
      <c r="K575" s="9">
        <f>IFERROR(LOOKUP(2,1/('Weekly Tracker'!$E$2:$E$766=$A575)/('Weekly Tracker'!$N$2:$N$766&lt;&gt;""),'Weekly Tracker'!$N$2:$N$766),"")</f>
        <v/>
      </c>
      <c r="L575" s="9">
        <f>IFERROR(LOOKUP(2,1/('Weekly Tracker'!$E$2:$E$766=$A575)/('Weekly Tracker'!$O$2:$O$766&lt;&gt;""),'Weekly Tracker'!$O$2:$O$766),"")</f>
        <v/>
      </c>
    </row>
    <row r="576">
      <c r="A576" s="9" t="inlineStr">
        <is>
          <t>Ajay Bose Ucen</t>
        </is>
      </c>
      <c r="B576" s="9" t="inlineStr">
        <is>
          <t>918903757887</t>
        </is>
      </c>
      <c r="C576" s="9" t="n"/>
      <c r="D576" s="9" t="n"/>
      <c r="E576" s="9" t="n"/>
      <c r="F576" s="9">
        <f>IFERROR(LOOKUP(2,1/('Weekly Tracker'!$E$2:$E$766=$A576)/('Weekly Tracker'!$F$2:$F$766&lt;&gt;""),'Weekly Tracker'!$F$2:$F$766),"")</f>
        <v/>
      </c>
      <c r="G576" s="16">
        <f>IF(F576&lt;&gt;"",LOOKUP(2,1/('Weekly Tracker'!$E$2:$E$766=$A576)/('Weekly Tracker'!$F$2:$F$766&lt;&gt;""),'Weekly Tracker'!$G$2:$G$766),"")</f>
        <v/>
      </c>
      <c r="H576" s="9">
        <f>IFERROR(LOOKUP(2,1/('Weekly Tracker'!$E$2:$E$766=$A576)/('Weekly Tracker'!$H$2:$H$766&lt;&gt;""),'Weekly Tracker'!$H$2:$H$766),"")</f>
        <v/>
      </c>
      <c r="I576" s="16">
        <f>IF(H576&lt;&gt;"",LOOKUP(2,1/('Weekly Tracker'!$E$2:$E$766=$A576)/('Weekly Tracker'!$H$2:$H$766&lt;&gt;""),'Weekly Tracker'!$I$2:$I$766),"")</f>
        <v/>
      </c>
      <c r="J576" s="9">
        <f>IFERROR(LOOKUP(2,1/('Weekly Tracker'!$E$2:$E$766=$A576)/('Weekly Tracker'!$J$2:$J$766&lt;&gt;""),'Weekly Tracker'!$J$2:$J$766),"")</f>
        <v/>
      </c>
      <c r="K576" s="9">
        <f>IFERROR(LOOKUP(2,1/('Weekly Tracker'!$E$2:$E$766=$A576)/('Weekly Tracker'!$N$2:$N$766&lt;&gt;""),'Weekly Tracker'!$N$2:$N$766),"")</f>
        <v/>
      </c>
      <c r="L576" s="9">
        <f>IFERROR(LOOKUP(2,1/('Weekly Tracker'!$E$2:$E$766=$A576)/('Weekly Tracker'!$O$2:$O$766&lt;&gt;""),'Weekly Tracker'!$O$2:$O$766),"")</f>
        <v/>
      </c>
    </row>
    <row r="577">
      <c r="A577" s="9" t="inlineStr">
        <is>
          <t>Naren Ravi FB</t>
        </is>
      </c>
      <c r="B577" s="9" t="inlineStr">
        <is>
          <t>9840942211</t>
        </is>
      </c>
      <c r="C577" s="9" t="n"/>
      <c r="D577" s="9" t="n"/>
      <c r="E577" s="9" t="n"/>
      <c r="F577" s="9">
        <f>IFERROR(LOOKUP(2,1/('Weekly Tracker'!$E$2:$E$766=$A577)/('Weekly Tracker'!$F$2:$F$766&lt;&gt;""),'Weekly Tracker'!$F$2:$F$766),"")</f>
        <v/>
      </c>
      <c r="G577" s="16">
        <f>IF(F577&lt;&gt;"",LOOKUP(2,1/('Weekly Tracker'!$E$2:$E$766=$A577)/('Weekly Tracker'!$F$2:$F$766&lt;&gt;""),'Weekly Tracker'!$G$2:$G$766),"")</f>
        <v/>
      </c>
      <c r="H577" s="9">
        <f>IFERROR(LOOKUP(2,1/('Weekly Tracker'!$E$2:$E$766=$A577)/('Weekly Tracker'!$H$2:$H$766&lt;&gt;""),'Weekly Tracker'!$H$2:$H$766),"")</f>
        <v/>
      </c>
      <c r="I577" s="16">
        <f>IF(H577&lt;&gt;"",LOOKUP(2,1/('Weekly Tracker'!$E$2:$E$766=$A577)/('Weekly Tracker'!$H$2:$H$766&lt;&gt;""),'Weekly Tracker'!$I$2:$I$766),"")</f>
        <v/>
      </c>
      <c r="J577" s="9">
        <f>IFERROR(LOOKUP(2,1/('Weekly Tracker'!$E$2:$E$766=$A577)/('Weekly Tracker'!$J$2:$J$766&lt;&gt;""),'Weekly Tracker'!$J$2:$J$766),"")</f>
        <v/>
      </c>
      <c r="K577" s="9">
        <f>IFERROR(LOOKUP(2,1/('Weekly Tracker'!$E$2:$E$766=$A577)/('Weekly Tracker'!$N$2:$N$766&lt;&gt;""),'Weekly Tracker'!$N$2:$N$766),"")</f>
        <v/>
      </c>
      <c r="L577" s="9">
        <f>IFERROR(LOOKUP(2,1/('Weekly Tracker'!$E$2:$E$766=$A577)/('Weekly Tracker'!$O$2:$O$766&lt;&gt;""),'Weekly Tracker'!$O$2:$O$766),"")</f>
        <v/>
      </c>
    </row>
    <row r="578">
      <c r="A578" s="9" t="inlineStr">
        <is>
          <t>Muthukumar Seevanallur</t>
        </is>
      </c>
      <c r="B578" s="9" t="inlineStr">
        <is>
          <t>919952319690</t>
        </is>
      </c>
      <c r="C578" s="9" t="n"/>
      <c r="D578" s="9" t="n"/>
      <c r="E578" s="9" t="n"/>
      <c r="F578" s="9">
        <f>IFERROR(LOOKUP(2,1/('Weekly Tracker'!$E$2:$E$766=$A578)/('Weekly Tracker'!$F$2:$F$766&lt;&gt;""),'Weekly Tracker'!$F$2:$F$766),"")</f>
        <v/>
      </c>
      <c r="G578" s="16">
        <f>IF(F578&lt;&gt;"",LOOKUP(2,1/('Weekly Tracker'!$E$2:$E$766=$A578)/('Weekly Tracker'!$F$2:$F$766&lt;&gt;""),'Weekly Tracker'!$G$2:$G$766),"")</f>
        <v/>
      </c>
      <c r="H578" s="9">
        <f>IFERROR(LOOKUP(2,1/('Weekly Tracker'!$E$2:$E$766=$A578)/('Weekly Tracker'!$H$2:$H$766&lt;&gt;""),'Weekly Tracker'!$H$2:$H$766),"")</f>
        <v/>
      </c>
      <c r="I578" s="16">
        <f>IF(H578&lt;&gt;"",LOOKUP(2,1/('Weekly Tracker'!$E$2:$E$766=$A578)/('Weekly Tracker'!$H$2:$H$766&lt;&gt;""),'Weekly Tracker'!$I$2:$I$766),"")</f>
        <v/>
      </c>
      <c r="J578" s="9">
        <f>IFERROR(LOOKUP(2,1/('Weekly Tracker'!$E$2:$E$766=$A578)/('Weekly Tracker'!$J$2:$J$766&lt;&gt;""),'Weekly Tracker'!$J$2:$J$766),"")</f>
        <v/>
      </c>
      <c r="K578" s="9">
        <f>IFERROR(LOOKUP(2,1/('Weekly Tracker'!$E$2:$E$766=$A578)/('Weekly Tracker'!$N$2:$N$766&lt;&gt;""),'Weekly Tracker'!$N$2:$N$766),"")</f>
        <v/>
      </c>
      <c r="L578" s="9">
        <f>IFERROR(LOOKUP(2,1/('Weekly Tracker'!$E$2:$E$766=$A578)/('Weekly Tracker'!$O$2:$O$766&lt;&gt;""),'Weekly Tracker'!$O$2:$O$766),"")</f>
        <v/>
      </c>
    </row>
    <row r="579">
      <c r="A579" s="9" t="inlineStr">
        <is>
          <t>Pondeepan ECE</t>
        </is>
      </c>
      <c r="B579" s="9" t="inlineStr">
        <is>
          <t>919585356502</t>
        </is>
      </c>
      <c r="C579" s="9" t="n"/>
      <c r="D579" s="9" t="n"/>
      <c r="E579" s="9" t="n"/>
      <c r="F579" s="9">
        <f>IFERROR(LOOKUP(2,1/('Weekly Tracker'!$E$2:$E$766=$A579)/('Weekly Tracker'!$F$2:$F$766&lt;&gt;""),'Weekly Tracker'!$F$2:$F$766),"")</f>
        <v/>
      </c>
      <c r="G579" s="16">
        <f>IF(F579&lt;&gt;"",LOOKUP(2,1/('Weekly Tracker'!$E$2:$E$766=$A579)/('Weekly Tracker'!$F$2:$F$766&lt;&gt;""),'Weekly Tracker'!$G$2:$G$766),"")</f>
        <v/>
      </c>
      <c r="H579" s="9">
        <f>IFERROR(LOOKUP(2,1/('Weekly Tracker'!$E$2:$E$766=$A579)/('Weekly Tracker'!$H$2:$H$766&lt;&gt;""),'Weekly Tracker'!$H$2:$H$766),"")</f>
        <v/>
      </c>
      <c r="I579" s="16">
        <f>IF(H579&lt;&gt;"",LOOKUP(2,1/('Weekly Tracker'!$E$2:$E$766=$A579)/('Weekly Tracker'!$H$2:$H$766&lt;&gt;""),'Weekly Tracker'!$I$2:$I$766),"")</f>
        <v/>
      </c>
      <c r="J579" s="9">
        <f>IFERROR(LOOKUP(2,1/('Weekly Tracker'!$E$2:$E$766=$A579)/('Weekly Tracker'!$J$2:$J$766&lt;&gt;""),'Weekly Tracker'!$J$2:$J$766),"")</f>
        <v/>
      </c>
      <c r="K579" s="9">
        <f>IFERROR(LOOKUP(2,1/('Weekly Tracker'!$E$2:$E$766=$A579)/('Weekly Tracker'!$N$2:$N$766&lt;&gt;""),'Weekly Tracker'!$N$2:$N$766),"")</f>
        <v/>
      </c>
      <c r="L579" s="9">
        <f>IFERROR(LOOKUP(2,1/('Weekly Tracker'!$E$2:$E$766=$A579)/('Weekly Tracker'!$O$2:$O$766&lt;&gt;""),'Weekly Tracker'!$O$2:$O$766),"")</f>
        <v/>
      </c>
    </row>
    <row r="580">
      <c r="A580" s="9" t="inlineStr">
        <is>
          <t>Aravind Chinnaraju FB</t>
        </is>
      </c>
      <c r="B580" s="9" t="inlineStr">
        <is>
          <t>9715090592</t>
        </is>
      </c>
      <c r="C580" s="9" t="n"/>
      <c r="D580" s="9" t="n"/>
      <c r="E580" s="9" t="n"/>
      <c r="F580" s="9">
        <f>IFERROR(LOOKUP(2,1/('Weekly Tracker'!$E$2:$E$766=$A580)/('Weekly Tracker'!$F$2:$F$766&lt;&gt;""),'Weekly Tracker'!$F$2:$F$766),"")</f>
        <v/>
      </c>
      <c r="G580" s="16">
        <f>IF(F580&lt;&gt;"",LOOKUP(2,1/('Weekly Tracker'!$E$2:$E$766=$A580)/('Weekly Tracker'!$F$2:$F$766&lt;&gt;""),'Weekly Tracker'!$G$2:$G$766),"")</f>
        <v/>
      </c>
      <c r="H580" s="9">
        <f>IFERROR(LOOKUP(2,1/('Weekly Tracker'!$E$2:$E$766=$A580)/('Weekly Tracker'!$H$2:$H$766&lt;&gt;""),'Weekly Tracker'!$H$2:$H$766),"")</f>
        <v/>
      </c>
      <c r="I580" s="16">
        <f>IF(H580&lt;&gt;"",LOOKUP(2,1/('Weekly Tracker'!$E$2:$E$766=$A580)/('Weekly Tracker'!$H$2:$H$766&lt;&gt;""),'Weekly Tracker'!$I$2:$I$766),"")</f>
        <v/>
      </c>
      <c r="J580" s="9">
        <f>IFERROR(LOOKUP(2,1/('Weekly Tracker'!$E$2:$E$766=$A580)/('Weekly Tracker'!$J$2:$J$766&lt;&gt;""),'Weekly Tracker'!$J$2:$J$766),"")</f>
        <v/>
      </c>
      <c r="K580" s="9">
        <f>IFERROR(LOOKUP(2,1/('Weekly Tracker'!$E$2:$E$766=$A580)/('Weekly Tracker'!$N$2:$N$766&lt;&gt;""),'Weekly Tracker'!$N$2:$N$766),"")</f>
        <v/>
      </c>
      <c r="L580" s="9">
        <f>IFERROR(LOOKUP(2,1/('Weekly Tracker'!$E$2:$E$766=$A580)/('Weekly Tracker'!$O$2:$O$766&lt;&gt;""),'Weekly Tracker'!$O$2:$O$766),"")</f>
        <v/>
      </c>
    </row>
    <row r="581">
      <c r="A581" s="9" t="inlineStr">
        <is>
          <t>Kamal Ndlf</t>
        </is>
      </c>
      <c r="B581" s="9" t="inlineStr">
        <is>
          <t>919629719725</t>
        </is>
      </c>
      <c r="C581" s="9" t="n"/>
      <c r="D581" s="9" t="n"/>
      <c r="E581" s="9" t="n"/>
      <c r="F581" s="9">
        <f>IFERROR(LOOKUP(2,1/('Weekly Tracker'!$E$2:$E$766=$A581)/('Weekly Tracker'!$F$2:$F$766&lt;&gt;""),'Weekly Tracker'!$F$2:$F$766),"")</f>
        <v/>
      </c>
      <c r="G581" s="16">
        <f>IF(F581&lt;&gt;"",LOOKUP(2,1/('Weekly Tracker'!$E$2:$E$766=$A581)/('Weekly Tracker'!$F$2:$F$766&lt;&gt;""),'Weekly Tracker'!$G$2:$G$766),"")</f>
        <v/>
      </c>
      <c r="H581" s="9">
        <f>IFERROR(LOOKUP(2,1/('Weekly Tracker'!$E$2:$E$766=$A581)/('Weekly Tracker'!$H$2:$H$766&lt;&gt;""),'Weekly Tracker'!$H$2:$H$766),"")</f>
        <v/>
      </c>
      <c r="I581" s="16">
        <f>IF(H581&lt;&gt;"",LOOKUP(2,1/('Weekly Tracker'!$E$2:$E$766=$A581)/('Weekly Tracker'!$H$2:$H$766&lt;&gt;""),'Weekly Tracker'!$I$2:$I$766),"")</f>
        <v/>
      </c>
      <c r="J581" s="9">
        <f>IFERROR(LOOKUP(2,1/('Weekly Tracker'!$E$2:$E$766=$A581)/('Weekly Tracker'!$J$2:$J$766&lt;&gt;""),'Weekly Tracker'!$J$2:$J$766),"")</f>
        <v/>
      </c>
      <c r="K581" s="9">
        <f>IFERROR(LOOKUP(2,1/('Weekly Tracker'!$E$2:$E$766=$A581)/('Weekly Tracker'!$N$2:$N$766&lt;&gt;""),'Weekly Tracker'!$N$2:$N$766),"")</f>
        <v/>
      </c>
      <c r="L581" s="9">
        <f>IFERROR(LOOKUP(2,1/('Weekly Tracker'!$E$2:$E$766=$A581)/('Weekly Tracker'!$O$2:$O$766&lt;&gt;""),'Weekly Tracker'!$O$2:$O$766),"")</f>
        <v/>
      </c>
    </row>
    <row r="582">
      <c r="A582" s="9" t="inlineStr">
        <is>
          <t>Irfan Grp Ucen</t>
        </is>
      </c>
      <c r="B582" s="9" t="inlineStr">
        <is>
          <t>919080786196</t>
        </is>
      </c>
      <c r="C582" s="9" t="n"/>
      <c r="D582" s="9" t="n"/>
      <c r="E582" s="9" t="n"/>
      <c r="F582" s="9">
        <f>IFERROR(LOOKUP(2,1/('Weekly Tracker'!$E$2:$E$766=$A582)/('Weekly Tracker'!$F$2:$F$766&lt;&gt;""),'Weekly Tracker'!$F$2:$F$766),"")</f>
        <v/>
      </c>
      <c r="G582" s="16">
        <f>IF(F582&lt;&gt;"",LOOKUP(2,1/('Weekly Tracker'!$E$2:$E$766=$A582)/('Weekly Tracker'!$F$2:$F$766&lt;&gt;""),'Weekly Tracker'!$G$2:$G$766),"")</f>
        <v/>
      </c>
      <c r="H582" s="9">
        <f>IFERROR(LOOKUP(2,1/('Weekly Tracker'!$E$2:$E$766=$A582)/('Weekly Tracker'!$H$2:$H$766&lt;&gt;""),'Weekly Tracker'!$H$2:$H$766),"")</f>
        <v/>
      </c>
      <c r="I582" s="16">
        <f>IF(H582&lt;&gt;"",LOOKUP(2,1/('Weekly Tracker'!$E$2:$E$766=$A582)/('Weekly Tracker'!$H$2:$H$766&lt;&gt;""),'Weekly Tracker'!$I$2:$I$766),"")</f>
        <v/>
      </c>
      <c r="J582" s="9">
        <f>IFERROR(LOOKUP(2,1/('Weekly Tracker'!$E$2:$E$766=$A582)/('Weekly Tracker'!$J$2:$J$766&lt;&gt;""),'Weekly Tracker'!$J$2:$J$766),"")</f>
        <v/>
      </c>
      <c r="K582" s="9">
        <f>IFERROR(LOOKUP(2,1/('Weekly Tracker'!$E$2:$E$766=$A582)/('Weekly Tracker'!$N$2:$N$766&lt;&gt;""),'Weekly Tracker'!$N$2:$N$766),"")</f>
        <v/>
      </c>
      <c r="L582" s="9">
        <f>IFERROR(LOOKUP(2,1/('Weekly Tracker'!$E$2:$E$766=$A582)/('Weekly Tracker'!$O$2:$O$766&lt;&gt;""),'Weekly Tracker'!$O$2:$O$766),"")</f>
        <v/>
      </c>
    </row>
    <row r="583">
      <c r="A583" s="9" t="inlineStr">
        <is>
          <t>Ganeshamoorthy ECE</t>
        </is>
      </c>
      <c r="B583" s="9" t="inlineStr">
        <is>
          <t>9789019075</t>
        </is>
      </c>
      <c r="C583" s="9" t="n"/>
      <c r="D583" s="9" t="n"/>
      <c r="E583" s="9" t="n"/>
      <c r="F583" s="9">
        <f>IFERROR(LOOKUP(2,1/('Weekly Tracker'!$E$2:$E$766=$A583)/('Weekly Tracker'!$F$2:$F$766&lt;&gt;""),'Weekly Tracker'!$F$2:$F$766),"")</f>
        <v/>
      </c>
      <c r="G583" s="16">
        <f>IF(F583&lt;&gt;"",LOOKUP(2,1/('Weekly Tracker'!$E$2:$E$766=$A583)/('Weekly Tracker'!$F$2:$F$766&lt;&gt;""),'Weekly Tracker'!$G$2:$G$766),"")</f>
        <v/>
      </c>
      <c r="H583" s="9">
        <f>IFERROR(LOOKUP(2,1/('Weekly Tracker'!$E$2:$E$766=$A583)/('Weekly Tracker'!$H$2:$H$766&lt;&gt;""),'Weekly Tracker'!$H$2:$H$766),"")</f>
        <v/>
      </c>
      <c r="I583" s="16">
        <f>IF(H583&lt;&gt;"",LOOKUP(2,1/('Weekly Tracker'!$E$2:$E$766=$A583)/('Weekly Tracker'!$H$2:$H$766&lt;&gt;""),'Weekly Tracker'!$I$2:$I$766),"")</f>
        <v/>
      </c>
      <c r="J583" s="9">
        <f>IFERROR(LOOKUP(2,1/('Weekly Tracker'!$E$2:$E$766=$A583)/('Weekly Tracker'!$J$2:$J$766&lt;&gt;""),'Weekly Tracker'!$J$2:$J$766),"")</f>
        <v/>
      </c>
      <c r="K583" s="9">
        <f>IFERROR(LOOKUP(2,1/('Weekly Tracker'!$E$2:$E$766=$A583)/('Weekly Tracker'!$N$2:$N$766&lt;&gt;""),'Weekly Tracker'!$N$2:$N$766),"")</f>
        <v/>
      </c>
      <c r="L583" s="9">
        <f>IFERROR(LOOKUP(2,1/('Weekly Tracker'!$E$2:$E$766=$A583)/('Weekly Tracker'!$O$2:$O$766&lt;&gt;""),'Weekly Tracker'!$O$2:$O$766),"")</f>
        <v/>
      </c>
    </row>
    <row r="584">
      <c r="A584" s="9" t="inlineStr">
        <is>
          <t>Mohammad Aslam FB</t>
        </is>
      </c>
      <c r="B584" s="9" t="inlineStr">
        <is>
          <t>+971 58 998 2127</t>
        </is>
      </c>
      <c r="C584" s="9" t="n"/>
      <c r="D584" s="9" t="n"/>
      <c r="E584" s="9" t="n"/>
      <c r="F584" s="9">
        <f>IFERROR(LOOKUP(2,1/('Weekly Tracker'!$E$2:$E$766=$A584)/('Weekly Tracker'!$F$2:$F$766&lt;&gt;""),'Weekly Tracker'!$F$2:$F$766),"")</f>
        <v/>
      </c>
      <c r="G584" s="16">
        <f>IF(F584&lt;&gt;"",LOOKUP(2,1/('Weekly Tracker'!$E$2:$E$766=$A584)/('Weekly Tracker'!$F$2:$F$766&lt;&gt;""),'Weekly Tracker'!$G$2:$G$766),"")</f>
        <v/>
      </c>
      <c r="H584" s="9">
        <f>IFERROR(LOOKUP(2,1/('Weekly Tracker'!$E$2:$E$766=$A584)/('Weekly Tracker'!$H$2:$H$766&lt;&gt;""),'Weekly Tracker'!$H$2:$H$766),"")</f>
        <v/>
      </c>
      <c r="I584" s="16">
        <f>IF(H584&lt;&gt;"",LOOKUP(2,1/('Weekly Tracker'!$E$2:$E$766=$A584)/('Weekly Tracker'!$H$2:$H$766&lt;&gt;""),'Weekly Tracker'!$I$2:$I$766),"")</f>
        <v/>
      </c>
      <c r="J584" s="9">
        <f>IFERROR(LOOKUP(2,1/('Weekly Tracker'!$E$2:$E$766=$A584)/('Weekly Tracker'!$J$2:$J$766&lt;&gt;""),'Weekly Tracker'!$J$2:$J$766),"")</f>
        <v/>
      </c>
      <c r="K584" s="9">
        <f>IFERROR(LOOKUP(2,1/('Weekly Tracker'!$E$2:$E$766=$A584)/('Weekly Tracker'!$N$2:$N$766&lt;&gt;""),'Weekly Tracker'!$N$2:$N$766),"")</f>
        <v/>
      </c>
      <c r="L584" s="9">
        <f>IFERROR(LOOKUP(2,1/('Weekly Tracker'!$E$2:$E$766=$A584)/('Weekly Tracker'!$O$2:$O$766&lt;&gt;""),'Weekly Tracker'!$O$2:$O$766),"")</f>
        <v/>
      </c>
    </row>
    <row r="585">
      <c r="A585" s="9" t="inlineStr">
        <is>
          <t>Subash Arumugam Hdfc Life</t>
        </is>
      </c>
      <c r="B585" s="9" t="inlineStr">
        <is>
          <t>919677692343</t>
        </is>
      </c>
      <c r="C585" s="9" t="n"/>
      <c r="D585" s="9" t="n"/>
      <c r="E585" s="9" t="n"/>
      <c r="F585" s="9">
        <f>IFERROR(LOOKUP(2,1/('Weekly Tracker'!$E$2:$E$766=$A585)/('Weekly Tracker'!$F$2:$F$766&lt;&gt;""),'Weekly Tracker'!$F$2:$F$766),"")</f>
        <v/>
      </c>
      <c r="G585" s="16">
        <f>IF(F585&lt;&gt;"",LOOKUP(2,1/('Weekly Tracker'!$E$2:$E$766=$A585)/('Weekly Tracker'!$F$2:$F$766&lt;&gt;""),'Weekly Tracker'!$G$2:$G$766),"")</f>
        <v/>
      </c>
      <c r="H585" s="9">
        <f>IFERROR(LOOKUP(2,1/('Weekly Tracker'!$E$2:$E$766=$A585)/('Weekly Tracker'!$H$2:$H$766&lt;&gt;""),'Weekly Tracker'!$H$2:$H$766),"")</f>
        <v/>
      </c>
      <c r="I585" s="16">
        <f>IF(H585&lt;&gt;"",LOOKUP(2,1/('Weekly Tracker'!$E$2:$E$766=$A585)/('Weekly Tracker'!$H$2:$H$766&lt;&gt;""),'Weekly Tracker'!$I$2:$I$766),"")</f>
        <v/>
      </c>
      <c r="J585" s="9">
        <f>IFERROR(LOOKUP(2,1/('Weekly Tracker'!$E$2:$E$766=$A585)/('Weekly Tracker'!$J$2:$J$766&lt;&gt;""),'Weekly Tracker'!$J$2:$J$766),"")</f>
        <v/>
      </c>
      <c r="K585" s="9">
        <f>IFERROR(LOOKUP(2,1/('Weekly Tracker'!$E$2:$E$766=$A585)/('Weekly Tracker'!$N$2:$N$766&lt;&gt;""),'Weekly Tracker'!$N$2:$N$766),"")</f>
        <v/>
      </c>
      <c r="L585" s="9">
        <f>IFERROR(LOOKUP(2,1/('Weekly Tracker'!$E$2:$E$766=$A585)/('Weekly Tracker'!$O$2:$O$766&lt;&gt;""),'Weekly Tracker'!$O$2:$O$766),"")</f>
        <v/>
      </c>
    </row>
    <row r="586">
      <c r="A586" s="9" t="inlineStr">
        <is>
          <t>Suthan Grp Ucen</t>
        </is>
      </c>
      <c r="B586" s="9" t="inlineStr">
        <is>
          <t>919488140546, 919486666565</t>
        </is>
      </c>
      <c r="C586" s="9" t="n"/>
      <c r="D586" s="9" t="n"/>
      <c r="E586" s="9" t="n"/>
      <c r="F586" s="9">
        <f>IFERROR(LOOKUP(2,1/('Weekly Tracker'!$E$2:$E$766=$A586)/('Weekly Tracker'!$F$2:$F$766&lt;&gt;""),'Weekly Tracker'!$F$2:$F$766),"")</f>
        <v/>
      </c>
      <c r="G586" s="16">
        <f>IF(F586&lt;&gt;"",LOOKUP(2,1/('Weekly Tracker'!$E$2:$E$766=$A586)/('Weekly Tracker'!$F$2:$F$766&lt;&gt;""),'Weekly Tracker'!$G$2:$G$766),"")</f>
        <v/>
      </c>
      <c r="H586" s="9">
        <f>IFERROR(LOOKUP(2,1/('Weekly Tracker'!$E$2:$E$766=$A586)/('Weekly Tracker'!$H$2:$H$766&lt;&gt;""),'Weekly Tracker'!$H$2:$H$766),"")</f>
        <v/>
      </c>
      <c r="I586" s="16">
        <f>IF(H586&lt;&gt;"",LOOKUP(2,1/('Weekly Tracker'!$E$2:$E$766=$A586)/('Weekly Tracker'!$H$2:$H$766&lt;&gt;""),'Weekly Tracker'!$I$2:$I$766),"")</f>
        <v/>
      </c>
      <c r="J586" s="9">
        <f>IFERROR(LOOKUP(2,1/('Weekly Tracker'!$E$2:$E$766=$A586)/('Weekly Tracker'!$J$2:$J$766&lt;&gt;""),'Weekly Tracker'!$J$2:$J$766),"")</f>
        <v/>
      </c>
      <c r="K586" s="9">
        <f>IFERROR(LOOKUP(2,1/('Weekly Tracker'!$E$2:$E$766=$A586)/('Weekly Tracker'!$N$2:$N$766&lt;&gt;""),'Weekly Tracker'!$N$2:$N$766),"")</f>
        <v/>
      </c>
      <c r="L586" s="9">
        <f>IFERROR(LOOKUP(2,1/('Weekly Tracker'!$E$2:$E$766=$A586)/('Weekly Tracker'!$O$2:$O$766&lt;&gt;""),'Weekly Tracker'!$O$2:$O$766),"")</f>
        <v/>
      </c>
    </row>
    <row r="587">
      <c r="A587" s="9" t="inlineStr">
        <is>
          <t>N.Surendiran GP</t>
        </is>
      </c>
      <c r="B587" s="9" t="inlineStr">
        <is>
          <t>919944555813</t>
        </is>
      </c>
      <c r="C587" s="9" t="n"/>
      <c r="D587" s="9" t="n"/>
      <c r="E587" s="9" t="n"/>
      <c r="F587" s="9">
        <f>IFERROR(LOOKUP(2,1/('Weekly Tracker'!$E$2:$E$766=$A587)/('Weekly Tracker'!$F$2:$F$766&lt;&gt;""),'Weekly Tracker'!$F$2:$F$766),"")</f>
        <v/>
      </c>
      <c r="G587" s="16">
        <f>IF(F587&lt;&gt;"",LOOKUP(2,1/('Weekly Tracker'!$E$2:$E$766=$A587)/('Weekly Tracker'!$F$2:$F$766&lt;&gt;""),'Weekly Tracker'!$G$2:$G$766),"")</f>
        <v/>
      </c>
      <c r="H587" s="9">
        <f>IFERROR(LOOKUP(2,1/('Weekly Tracker'!$E$2:$E$766=$A587)/('Weekly Tracker'!$H$2:$H$766&lt;&gt;""),'Weekly Tracker'!$H$2:$H$766),"")</f>
        <v/>
      </c>
      <c r="I587" s="16">
        <f>IF(H587&lt;&gt;"",LOOKUP(2,1/('Weekly Tracker'!$E$2:$E$766=$A587)/('Weekly Tracker'!$H$2:$H$766&lt;&gt;""),'Weekly Tracker'!$I$2:$I$766),"")</f>
        <v/>
      </c>
      <c r="J587" s="9">
        <f>IFERROR(LOOKUP(2,1/('Weekly Tracker'!$E$2:$E$766=$A587)/('Weekly Tracker'!$J$2:$J$766&lt;&gt;""),'Weekly Tracker'!$J$2:$J$766),"")</f>
        <v/>
      </c>
      <c r="K587" s="9">
        <f>IFERROR(LOOKUP(2,1/('Weekly Tracker'!$E$2:$E$766=$A587)/('Weekly Tracker'!$N$2:$N$766&lt;&gt;""),'Weekly Tracker'!$N$2:$N$766),"")</f>
        <v/>
      </c>
      <c r="L587" s="9">
        <f>IFERROR(LOOKUP(2,1/('Weekly Tracker'!$E$2:$E$766=$A587)/('Weekly Tracker'!$O$2:$O$766&lt;&gt;""),'Weekly Tracker'!$O$2:$O$766),"")</f>
        <v/>
      </c>
    </row>
    <row r="588">
      <c r="A588" s="9" t="inlineStr">
        <is>
          <t>2-step Verific</t>
        </is>
      </c>
      <c r="B588" s="9" t="inlineStr">
        <is>
          <t>642-414-72</t>
        </is>
      </c>
      <c r="C588" s="9" t="n"/>
      <c r="D588" s="9" t="n"/>
      <c r="E588" s="9" t="n"/>
      <c r="F588" s="9">
        <f>IFERROR(LOOKUP(2,1/('Weekly Tracker'!$E$2:$E$766=$A588)/('Weekly Tracker'!$F$2:$F$766&lt;&gt;""),'Weekly Tracker'!$F$2:$F$766),"")</f>
        <v/>
      </c>
      <c r="G588" s="16">
        <f>IF(F588&lt;&gt;"",LOOKUP(2,1/('Weekly Tracker'!$E$2:$E$766=$A588)/('Weekly Tracker'!$F$2:$F$766&lt;&gt;""),'Weekly Tracker'!$G$2:$G$766),"")</f>
        <v/>
      </c>
      <c r="H588" s="9">
        <f>IFERROR(LOOKUP(2,1/('Weekly Tracker'!$E$2:$E$766=$A588)/('Weekly Tracker'!$H$2:$H$766&lt;&gt;""),'Weekly Tracker'!$H$2:$H$766),"")</f>
        <v/>
      </c>
      <c r="I588" s="16">
        <f>IF(H588&lt;&gt;"",LOOKUP(2,1/('Weekly Tracker'!$E$2:$E$766=$A588)/('Weekly Tracker'!$H$2:$H$766&lt;&gt;""),'Weekly Tracker'!$I$2:$I$766),"")</f>
        <v/>
      </c>
      <c r="J588" s="9">
        <f>IFERROR(LOOKUP(2,1/('Weekly Tracker'!$E$2:$E$766=$A588)/('Weekly Tracker'!$J$2:$J$766&lt;&gt;""),'Weekly Tracker'!$J$2:$J$766),"")</f>
        <v/>
      </c>
      <c r="K588" s="9">
        <f>IFERROR(LOOKUP(2,1/('Weekly Tracker'!$E$2:$E$766=$A588)/('Weekly Tracker'!$N$2:$N$766&lt;&gt;""),'Weekly Tracker'!$N$2:$N$766),"")</f>
        <v/>
      </c>
      <c r="L588" s="9">
        <f>IFERROR(LOOKUP(2,1/('Weekly Tracker'!$E$2:$E$766=$A588)/('Weekly Tracker'!$O$2:$O$766&lt;&gt;""),'Weekly Tracker'!$O$2:$O$766),"")</f>
        <v/>
      </c>
    </row>
    <row r="589">
      <c r="A589" s="9" t="inlineStr">
        <is>
          <t>Chandrika urja</t>
        </is>
      </c>
      <c r="B589" s="9" t="inlineStr">
        <is>
          <t>918122653430</t>
        </is>
      </c>
      <c r="C589" s="9" t="n"/>
      <c r="D589" s="9" t="n"/>
      <c r="E589" s="9" t="n"/>
      <c r="F589" s="9">
        <f>IFERROR(LOOKUP(2,1/('Weekly Tracker'!$E$2:$E$766=$A589)/('Weekly Tracker'!$F$2:$F$766&lt;&gt;""),'Weekly Tracker'!$F$2:$F$766),"")</f>
        <v/>
      </c>
      <c r="G589" s="16">
        <f>IF(F589&lt;&gt;"",LOOKUP(2,1/('Weekly Tracker'!$E$2:$E$766=$A589)/('Weekly Tracker'!$F$2:$F$766&lt;&gt;""),'Weekly Tracker'!$G$2:$G$766),"")</f>
        <v/>
      </c>
      <c r="H589" s="9">
        <f>IFERROR(LOOKUP(2,1/('Weekly Tracker'!$E$2:$E$766=$A589)/('Weekly Tracker'!$H$2:$H$766&lt;&gt;""),'Weekly Tracker'!$H$2:$H$766),"")</f>
        <v/>
      </c>
      <c r="I589" s="16">
        <f>IF(H589&lt;&gt;"",LOOKUP(2,1/('Weekly Tracker'!$E$2:$E$766=$A589)/('Weekly Tracker'!$H$2:$H$766&lt;&gt;""),'Weekly Tracker'!$I$2:$I$766),"")</f>
        <v/>
      </c>
      <c r="J589" s="9">
        <f>IFERROR(LOOKUP(2,1/('Weekly Tracker'!$E$2:$E$766=$A589)/('Weekly Tracker'!$J$2:$J$766&lt;&gt;""),'Weekly Tracker'!$J$2:$J$766),"")</f>
        <v/>
      </c>
      <c r="K589" s="9">
        <f>IFERROR(LOOKUP(2,1/('Weekly Tracker'!$E$2:$E$766=$A589)/('Weekly Tracker'!$N$2:$N$766&lt;&gt;""),'Weekly Tracker'!$N$2:$N$766),"")</f>
        <v/>
      </c>
      <c r="L589" s="9">
        <f>IFERROR(LOOKUP(2,1/('Weekly Tracker'!$E$2:$E$766=$A589)/('Weekly Tracker'!$O$2:$O$766&lt;&gt;""),'Weekly Tracker'!$O$2:$O$766),"")</f>
        <v/>
      </c>
    </row>
    <row r="590">
      <c r="A590" s="9" t="inlineStr">
        <is>
          <t>Selva Prabhagaran</t>
        </is>
      </c>
      <c r="B590" s="9" t="inlineStr">
        <is>
          <t>8124890979</t>
        </is>
      </c>
      <c r="C590" s="9" t="n"/>
      <c r="D590" s="9" t="n"/>
      <c r="E590" s="9" t="n"/>
      <c r="F590" s="9">
        <f>IFERROR(LOOKUP(2,1/('Weekly Tracker'!$E$2:$E$766=$A590)/('Weekly Tracker'!$F$2:$F$766&lt;&gt;""),'Weekly Tracker'!$F$2:$F$766),"")</f>
        <v/>
      </c>
      <c r="G590" s="16">
        <f>IF(F590&lt;&gt;"",LOOKUP(2,1/('Weekly Tracker'!$E$2:$E$766=$A590)/('Weekly Tracker'!$F$2:$F$766&lt;&gt;""),'Weekly Tracker'!$G$2:$G$766),"")</f>
        <v/>
      </c>
      <c r="H590" s="9">
        <f>IFERROR(LOOKUP(2,1/('Weekly Tracker'!$E$2:$E$766=$A590)/('Weekly Tracker'!$H$2:$H$766&lt;&gt;""),'Weekly Tracker'!$H$2:$H$766),"")</f>
        <v/>
      </c>
      <c r="I590" s="16">
        <f>IF(H590&lt;&gt;"",LOOKUP(2,1/('Weekly Tracker'!$E$2:$E$766=$A590)/('Weekly Tracker'!$H$2:$H$766&lt;&gt;""),'Weekly Tracker'!$I$2:$I$766),"")</f>
        <v/>
      </c>
      <c r="J590" s="9">
        <f>IFERROR(LOOKUP(2,1/('Weekly Tracker'!$E$2:$E$766=$A590)/('Weekly Tracker'!$J$2:$J$766&lt;&gt;""),'Weekly Tracker'!$J$2:$J$766),"")</f>
        <v/>
      </c>
      <c r="K590" s="9">
        <f>IFERROR(LOOKUP(2,1/('Weekly Tracker'!$E$2:$E$766=$A590)/('Weekly Tracker'!$N$2:$N$766&lt;&gt;""),'Weekly Tracker'!$N$2:$N$766),"")</f>
        <v/>
      </c>
      <c r="L590" s="9">
        <f>IFERROR(LOOKUP(2,1/('Weekly Tracker'!$E$2:$E$766=$A590)/('Weekly Tracker'!$O$2:$O$766&lt;&gt;""),'Weekly Tracker'!$O$2:$O$766),"")</f>
        <v/>
      </c>
    </row>
    <row r="591">
      <c r="A591" s="9" t="inlineStr">
        <is>
          <t>Anbuarasan velu FB</t>
        </is>
      </c>
      <c r="B591" s="9" t="inlineStr">
        <is>
          <t>8344705453</t>
        </is>
      </c>
      <c r="C591" s="9" t="n"/>
      <c r="D591" s="9" t="n"/>
      <c r="E591" s="9" t="n"/>
      <c r="F591" s="9">
        <f>IFERROR(LOOKUP(2,1/('Weekly Tracker'!$E$2:$E$766=$A591)/('Weekly Tracker'!$F$2:$F$766&lt;&gt;""),'Weekly Tracker'!$F$2:$F$766),"")</f>
        <v/>
      </c>
      <c r="G591" s="16">
        <f>IF(F591&lt;&gt;"",LOOKUP(2,1/('Weekly Tracker'!$E$2:$E$766=$A591)/('Weekly Tracker'!$F$2:$F$766&lt;&gt;""),'Weekly Tracker'!$G$2:$G$766),"")</f>
        <v/>
      </c>
      <c r="H591" s="9">
        <f>IFERROR(LOOKUP(2,1/('Weekly Tracker'!$E$2:$E$766=$A591)/('Weekly Tracker'!$H$2:$H$766&lt;&gt;""),'Weekly Tracker'!$H$2:$H$766),"")</f>
        <v/>
      </c>
      <c r="I591" s="16">
        <f>IF(H591&lt;&gt;"",LOOKUP(2,1/('Weekly Tracker'!$E$2:$E$766=$A591)/('Weekly Tracker'!$H$2:$H$766&lt;&gt;""),'Weekly Tracker'!$I$2:$I$766),"")</f>
        <v/>
      </c>
      <c r="J591" s="9">
        <f>IFERROR(LOOKUP(2,1/('Weekly Tracker'!$E$2:$E$766=$A591)/('Weekly Tracker'!$J$2:$J$766&lt;&gt;""),'Weekly Tracker'!$J$2:$J$766),"")</f>
        <v/>
      </c>
      <c r="K591" s="9">
        <f>IFERROR(LOOKUP(2,1/('Weekly Tracker'!$E$2:$E$766=$A591)/('Weekly Tracker'!$N$2:$N$766&lt;&gt;""),'Weekly Tracker'!$N$2:$N$766),"")</f>
        <v/>
      </c>
      <c r="L591" s="9">
        <f>IFERROR(LOOKUP(2,1/('Weekly Tracker'!$E$2:$E$766=$A591)/('Weekly Tracker'!$O$2:$O$766&lt;&gt;""),'Weekly Tracker'!$O$2:$O$766),"")</f>
        <v/>
      </c>
    </row>
    <row r="592">
      <c r="A592" s="9" t="inlineStr">
        <is>
          <t>CV JERIN Prof Ucen</t>
        </is>
      </c>
      <c r="B592" s="9" t="inlineStr">
        <is>
          <t>919443692835</t>
        </is>
      </c>
      <c r="C592" s="9" t="n"/>
      <c r="D592" s="9" t="n"/>
      <c r="E592" s="9" t="n"/>
      <c r="F592" s="9">
        <f>IFERROR(LOOKUP(2,1/('Weekly Tracker'!$E$2:$E$766=$A592)/('Weekly Tracker'!$F$2:$F$766&lt;&gt;""),'Weekly Tracker'!$F$2:$F$766),"")</f>
        <v/>
      </c>
      <c r="G592" s="16">
        <f>IF(F592&lt;&gt;"",LOOKUP(2,1/('Weekly Tracker'!$E$2:$E$766=$A592)/('Weekly Tracker'!$F$2:$F$766&lt;&gt;""),'Weekly Tracker'!$G$2:$G$766),"")</f>
        <v/>
      </c>
      <c r="H592" s="9">
        <f>IFERROR(LOOKUP(2,1/('Weekly Tracker'!$E$2:$E$766=$A592)/('Weekly Tracker'!$H$2:$H$766&lt;&gt;""),'Weekly Tracker'!$H$2:$H$766),"")</f>
        <v/>
      </c>
      <c r="I592" s="16">
        <f>IF(H592&lt;&gt;"",LOOKUP(2,1/('Weekly Tracker'!$E$2:$E$766=$A592)/('Weekly Tracker'!$H$2:$H$766&lt;&gt;""),'Weekly Tracker'!$I$2:$I$766),"")</f>
        <v/>
      </c>
      <c r="J592" s="9">
        <f>IFERROR(LOOKUP(2,1/('Weekly Tracker'!$E$2:$E$766=$A592)/('Weekly Tracker'!$J$2:$J$766&lt;&gt;""),'Weekly Tracker'!$J$2:$J$766),"")</f>
        <v/>
      </c>
      <c r="K592" s="9">
        <f>IFERROR(LOOKUP(2,1/('Weekly Tracker'!$E$2:$E$766=$A592)/('Weekly Tracker'!$N$2:$N$766&lt;&gt;""),'Weekly Tracker'!$N$2:$N$766),"")</f>
        <v/>
      </c>
      <c r="L592" s="9">
        <f>IFERROR(LOOKUP(2,1/('Weekly Tracker'!$E$2:$E$766=$A592)/('Weekly Tracker'!$O$2:$O$766&lt;&gt;""),'Weekly Tracker'!$O$2:$O$766),"")</f>
        <v/>
      </c>
    </row>
    <row r="593">
      <c r="A593" s="9" t="inlineStr">
        <is>
          <t>Ajith Aji FB</t>
        </is>
      </c>
      <c r="B593" s="9" t="inlineStr">
        <is>
          <t>+91 90877 78053</t>
        </is>
      </c>
      <c r="C593" s="9" t="n"/>
      <c r="D593" s="9" t="n"/>
      <c r="E593" s="9" t="n"/>
      <c r="F593" s="9">
        <f>IFERROR(LOOKUP(2,1/('Weekly Tracker'!$E$2:$E$766=$A593)/('Weekly Tracker'!$F$2:$F$766&lt;&gt;""),'Weekly Tracker'!$F$2:$F$766),"")</f>
        <v/>
      </c>
      <c r="G593" s="16">
        <f>IF(F593&lt;&gt;"",LOOKUP(2,1/('Weekly Tracker'!$E$2:$E$766=$A593)/('Weekly Tracker'!$F$2:$F$766&lt;&gt;""),'Weekly Tracker'!$G$2:$G$766),"")</f>
        <v/>
      </c>
      <c r="H593" s="9">
        <f>IFERROR(LOOKUP(2,1/('Weekly Tracker'!$E$2:$E$766=$A593)/('Weekly Tracker'!$H$2:$H$766&lt;&gt;""),'Weekly Tracker'!$H$2:$H$766),"")</f>
        <v/>
      </c>
      <c r="I593" s="16">
        <f>IF(H593&lt;&gt;"",LOOKUP(2,1/('Weekly Tracker'!$E$2:$E$766=$A593)/('Weekly Tracker'!$H$2:$H$766&lt;&gt;""),'Weekly Tracker'!$I$2:$I$766),"")</f>
        <v/>
      </c>
      <c r="J593" s="9">
        <f>IFERROR(LOOKUP(2,1/('Weekly Tracker'!$E$2:$E$766=$A593)/('Weekly Tracker'!$J$2:$J$766&lt;&gt;""),'Weekly Tracker'!$J$2:$J$766),"")</f>
        <v/>
      </c>
      <c r="K593" s="9">
        <f>IFERROR(LOOKUP(2,1/('Weekly Tracker'!$E$2:$E$766=$A593)/('Weekly Tracker'!$N$2:$N$766&lt;&gt;""),'Weekly Tracker'!$N$2:$N$766),"")</f>
        <v/>
      </c>
      <c r="L593" s="9">
        <f>IFERROR(LOOKUP(2,1/('Weekly Tracker'!$E$2:$E$766=$A593)/('Weekly Tracker'!$O$2:$O$766&lt;&gt;""),'Weekly Tracker'!$O$2:$O$766),"")</f>
        <v/>
      </c>
    </row>
    <row r="594">
      <c r="A594" s="9" t="inlineStr">
        <is>
          <t>Rathen Krishnan FB</t>
        </is>
      </c>
      <c r="B594" s="9" t="inlineStr">
        <is>
          <t>918072886001</t>
        </is>
      </c>
      <c r="C594" s="9" t="n"/>
      <c r="D594" s="9" t="n"/>
      <c r="E594" s="9" t="n"/>
      <c r="F594" s="9">
        <f>IFERROR(LOOKUP(2,1/('Weekly Tracker'!$E$2:$E$766=$A594)/('Weekly Tracker'!$F$2:$F$766&lt;&gt;""),'Weekly Tracker'!$F$2:$F$766),"")</f>
        <v/>
      </c>
      <c r="G594" s="16">
        <f>IF(F594&lt;&gt;"",LOOKUP(2,1/('Weekly Tracker'!$E$2:$E$766=$A594)/('Weekly Tracker'!$F$2:$F$766&lt;&gt;""),'Weekly Tracker'!$G$2:$G$766),"")</f>
        <v/>
      </c>
      <c r="H594" s="9">
        <f>IFERROR(LOOKUP(2,1/('Weekly Tracker'!$E$2:$E$766=$A594)/('Weekly Tracker'!$H$2:$H$766&lt;&gt;""),'Weekly Tracker'!$H$2:$H$766),"")</f>
        <v/>
      </c>
      <c r="I594" s="16">
        <f>IF(H594&lt;&gt;"",LOOKUP(2,1/('Weekly Tracker'!$E$2:$E$766=$A594)/('Weekly Tracker'!$H$2:$H$766&lt;&gt;""),'Weekly Tracker'!$I$2:$I$766),"")</f>
        <v/>
      </c>
      <c r="J594" s="9">
        <f>IFERROR(LOOKUP(2,1/('Weekly Tracker'!$E$2:$E$766=$A594)/('Weekly Tracker'!$J$2:$J$766&lt;&gt;""),'Weekly Tracker'!$J$2:$J$766),"")</f>
        <v/>
      </c>
      <c r="K594" s="9">
        <f>IFERROR(LOOKUP(2,1/('Weekly Tracker'!$E$2:$E$766=$A594)/('Weekly Tracker'!$N$2:$N$766&lt;&gt;""),'Weekly Tracker'!$N$2:$N$766),"")</f>
        <v/>
      </c>
      <c r="L594" s="9">
        <f>IFERROR(LOOKUP(2,1/('Weekly Tracker'!$E$2:$E$766=$A594)/('Weekly Tracker'!$O$2:$O$766&lt;&gt;""),'Weekly Tracker'!$O$2:$O$766),"")</f>
        <v/>
      </c>
    </row>
    <row r="595">
      <c r="A595" s="9" t="inlineStr">
        <is>
          <t>Aishwarya Tools Urja</t>
        </is>
      </c>
      <c r="B595" s="9" t="inlineStr">
        <is>
          <t>919500052479</t>
        </is>
      </c>
      <c r="C595" s="9" t="n"/>
      <c r="D595" s="9" t="n"/>
      <c r="E595" s="9" t="n"/>
      <c r="F595" s="9">
        <f>IFERROR(LOOKUP(2,1/('Weekly Tracker'!$E$2:$E$766=$A595)/('Weekly Tracker'!$F$2:$F$766&lt;&gt;""),'Weekly Tracker'!$F$2:$F$766),"")</f>
        <v/>
      </c>
      <c r="G595" s="16">
        <f>IF(F595&lt;&gt;"",LOOKUP(2,1/('Weekly Tracker'!$E$2:$E$766=$A595)/('Weekly Tracker'!$F$2:$F$766&lt;&gt;""),'Weekly Tracker'!$G$2:$G$766),"")</f>
        <v/>
      </c>
      <c r="H595" s="9">
        <f>IFERROR(LOOKUP(2,1/('Weekly Tracker'!$E$2:$E$766=$A595)/('Weekly Tracker'!$H$2:$H$766&lt;&gt;""),'Weekly Tracker'!$H$2:$H$766),"")</f>
        <v/>
      </c>
      <c r="I595" s="16">
        <f>IF(H595&lt;&gt;"",LOOKUP(2,1/('Weekly Tracker'!$E$2:$E$766=$A595)/('Weekly Tracker'!$H$2:$H$766&lt;&gt;""),'Weekly Tracker'!$I$2:$I$766),"")</f>
        <v/>
      </c>
      <c r="J595" s="9">
        <f>IFERROR(LOOKUP(2,1/('Weekly Tracker'!$E$2:$E$766=$A595)/('Weekly Tracker'!$J$2:$J$766&lt;&gt;""),'Weekly Tracker'!$J$2:$J$766),"")</f>
        <v/>
      </c>
      <c r="K595" s="9">
        <f>IFERROR(LOOKUP(2,1/('Weekly Tracker'!$E$2:$E$766=$A595)/('Weekly Tracker'!$N$2:$N$766&lt;&gt;""),'Weekly Tracker'!$N$2:$N$766),"")</f>
        <v/>
      </c>
      <c r="L595" s="9">
        <f>IFERROR(LOOKUP(2,1/('Weekly Tracker'!$E$2:$E$766=$A595)/('Weekly Tracker'!$O$2:$O$766&lt;&gt;""),'Weekly Tracker'!$O$2:$O$766),"")</f>
        <v/>
      </c>
    </row>
    <row r="596">
      <c r="A596" s="9" t="inlineStr">
        <is>
          <t>Arun Varun FB</t>
        </is>
      </c>
      <c r="B596" s="9" t="inlineStr">
        <is>
          <t>9486193707</t>
        </is>
      </c>
      <c r="C596" s="9" t="n"/>
      <c r="D596" s="9" t="n"/>
      <c r="E596" s="9" t="n"/>
      <c r="F596" s="9">
        <f>IFERROR(LOOKUP(2,1/('Weekly Tracker'!$E$2:$E$766=$A596)/('Weekly Tracker'!$F$2:$F$766&lt;&gt;""),'Weekly Tracker'!$F$2:$F$766),"")</f>
        <v/>
      </c>
      <c r="G596" s="16">
        <f>IF(F596&lt;&gt;"",LOOKUP(2,1/('Weekly Tracker'!$E$2:$E$766=$A596)/('Weekly Tracker'!$F$2:$F$766&lt;&gt;""),'Weekly Tracker'!$G$2:$G$766),"")</f>
        <v/>
      </c>
      <c r="H596" s="9">
        <f>IFERROR(LOOKUP(2,1/('Weekly Tracker'!$E$2:$E$766=$A596)/('Weekly Tracker'!$H$2:$H$766&lt;&gt;""),'Weekly Tracker'!$H$2:$H$766),"")</f>
        <v/>
      </c>
      <c r="I596" s="16">
        <f>IF(H596&lt;&gt;"",LOOKUP(2,1/('Weekly Tracker'!$E$2:$E$766=$A596)/('Weekly Tracker'!$H$2:$H$766&lt;&gt;""),'Weekly Tracker'!$I$2:$I$766),"")</f>
        <v/>
      </c>
      <c r="J596" s="9">
        <f>IFERROR(LOOKUP(2,1/('Weekly Tracker'!$E$2:$E$766=$A596)/('Weekly Tracker'!$J$2:$J$766&lt;&gt;""),'Weekly Tracker'!$J$2:$J$766),"")</f>
        <v/>
      </c>
      <c r="K596" s="9">
        <f>IFERROR(LOOKUP(2,1/('Weekly Tracker'!$E$2:$E$766=$A596)/('Weekly Tracker'!$N$2:$N$766&lt;&gt;""),'Weekly Tracker'!$N$2:$N$766),"")</f>
        <v/>
      </c>
      <c r="L596" s="9">
        <f>IFERROR(LOOKUP(2,1/('Weekly Tracker'!$E$2:$E$766=$A596)/('Weekly Tracker'!$O$2:$O$766&lt;&gt;""),'Weekly Tracker'!$O$2:$O$766),"")</f>
        <v/>
      </c>
    </row>
    <row r="597">
      <c r="A597" s="9" t="inlineStr">
        <is>
          <t>Chandra Sekar Pujari Urja</t>
        </is>
      </c>
      <c r="B597" s="9" t="inlineStr">
        <is>
          <t>918919134760</t>
        </is>
      </c>
      <c r="C597" s="9" t="n"/>
      <c r="D597" s="9" t="n"/>
      <c r="E597" s="9" t="n"/>
      <c r="F597" s="9">
        <f>IFERROR(LOOKUP(2,1/('Weekly Tracker'!$E$2:$E$766=$A597)/('Weekly Tracker'!$F$2:$F$766&lt;&gt;""),'Weekly Tracker'!$F$2:$F$766),"")</f>
        <v/>
      </c>
      <c r="G597" s="16">
        <f>IF(F597&lt;&gt;"",LOOKUP(2,1/('Weekly Tracker'!$E$2:$E$766=$A597)/('Weekly Tracker'!$F$2:$F$766&lt;&gt;""),'Weekly Tracker'!$G$2:$G$766),"")</f>
        <v/>
      </c>
      <c r="H597" s="9">
        <f>IFERROR(LOOKUP(2,1/('Weekly Tracker'!$E$2:$E$766=$A597)/('Weekly Tracker'!$H$2:$H$766&lt;&gt;""),'Weekly Tracker'!$H$2:$H$766),"")</f>
        <v/>
      </c>
      <c r="I597" s="16">
        <f>IF(H597&lt;&gt;"",LOOKUP(2,1/('Weekly Tracker'!$E$2:$E$766=$A597)/('Weekly Tracker'!$H$2:$H$766&lt;&gt;""),'Weekly Tracker'!$I$2:$I$766),"")</f>
        <v/>
      </c>
      <c r="J597" s="9">
        <f>IFERROR(LOOKUP(2,1/('Weekly Tracker'!$E$2:$E$766=$A597)/('Weekly Tracker'!$J$2:$J$766&lt;&gt;""),'Weekly Tracker'!$J$2:$J$766),"")</f>
        <v/>
      </c>
      <c r="K597" s="9">
        <f>IFERROR(LOOKUP(2,1/('Weekly Tracker'!$E$2:$E$766=$A597)/('Weekly Tracker'!$N$2:$N$766&lt;&gt;""),'Weekly Tracker'!$N$2:$N$766),"")</f>
        <v/>
      </c>
      <c r="L597" s="9">
        <f>IFERROR(LOOKUP(2,1/('Weekly Tracker'!$E$2:$E$766=$A597)/('Weekly Tracker'!$O$2:$O$766&lt;&gt;""),'Weekly Tracker'!$O$2:$O$766),"")</f>
        <v/>
      </c>
    </row>
    <row r="598">
      <c r="A598" s="9" t="inlineStr">
        <is>
          <t>Ram Kumar Scl FB</t>
        </is>
      </c>
      <c r="B598" s="9" t="inlineStr">
        <is>
          <t>9043500289</t>
        </is>
      </c>
      <c r="C598" s="9" t="n"/>
      <c r="D598" s="9" t="n"/>
      <c r="E598" s="9" t="n"/>
      <c r="F598" s="9">
        <f>IFERROR(LOOKUP(2,1/('Weekly Tracker'!$E$2:$E$766=$A598)/('Weekly Tracker'!$F$2:$F$766&lt;&gt;""),'Weekly Tracker'!$F$2:$F$766),"")</f>
        <v/>
      </c>
      <c r="G598" s="16">
        <f>IF(F598&lt;&gt;"",LOOKUP(2,1/('Weekly Tracker'!$E$2:$E$766=$A598)/('Weekly Tracker'!$F$2:$F$766&lt;&gt;""),'Weekly Tracker'!$G$2:$G$766),"")</f>
        <v/>
      </c>
      <c r="H598" s="9">
        <f>IFERROR(LOOKUP(2,1/('Weekly Tracker'!$E$2:$E$766=$A598)/('Weekly Tracker'!$H$2:$H$766&lt;&gt;""),'Weekly Tracker'!$H$2:$H$766),"")</f>
        <v/>
      </c>
      <c r="I598" s="16">
        <f>IF(H598&lt;&gt;"",LOOKUP(2,1/('Weekly Tracker'!$E$2:$E$766=$A598)/('Weekly Tracker'!$H$2:$H$766&lt;&gt;""),'Weekly Tracker'!$I$2:$I$766),"")</f>
        <v/>
      </c>
      <c r="J598" s="9">
        <f>IFERROR(LOOKUP(2,1/('Weekly Tracker'!$E$2:$E$766=$A598)/('Weekly Tracker'!$J$2:$J$766&lt;&gt;""),'Weekly Tracker'!$J$2:$J$766),"")</f>
        <v/>
      </c>
      <c r="K598" s="9">
        <f>IFERROR(LOOKUP(2,1/('Weekly Tracker'!$E$2:$E$766=$A598)/('Weekly Tracker'!$N$2:$N$766&lt;&gt;""),'Weekly Tracker'!$N$2:$N$766),"")</f>
        <v/>
      </c>
      <c r="L598" s="9">
        <f>IFERROR(LOOKUP(2,1/('Weekly Tracker'!$E$2:$E$766=$A598)/('Weekly Tracker'!$O$2:$O$766&lt;&gt;""),'Weekly Tracker'!$O$2:$O$766),"")</f>
        <v/>
      </c>
    </row>
    <row r="599">
      <c r="A599" s="9" t="inlineStr">
        <is>
          <t>Vignesh Bhai</t>
        </is>
      </c>
      <c r="B599" s="9" t="inlineStr">
        <is>
          <t>919940739144</t>
        </is>
      </c>
      <c r="C599" s="9" t="n"/>
      <c r="D599" s="9" t="n"/>
      <c r="E599" s="9" t="n"/>
      <c r="F599" s="9">
        <f>IFERROR(LOOKUP(2,1/('Weekly Tracker'!$E$2:$E$766=$A599)/('Weekly Tracker'!$F$2:$F$766&lt;&gt;""),'Weekly Tracker'!$F$2:$F$766),"")</f>
        <v/>
      </c>
      <c r="G599" s="16">
        <f>IF(F599&lt;&gt;"",LOOKUP(2,1/('Weekly Tracker'!$E$2:$E$766=$A599)/('Weekly Tracker'!$F$2:$F$766&lt;&gt;""),'Weekly Tracker'!$G$2:$G$766),"")</f>
        <v/>
      </c>
      <c r="H599" s="9">
        <f>IFERROR(LOOKUP(2,1/('Weekly Tracker'!$E$2:$E$766=$A599)/('Weekly Tracker'!$H$2:$H$766&lt;&gt;""),'Weekly Tracker'!$H$2:$H$766),"")</f>
        <v/>
      </c>
      <c r="I599" s="16">
        <f>IF(H599&lt;&gt;"",LOOKUP(2,1/('Weekly Tracker'!$E$2:$E$766=$A599)/('Weekly Tracker'!$H$2:$H$766&lt;&gt;""),'Weekly Tracker'!$I$2:$I$766),"")</f>
        <v/>
      </c>
      <c r="J599" s="9">
        <f>IFERROR(LOOKUP(2,1/('Weekly Tracker'!$E$2:$E$766=$A599)/('Weekly Tracker'!$J$2:$J$766&lt;&gt;""),'Weekly Tracker'!$J$2:$J$766),"")</f>
        <v/>
      </c>
      <c r="K599" s="9">
        <f>IFERROR(LOOKUP(2,1/('Weekly Tracker'!$E$2:$E$766=$A599)/('Weekly Tracker'!$N$2:$N$766&lt;&gt;""),'Weekly Tracker'!$N$2:$N$766),"")</f>
        <v/>
      </c>
      <c r="L599" s="9">
        <f>IFERROR(LOOKUP(2,1/('Weekly Tracker'!$E$2:$E$766=$A599)/('Weekly Tracker'!$O$2:$O$766&lt;&gt;""),'Weekly Tracker'!$O$2:$O$766),"")</f>
        <v/>
      </c>
    </row>
    <row r="600">
      <c r="A600" s="9" t="inlineStr">
        <is>
          <t>Ramesh Kadayam</t>
        </is>
      </c>
      <c r="B600" s="9" t="inlineStr">
        <is>
          <t>916385717879</t>
        </is>
      </c>
      <c r="C600" s="9" t="n"/>
      <c r="D600" s="9" t="n"/>
      <c r="E600" s="9" t="n"/>
      <c r="F600" s="9">
        <f>IFERROR(LOOKUP(2,1/('Weekly Tracker'!$E$2:$E$766=$A600)/('Weekly Tracker'!$F$2:$F$766&lt;&gt;""),'Weekly Tracker'!$F$2:$F$766),"")</f>
        <v/>
      </c>
      <c r="G600" s="16">
        <f>IF(F600&lt;&gt;"",LOOKUP(2,1/('Weekly Tracker'!$E$2:$E$766=$A600)/('Weekly Tracker'!$F$2:$F$766&lt;&gt;""),'Weekly Tracker'!$G$2:$G$766),"")</f>
        <v/>
      </c>
      <c r="H600" s="9">
        <f>IFERROR(LOOKUP(2,1/('Weekly Tracker'!$E$2:$E$766=$A600)/('Weekly Tracker'!$H$2:$H$766&lt;&gt;""),'Weekly Tracker'!$H$2:$H$766),"")</f>
        <v/>
      </c>
      <c r="I600" s="16">
        <f>IF(H600&lt;&gt;"",LOOKUP(2,1/('Weekly Tracker'!$E$2:$E$766=$A600)/('Weekly Tracker'!$H$2:$H$766&lt;&gt;""),'Weekly Tracker'!$I$2:$I$766),"")</f>
        <v/>
      </c>
      <c r="J600" s="9">
        <f>IFERROR(LOOKUP(2,1/('Weekly Tracker'!$E$2:$E$766=$A600)/('Weekly Tracker'!$J$2:$J$766&lt;&gt;""),'Weekly Tracker'!$J$2:$J$766),"")</f>
        <v/>
      </c>
      <c r="K600" s="9">
        <f>IFERROR(LOOKUP(2,1/('Weekly Tracker'!$E$2:$E$766=$A600)/('Weekly Tracker'!$N$2:$N$766&lt;&gt;""),'Weekly Tracker'!$N$2:$N$766),"")</f>
        <v/>
      </c>
      <c r="L600" s="9">
        <f>IFERROR(LOOKUP(2,1/('Weekly Tracker'!$E$2:$E$766=$A600)/('Weekly Tracker'!$O$2:$O$766&lt;&gt;""),'Weekly Tracker'!$O$2:$O$766),"")</f>
        <v/>
      </c>
    </row>
    <row r="601">
      <c r="A601" s="9" t="inlineStr">
        <is>
          <t>Diwakar Urja</t>
        </is>
      </c>
      <c r="B601" s="9" t="inlineStr">
        <is>
          <t>9600145007</t>
        </is>
      </c>
      <c r="C601" s="9" t="n"/>
      <c r="D601" s="9" t="n"/>
      <c r="E601" s="9" t="n"/>
      <c r="F601" s="9">
        <f>IFERROR(LOOKUP(2,1/('Weekly Tracker'!$E$2:$E$766=$A601)/('Weekly Tracker'!$F$2:$F$766&lt;&gt;""),'Weekly Tracker'!$F$2:$F$766),"")</f>
        <v/>
      </c>
      <c r="G601" s="16">
        <f>IF(F601&lt;&gt;"",LOOKUP(2,1/('Weekly Tracker'!$E$2:$E$766=$A601)/('Weekly Tracker'!$F$2:$F$766&lt;&gt;""),'Weekly Tracker'!$G$2:$G$766),"")</f>
        <v/>
      </c>
      <c r="H601" s="9">
        <f>IFERROR(LOOKUP(2,1/('Weekly Tracker'!$E$2:$E$766=$A601)/('Weekly Tracker'!$H$2:$H$766&lt;&gt;""),'Weekly Tracker'!$H$2:$H$766),"")</f>
        <v/>
      </c>
      <c r="I601" s="16">
        <f>IF(H601&lt;&gt;"",LOOKUP(2,1/('Weekly Tracker'!$E$2:$E$766=$A601)/('Weekly Tracker'!$H$2:$H$766&lt;&gt;""),'Weekly Tracker'!$I$2:$I$766),"")</f>
        <v/>
      </c>
      <c r="J601" s="9">
        <f>IFERROR(LOOKUP(2,1/('Weekly Tracker'!$E$2:$E$766=$A601)/('Weekly Tracker'!$J$2:$J$766&lt;&gt;""),'Weekly Tracker'!$J$2:$J$766),"")</f>
        <v/>
      </c>
      <c r="K601" s="9">
        <f>IFERROR(LOOKUP(2,1/('Weekly Tracker'!$E$2:$E$766=$A601)/('Weekly Tracker'!$N$2:$N$766&lt;&gt;""),'Weekly Tracker'!$N$2:$N$766),"")</f>
        <v/>
      </c>
      <c r="L601" s="9">
        <f>IFERROR(LOOKUP(2,1/('Weekly Tracker'!$E$2:$E$766=$A601)/('Weekly Tracker'!$O$2:$O$766&lt;&gt;""),'Weekly Tracker'!$O$2:$O$766),"")</f>
        <v/>
      </c>
    </row>
    <row r="602">
      <c r="A602" s="9" t="inlineStr">
        <is>
          <t>Bharathi Arjun Frd</t>
        </is>
      </c>
      <c r="B602" s="9" t="inlineStr">
        <is>
          <t>918610165329</t>
        </is>
      </c>
      <c r="C602" s="9" t="n"/>
      <c r="D602" s="9" t="n"/>
      <c r="E602" s="9" t="n"/>
      <c r="F602" s="9">
        <f>IFERROR(LOOKUP(2,1/('Weekly Tracker'!$E$2:$E$766=$A602)/('Weekly Tracker'!$F$2:$F$766&lt;&gt;""),'Weekly Tracker'!$F$2:$F$766),"")</f>
        <v/>
      </c>
      <c r="G602" s="16">
        <f>IF(F602&lt;&gt;"",LOOKUP(2,1/('Weekly Tracker'!$E$2:$E$766=$A602)/('Weekly Tracker'!$F$2:$F$766&lt;&gt;""),'Weekly Tracker'!$G$2:$G$766),"")</f>
        <v/>
      </c>
      <c r="H602" s="9">
        <f>IFERROR(LOOKUP(2,1/('Weekly Tracker'!$E$2:$E$766=$A602)/('Weekly Tracker'!$H$2:$H$766&lt;&gt;""),'Weekly Tracker'!$H$2:$H$766),"")</f>
        <v/>
      </c>
      <c r="I602" s="16">
        <f>IF(H602&lt;&gt;"",LOOKUP(2,1/('Weekly Tracker'!$E$2:$E$766=$A602)/('Weekly Tracker'!$H$2:$H$766&lt;&gt;""),'Weekly Tracker'!$I$2:$I$766),"")</f>
        <v/>
      </c>
      <c r="J602" s="9">
        <f>IFERROR(LOOKUP(2,1/('Weekly Tracker'!$E$2:$E$766=$A602)/('Weekly Tracker'!$J$2:$J$766&lt;&gt;""),'Weekly Tracker'!$J$2:$J$766),"")</f>
        <v/>
      </c>
      <c r="K602" s="9">
        <f>IFERROR(LOOKUP(2,1/('Weekly Tracker'!$E$2:$E$766=$A602)/('Weekly Tracker'!$N$2:$N$766&lt;&gt;""),'Weekly Tracker'!$N$2:$N$766),"")</f>
        <v/>
      </c>
      <c r="L602" s="9">
        <f>IFERROR(LOOKUP(2,1/('Weekly Tracker'!$E$2:$E$766=$A602)/('Weekly Tracker'!$O$2:$O$766&lt;&gt;""),'Weekly Tracker'!$O$2:$O$766),"")</f>
        <v/>
      </c>
    </row>
    <row r="603">
      <c r="A603" s="9" t="inlineStr">
        <is>
          <t>Ram Ragul</t>
        </is>
      </c>
      <c r="B603" s="9" t="inlineStr">
        <is>
          <t>+91 80981 99223</t>
        </is>
      </c>
      <c r="C603" s="9" t="n"/>
      <c r="D603" s="9" t="n"/>
      <c r="E603" s="9" t="inlineStr">
        <is>
          <t>Tamil Nadu, India</t>
        </is>
      </c>
      <c r="F603" s="9">
        <f>IFERROR(LOOKUP(2,1/('Weekly Tracker'!$E$2:$E$766=$A603)/('Weekly Tracker'!$F$2:$F$766&lt;&gt;""),'Weekly Tracker'!$F$2:$F$766),"")</f>
        <v/>
      </c>
      <c r="G603" s="16">
        <f>IF(F603&lt;&gt;"",LOOKUP(2,1/('Weekly Tracker'!$E$2:$E$766=$A603)/('Weekly Tracker'!$F$2:$F$766&lt;&gt;""),'Weekly Tracker'!$G$2:$G$766),"")</f>
        <v/>
      </c>
      <c r="H603" s="9">
        <f>IFERROR(LOOKUP(2,1/('Weekly Tracker'!$E$2:$E$766=$A603)/('Weekly Tracker'!$H$2:$H$766&lt;&gt;""),'Weekly Tracker'!$H$2:$H$766),"")</f>
        <v/>
      </c>
      <c r="I603" s="16">
        <f>IF(H603&lt;&gt;"",LOOKUP(2,1/('Weekly Tracker'!$E$2:$E$766=$A603)/('Weekly Tracker'!$H$2:$H$766&lt;&gt;""),'Weekly Tracker'!$I$2:$I$766),"")</f>
        <v/>
      </c>
      <c r="J603" s="9">
        <f>IFERROR(LOOKUP(2,1/('Weekly Tracker'!$E$2:$E$766=$A603)/('Weekly Tracker'!$J$2:$J$766&lt;&gt;""),'Weekly Tracker'!$J$2:$J$766),"")</f>
        <v/>
      </c>
      <c r="K603" s="9">
        <f>IFERROR(LOOKUP(2,1/('Weekly Tracker'!$E$2:$E$766=$A603)/('Weekly Tracker'!$N$2:$N$766&lt;&gt;""),'Weekly Tracker'!$N$2:$N$766),"")</f>
        <v/>
      </c>
      <c r="L603" s="9">
        <f>IFERROR(LOOKUP(2,1/('Weekly Tracker'!$E$2:$E$766=$A603)/('Weekly Tracker'!$O$2:$O$766&lt;&gt;""),'Weekly Tracker'!$O$2:$O$766),"")</f>
        <v/>
      </c>
    </row>
    <row r="604">
      <c r="A604" s="9" t="inlineStr">
        <is>
          <t>Dison Dys FB</t>
        </is>
      </c>
      <c r="B604" s="9" t="inlineStr">
        <is>
          <t>9944437320</t>
        </is>
      </c>
      <c r="C604" s="9" t="n"/>
      <c r="D604" s="9" t="n"/>
      <c r="E604" s="9" t="n"/>
      <c r="F604" s="9">
        <f>IFERROR(LOOKUP(2,1/('Weekly Tracker'!$E$2:$E$766=$A604)/('Weekly Tracker'!$F$2:$F$766&lt;&gt;""),'Weekly Tracker'!$F$2:$F$766),"")</f>
        <v/>
      </c>
      <c r="G604" s="16">
        <f>IF(F604&lt;&gt;"",LOOKUP(2,1/('Weekly Tracker'!$E$2:$E$766=$A604)/('Weekly Tracker'!$F$2:$F$766&lt;&gt;""),'Weekly Tracker'!$G$2:$G$766),"")</f>
        <v/>
      </c>
      <c r="H604" s="9">
        <f>IFERROR(LOOKUP(2,1/('Weekly Tracker'!$E$2:$E$766=$A604)/('Weekly Tracker'!$H$2:$H$766&lt;&gt;""),'Weekly Tracker'!$H$2:$H$766),"")</f>
        <v/>
      </c>
      <c r="I604" s="16">
        <f>IF(H604&lt;&gt;"",LOOKUP(2,1/('Weekly Tracker'!$E$2:$E$766=$A604)/('Weekly Tracker'!$H$2:$H$766&lt;&gt;""),'Weekly Tracker'!$I$2:$I$766),"")</f>
        <v/>
      </c>
      <c r="J604" s="9">
        <f>IFERROR(LOOKUP(2,1/('Weekly Tracker'!$E$2:$E$766=$A604)/('Weekly Tracker'!$J$2:$J$766&lt;&gt;""),'Weekly Tracker'!$J$2:$J$766),"")</f>
        <v/>
      </c>
      <c r="K604" s="9">
        <f>IFERROR(LOOKUP(2,1/('Weekly Tracker'!$E$2:$E$766=$A604)/('Weekly Tracker'!$N$2:$N$766&lt;&gt;""),'Weekly Tracker'!$N$2:$N$766),"")</f>
        <v/>
      </c>
      <c r="L604" s="9">
        <f>IFERROR(LOOKUP(2,1/('Weekly Tracker'!$E$2:$E$766=$A604)/('Weekly Tracker'!$O$2:$O$766&lt;&gt;""),'Weekly Tracker'!$O$2:$O$766),"")</f>
        <v/>
      </c>
    </row>
    <row r="605">
      <c r="A605" s="9" t="inlineStr">
        <is>
          <t>Kkanagaraj FB</t>
        </is>
      </c>
      <c r="B605" s="9" t="inlineStr">
        <is>
          <t>8870728468</t>
        </is>
      </c>
      <c r="C605" s="9" t="n"/>
      <c r="D605" s="9" t="n"/>
      <c r="E605" s="9" t="n"/>
      <c r="F605" s="9">
        <f>IFERROR(LOOKUP(2,1/('Weekly Tracker'!$E$2:$E$766=$A605)/('Weekly Tracker'!$F$2:$F$766&lt;&gt;""),'Weekly Tracker'!$F$2:$F$766),"")</f>
        <v/>
      </c>
      <c r="G605" s="16">
        <f>IF(F605&lt;&gt;"",LOOKUP(2,1/('Weekly Tracker'!$E$2:$E$766=$A605)/('Weekly Tracker'!$F$2:$F$766&lt;&gt;""),'Weekly Tracker'!$G$2:$G$766),"")</f>
        <v/>
      </c>
      <c r="H605" s="9">
        <f>IFERROR(LOOKUP(2,1/('Weekly Tracker'!$E$2:$E$766=$A605)/('Weekly Tracker'!$H$2:$H$766&lt;&gt;""),'Weekly Tracker'!$H$2:$H$766),"")</f>
        <v/>
      </c>
      <c r="I605" s="16">
        <f>IF(H605&lt;&gt;"",LOOKUP(2,1/('Weekly Tracker'!$E$2:$E$766=$A605)/('Weekly Tracker'!$H$2:$H$766&lt;&gt;""),'Weekly Tracker'!$I$2:$I$766),"")</f>
        <v/>
      </c>
      <c r="J605" s="9">
        <f>IFERROR(LOOKUP(2,1/('Weekly Tracker'!$E$2:$E$766=$A605)/('Weekly Tracker'!$J$2:$J$766&lt;&gt;""),'Weekly Tracker'!$J$2:$J$766),"")</f>
        <v/>
      </c>
      <c r="K605" s="9">
        <f>IFERROR(LOOKUP(2,1/('Weekly Tracker'!$E$2:$E$766=$A605)/('Weekly Tracker'!$N$2:$N$766&lt;&gt;""),'Weekly Tracker'!$N$2:$N$766),"")</f>
        <v/>
      </c>
      <c r="L605" s="9">
        <f>IFERROR(LOOKUP(2,1/('Weekly Tracker'!$E$2:$E$766=$A605)/('Weekly Tracker'!$O$2:$O$766&lt;&gt;""),'Weekly Tracker'!$O$2:$O$766),"")</f>
        <v/>
      </c>
    </row>
    <row r="606">
      <c r="A606" s="9" t="inlineStr">
        <is>
          <t>Suganya Infy</t>
        </is>
      </c>
      <c r="B606" s="9" t="inlineStr">
        <is>
          <t>919094001071</t>
        </is>
      </c>
      <c r="C606" s="9" t="n"/>
      <c r="D606" s="9" t="n"/>
      <c r="E606" s="9" t="n"/>
      <c r="F606" s="9">
        <f>IFERROR(LOOKUP(2,1/('Weekly Tracker'!$E$2:$E$766=$A606)/('Weekly Tracker'!$F$2:$F$766&lt;&gt;""),'Weekly Tracker'!$F$2:$F$766),"")</f>
        <v/>
      </c>
      <c r="G606" s="16">
        <f>IF(F606&lt;&gt;"",LOOKUP(2,1/('Weekly Tracker'!$E$2:$E$766=$A606)/('Weekly Tracker'!$F$2:$F$766&lt;&gt;""),'Weekly Tracker'!$G$2:$G$766),"")</f>
        <v/>
      </c>
      <c r="H606" s="9">
        <f>IFERROR(LOOKUP(2,1/('Weekly Tracker'!$E$2:$E$766=$A606)/('Weekly Tracker'!$H$2:$H$766&lt;&gt;""),'Weekly Tracker'!$H$2:$H$766),"")</f>
        <v/>
      </c>
      <c r="I606" s="16">
        <f>IF(H606&lt;&gt;"",LOOKUP(2,1/('Weekly Tracker'!$E$2:$E$766=$A606)/('Weekly Tracker'!$H$2:$H$766&lt;&gt;""),'Weekly Tracker'!$I$2:$I$766),"")</f>
        <v/>
      </c>
      <c r="J606" s="9">
        <f>IFERROR(LOOKUP(2,1/('Weekly Tracker'!$E$2:$E$766=$A606)/('Weekly Tracker'!$J$2:$J$766&lt;&gt;""),'Weekly Tracker'!$J$2:$J$766),"")</f>
        <v/>
      </c>
      <c r="K606" s="9">
        <f>IFERROR(LOOKUP(2,1/('Weekly Tracker'!$E$2:$E$766=$A606)/('Weekly Tracker'!$N$2:$N$766&lt;&gt;""),'Weekly Tracker'!$N$2:$N$766),"")</f>
        <v/>
      </c>
      <c r="L606" s="9">
        <f>IFERROR(LOOKUP(2,1/('Weekly Tracker'!$E$2:$E$766=$A606)/('Weekly Tracker'!$O$2:$O$766&lt;&gt;""),'Weekly Tracker'!$O$2:$O$766),"")</f>
        <v/>
      </c>
    </row>
    <row r="607">
      <c r="A607" s="9" t="inlineStr">
        <is>
          <t>Srivatsan QS</t>
        </is>
      </c>
      <c r="B607" s="9" t="inlineStr">
        <is>
          <t>8015383560</t>
        </is>
      </c>
      <c r="C607" s="9" t="n"/>
      <c r="D607" s="9" t="n"/>
      <c r="E607" s="9" t="n"/>
      <c r="F607" s="9">
        <f>IFERROR(LOOKUP(2,1/('Weekly Tracker'!$E$2:$E$766=$A607)/('Weekly Tracker'!$F$2:$F$766&lt;&gt;""),'Weekly Tracker'!$F$2:$F$766),"")</f>
        <v/>
      </c>
      <c r="G607" s="16">
        <f>IF(F607&lt;&gt;"",LOOKUP(2,1/('Weekly Tracker'!$E$2:$E$766=$A607)/('Weekly Tracker'!$F$2:$F$766&lt;&gt;""),'Weekly Tracker'!$G$2:$G$766),"")</f>
        <v/>
      </c>
      <c r="H607" s="9">
        <f>IFERROR(LOOKUP(2,1/('Weekly Tracker'!$E$2:$E$766=$A607)/('Weekly Tracker'!$H$2:$H$766&lt;&gt;""),'Weekly Tracker'!$H$2:$H$766),"")</f>
        <v/>
      </c>
      <c r="I607" s="16">
        <f>IF(H607&lt;&gt;"",LOOKUP(2,1/('Weekly Tracker'!$E$2:$E$766=$A607)/('Weekly Tracker'!$H$2:$H$766&lt;&gt;""),'Weekly Tracker'!$I$2:$I$766),"")</f>
        <v/>
      </c>
      <c r="J607" s="9">
        <f>IFERROR(LOOKUP(2,1/('Weekly Tracker'!$E$2:$E$766=$A607)/('Weekly Tracker'!$J$2:$J$766&lt;&gt;""),'Weekly Tracker'!$J$2:$J$766),"")</f>
        <v/>
      </c>
      <c r="K607" s="9">
        <f>IFERROR(LOOKUP(2,1/('Weekly Tracker'!$E$2:$E$766=$A607)/('Weekly Tracker'!$N$2:$N$766&lt;&gt;""),'Weekly Tracker'!$N$2:$N$766),"")</f>
        <v/>
      </c>
      <c r="L607" s="9">
        <f>IFERROR(LOOKUP(2,1/('Weekly Tracker'!$E$2:$E$766=$A607)/('Weekly Tracker'!$O$2:$O$766&lt;&gt;""),'Weekly Tracker'!$O$2:$O$766),"")</f>
        <v/>
      </c>
    </row>
    <row r="608">
      <c r="A608" s="9" t="inlineStr">
        <is>
          <t>Aravinth Grp Ucen</t>
        </is>
      </c>
      <c r="B608" s="9" t="inlineStr">
        <is>
          <t>919698393140</t>
        </is>
      </c>
      <c r="C608" s="9" t="n"/>
      <c r="D608" s="9" t="n"/>
      <c r="E608" s="9" t="n"/>
      <c r="F608" s="9">
        <f>IFERROR(LOOKUP(2,1/('Weekly Tracker'!$E$2:$E$766=$A608)/('Weekly Tracker'!$F$2:$F$766&lt;&gt;""),'Weekly Tracker'!$F$2:$F$766),"")</f>
        <v/>
      </c>
      <c r="G608" s="16">
        <f>IF(F608&lt;&gt;"",LOOKUP(2,1/('Weekly Tracker'!$E$2:$E$766=$A608)/('Weekly Tracker'!$F$2:$F$766&lt;&gt;""),'Weekly Tracker'!$G$2:$G$766),"")</f>
        <v/>
      </c>
      <c r="H608" s="9">
        <f>IFERROR(LOOKUP(2,1/('Weekly Tracker'!$E$2:$E$766=$A608)/('Weekly Tracker'!$H$2:$H$766&lt;&gt;""),'Weekly Tracker'!$H$2:$H$766),"")</f>
        <v/>
      </c>
      <c r="I608" s="16">
        <f>IF(H608&lt;&gt;"",LOOKUP(2,1/('Weekly Tracker'!$E$2:$E$766=$A608)/('Weekly Tracker'!$H$2:$H$766&lt;&gt;""),'Weekly Tracker'!$I$2:$I$766),"")</f>
        <v/>
      </c>
      <c r="J608" s="9">
        <f>IFERROR(LOOKUP(2,1/('Weekly Tracker'!$E$2:$E$766=$A608)/('Weekly Tracker'!$J$2:$J$766&lt;&gt;""),'Weekly Tracker'!$J$2:$J$766),"")</f>
        <v/>
      </c>
      <c r="K608" s="9">
        <f>IFERROR(LOOKUP(2,1/('Weekly Tracker'!$E$2:$E$766=$A608)/('Weekly Tracker'!$N$2:$N$766&lt;&gt;""),'Weekly Tracker'!$N$2:$N$766),"")</f>
        <v/>
      </c>
      <c r="L608" s="9">
        <f>IFERROR(LOOKUP(2,1/('Weekly Tracker'!$E$2:$E$766=$A608)/('Weekly Tracker'!$O$2:$O$766&lt;&gt;""),'Weekly Tracker'!$O$2:$O$766),"")</f>
        <v/>
      </c>
    </row>
    <row r="609">
      <c r="A609" s="9" t="inlineStr">
        <is>
          <t>Arzad Arza Grp Ucen</t>
        </is>
      </c>
      <c r="B609" s="9" t="inlineStr">
        <is>
          <t>918190059110</t>
        </is>
      </c>
      <c r="C609" s="9" t="n"/>
      <c r="D609" s="9" t="n"/>
      <c r="E609" s="9" t="n"/>
      <c r="F609" s="9">
        <f>IFERROR(LOOKUP(2,1/('Weekly Tracker'!$E$2:$E$766=$A609)/('Weekly Tracker'!$F$2:$F$766&lt;&gt;""),'Weekly Tracker'!$F$2:$F$766),"")</f>
        <v/>
      </c>
      <c r="G609" s="16">
        <f>IF(F609&lt;&gt;"",LOOKUP(2,1/('Weekly Tracker'!$E$2:$E$766=$A609)/('Weekly Tracker'!$F$2:$F$766&lt;&gt;""),'Weekly Tracker'!$G$2:$G$766),"")</f>
        <v/>
      </c>
      <c r="H609" s="9">
        <f>IFERROR(LOOKUP(2,1/('Weekly Tracker'!$E$2:$E$766=$A609)/('Weekly Tracker'!$H$2:$H$766&lt;&gt;""),'Weekly Tracker'!$H$2:$H$766),"")</f>
        <v/>
      </c>
      <c r="I609" s="16">
        <f>IF(H609&lt;&gt;"",LOOKUP(2,1/('Weekly Tracker'!$E$2:$E$766=$A609)/('Weekly Tracker'!$H$2:$H$766&lt;&gt;""),'Weekly Tracker'!$I$2:$I$766),"")</f>
        <v/>
      </c>
      <c r="J609" s="9">
        <f>IFERROR(LOOKUP(2,1/('Weekly Tracker'!$E$2:$E$766=$A609)/('Weekly Tracker'!$J$2:$J$766&lt;&gt;""),'Weekly Tracker'!$J$2:$J$766),"")</f>
        <v/>
      </c>
      <c r="K609" s="9">
        <f>IFERROR(LOOKUP(2,1/('Weekly Tracker'!$E$2:$E$766=$A609)/('Weekly Tracker'!$N$2:$N$766&lt;&gt;""),'Weekly Tracker'!$N$2:$N$766),"")</f>
        <v/>
      </c>
      <c r="L609" s="9">
        <f>IFERROR(LOOKUP(2,1/('Weekly Tracker'!$E$2:$E$766=$A609)/('Weekly Tracker'!$O$2:$O$766&lt;&gt;""),'Weekly Tracker'!$O$2:$O$766),"")</f>
        <v/>
      </c>
    </row>
    <row r="610">
      <c r="A610" s="9" t="inlineStr">
        <is>
          <t>Haja Mohideen LI</t>
        </is>
      </c>
      <c r="B610" s="9" t="inlineStr">
        <is>
          <t>9444402098</t>
        </is>
      </c>
      <c r="C610" s="9" t="n"/>
      <c r="D610" s="9" t="n"/>
      <c r="E610" s="9" t="n"/>
      <c r="F610" s="9">
        <f>IFERROR(LOOKUP(2,1/('Weekly Tracker'!$E$2:$E$766=$A610)/('Weekly Tracker'!$F$2:$F$766&lt;&gt;""),'Weekly Tracker'!$F$2:$F$766),"")</f>
        <v/>
      </c>
      <c r="G610" s="16">
        <f>IF(F610&lt;&gt;"",LOOKUP(2,1/('Weekly Tracker'!$E$2:$E$766=$A610)/('Weekly Tracker'!$F$2:$F$766&lt;&gt;""),'Weekly Tracker'!$G$2:$G$766),"")</f>
        <v/>
      </c>
      <c r="H610" s="9">
        <f>IFERROR(LOOKUP(2,1/('Weekly Tracker'!$E$2:$E$766=$A610)/('Weekly Tracker'!$H$2:$H$766&lt;&gt;""),'Weekly Tracker'!$H$2:$H$766),"")</f>
        <v/>
      </c>
      <c r="I610" s="16">
        <f>IF(H610&lt;&gt;"",LOOKUP(2,1/('Weekly Tracker'!$E$2:$E$766=$A610)/('Weekly Tracker'!$H$2:$H$766&lt;&gt;""),'Weekly Tracker'!$I$2:$I$766),"")</f>
        <v/>
      </c>
      <c r="J610" s="9">
        <f>IFERROR(LOOKUP(2,1/('Weekly Tracker'!$E$2:$E$766=$A610)/('Weekly Tracker'!$J$2:$J$766&lt;&gt;""),'Weekly Tracker'!$J$2:$J$766),"")</f>
        <v/>
      </c>
      <c r="K610" s="9">
        <f>IFERROR(LOOKUP(2,1/('Weekly Tracker'!$E$2:$E$766=$A610)/('Weekly Tracker'!$N$2:$N$766&lt;&gt;""),'Weekly Tracker'!$N$2:$N$766),"")</f>
        <v/>
      </c>
      <c r="L610" s="9">
        <f>IFERROR(LOOKUP(2,1/('Weekly Tracker'!$E$2:$E$766=$A610)/('Weekly Tracker'!$O$2:$O$766&lt;&gt;""),'Weekly Tracker'!$O$2:$O$766),"")</f>
        <v/>
      </c>
    </row>
    <row r="611">
      <c r="A611" s="9" t="inlineStr">
        <is>
          <t>John Shebin Grp</t>
        </is>
      </c>
      <c r="B611" s="9" t="inlineStr">
        <is>
          <t>971553948576</t>
        </is>
      </c>
      <c r="C611" s="9" t="n"/>
      <c r="D611" s="9" t="n"/>
      <c r="E611" s="9" t="n"/>
      <c r="F611" s="9">
        <f>IFERROR(LOOKUP(2,1/('Weekly Tracker'!$E$2:$E$766=$A611)/('Weekly Tracker'!$F$2:$F$766&lt;&gt;""),'Weekly Tracker'!$F$2:$F$766),"")</f>
        <v/>
      </c>
      <c r="G611" s="16">
        <f>IF(F611&lt;&gt;"",LOOKUP(2,1/('Weekly Tracker'!$E$2:$E$766=$A611)/('Weekly Tracker'!$F$2:$F$766&lt;&gt;""),'Weekly Tracker'!$G$2:$G$766),"")</f>
        <v/>
      </c>
      <c r="H611" s="9">
        <f>IFERROR(LOOKUP(2,1/('Weekly Tracker'!$E$2:$E$766=$A611)/('Weekly Tracker'!$H$2:$H$766&lt;&gt;""),'Weekly Tracker'!$H$2:$H$766),"")</f>
        <v/>
      </c>
      <c r="I611" s="16">
        <f>IF(H611&lt;&gt;"",LOOKUP(2,1/('Weekly Tracker'!$E$2:$E$766=$A611)/('Weekly Tracker'!$H$2:$H$766&lt;&gt;""),'Weekly Tracker'!$I$2:$I$766),"")</f>
        <v/>
      </c>
      <c r="J611" s="9">
        <f>IFERROR(LOOKUP(2,1/('Weekly Tracker'!$E$2:$E$766=$A611)/('Weekly Tracker'!$J$2:$J$766&lt;&gt;""),'Weekly Tracker'!$J$2:$J$766),"")</f>
        <v/>
      </c>
      <c r="K611" s="9">
        <f>IFERROR(LOOKUP(2,1/('Weekly Tracker'!$E$2:$E$766=$A611)/('Weekly Tracker'!$N$2:$N$766&lt;&gt;""),'Weekly Tracker'!$N$2:$N$766),"")</f>
        <v/>
      </c>
      <c r="L611" s="9">
        <f>IFERROR(LOOKUP(2,1/('Weekly Tracker'!$E$2:$E$766=$A611)/('Weekly Tracker'!$O$2:$O$766&lt;&gt;""),'Weekly Tracker'!$O$2:$O$766),"")</f>
        <v/>
      </c>
    </row>
    <row r="612">
      <c r="A612" s="9" t="inlineStr">
        <is>
          <t>Mathan Raj Murugan FB</t>
        </is>
      </c>
      <c r="B612" s="9" t="inlineStr">
        <is>
          <t>918680857660</t>
        </is>
      </c>
      <c r="C612" s="9" t="n"/>
      <c r="D612" s="9" t="n"/>
      <c r="E612" s="9" t="n"/>
      <c r="F612" s="9">
        <f>IFERROR(LOOKUP(2,1/('Weekly Tracker'!$E$2:$E$766=$A612)/('Weekly Tracker'!$F$2:$F$766&lt;&gt;""),'Weekly Tracker'!$F$2:$F$766),"")</f>
        <v/>
      </c>
      <c r="G612" s="16">
        <f>IF(F612&lt;&gt;"",LOOKUP(2,1/('Weekly Tracker'!$E$2:$E$766=$A612)/('Weekly Tracker'!$F$2:$F$766&lt;&gt;""),'Weekly Tracker'!$G$2:$G$766),"")</f>
        <v/>
      </c>
      <c r="H612" s="9">
        <f>IFERROR(LOOKUP(2,1/('Weekly Tracker'!$E$2:$E$766=$A612)/('Weekly Tracker'!$H$2:$H$766&lt;&gt;""),'Weekly Tracker'!$H$2:$H$766),"")</f>
        <v/>
      </c>
      <c r="I612" s="16">
        <f>IF(H612&lt;&gt;"",LOOKUP(2,1/('Weekly Tracker'!$E$2:$E$766=$A612)/('Weekly Tracker'!$H$2:$H$766&lt;&gt;""),'Weekly Tracker'!$I$2:$I$766),"")</f>
        <v/>
      </c>
      <c r="J612" s="9">
        <f>IFERROR(LOOKUP(2,1/('Weekly Tracker'!$E$2:$E$766=$A612)/('Weekly Tracker'!$J$2:$J$766&lt;&gt;""),'Weekly Tracker'!$J$2:$J$766),"")</f>
        <v/>
      </c>
      <c r="K612" s="9">
        <f>IFERROR(LOOKUP(2,1/('Weekly Tracker'!$E$2:$E$766=$A612)/('Weekly Tracker'!$N$2:$N$766&lt;&gt;""),'Weekly Tracker'!$N$2:$N$766),"")</f>
        <v/>
      </c>
      <c r="L612" s="9">
        <f>IFERROR(LOOKUP(2,1/('Weekly Tracker'!$E$2:$E$766=$A612)/('Weekly Tracker'!$O$2:$O$766&lt;&gt;""),'Weekly Tracker'!$O$2:$O$766),"")</f>
        <v/>
      </c>
    </row>
    <row r="613">
      <c r="A613" s="9" t="inlineStr">
        <is>
          <t>Sathan Grp Ucen</t>
        </is>
      </c>
      <c r="B613" s="9" t="inlineStr">
        <is>
          <t>919655547941</t>
        </is>
      </c>
      <c r="C613" s="9" t="n"/>
      <c r="D613" s="9" t="n"/>
      <c r="E613" s="9" t="n"/>
      <c r="F613" s="9">
        <f>IFERROR(LOOKUP(2,1/('Weekly Tracker'!$E$2:$E$766=$A613)/('Weekly Tracker'!$F$2:$F$766&lt;&gt;""),'Weekly Tracker'!$F$2:$F$766),"")</f>
        <v/>
      </c>
      <c r="G613" s="16">
        <f>IF(F613&lt;&gt;"",LOOKUP(2,1/('Weekly Tracker'!$E$2:$E$766=$A613)/('Weekly Tracker'!$F$2:$F$766&lt;&gt;""),'Weekly Tracker'!$G$2:$G$766),"")</f>
        <v/>
      </c>
      <c r="H613" s="9">
        <f>IFERROR(LOOKUP(2,1/('Weekly Tracker'!$E$2:$E$766=$A613)/('Weekly Tracker'!$H$2:$H$766&lt;&gt;""),'Weekly Tracker'!$H$2:$H$766),"")</f>
        <v/>
      </c>
      <c r="I613" s="16">
        <f>IF(H613&lt;&gt;"",LOOKUP(2,1/('Weekly Tracker'!$E$2:$E$766=$A613)/('Weekly Tracker'!$H$2:$H$766&lt;&gt;""),'Weekly Tracker'!$I$2:$I$766),"")</f>
        <v/>
      </c>
      <c r="J613" s="9">
        <f>IFERROR(LOOKUP(2,1/('Weekly Tracker'!$E$2:$E$766=$A613)/('Weekly Tracker'!$J$2:$J$766&lt;&gt;""),'Weekly Tracker'!$J$2:$J$766),"")</f>
        <v/>
      </c>
      <c r="K613" s="9">
        <f>IFERROR(LOOKUP(2,1/('Weekly Tracker'!$E$2:$E$766=$A613)/('Weekly Tracker'!$N$2:$N$766&lt;&gt;""),'Weekly Tracker'!$N$2:$N$766),"")</f>
        <v/>
      </c>
      <c r="L613" s="9">
        <f>IFERROR(LOOKUP(2,1/('Weekly Tracker'!$E$2:$E$766=$A613)/('Weekly Tracker'!$O$2:$O$766&lt;&gt;""),'Weekly Tracker'!$O$2:$O$766),"")</f>
        <v/>
      </c>
    </row>
    <row r="614">
      <c r="A614" s="9" t="inlineStr">
        <is>
          <t>Rajamanikam FB</t>
        </is>
      </c>
      <c r="B614" s="9" t="inlineStr">
        <is>
          <t>917598465848</t>
        </is>
      </c>
      <c r="C614" s="9" t="n"/>
      <c r="D614" s="9" t="n"/>
      <c r="E614" s="9" t="n"/>
      <c r="F614" s="9">
        <f>IFERROR(LOOKUP(2,1/('Weekly Tracker'!$E$2:$E$766=$A614)/('Weekly Tracker'!$F$2:$F$766&lt;&gt;""),'Weekly Tracker'!$F$2:$F$766),"")</f>
        <v/>
      </c>
      <c r="G614" s="16">
        <f>IF(F614&lt;&gt;"",LOOKUP(2,1/('Weekly Tracker'!$E$2:$E$766=$A614)/('Weekly Tracker'!$F$2:$F$766&lt;&gt;""),'Weekly Tracker'!$G$2:$G$766),"")</f>
        <v/>
      </c>
      <c r="H614" s="9">
        <f>IFERROR(LOOKUP(2,1/('Weekly Tracker'!$E$2:$E$766=$A614)/('Weekly Tracker'!$H$2:$H$766&lt;&gt;""),'Weekly Tracker'!$H$2:$H$766),"")</f>
        <v/>
      </c>
      <c r="I614" s="16">
        <f>IF(H614&lt;&gt;"",LOOKUP(2,1/('Weekly Tracker'!$E$2:$E$766=$A614)/('Weekly Tracker'!$H$2:$H$766&lt;&gt;""),'Weekly Tracker'!$I$2:$I$766),"")</f>
        <v/>
      </c>
      <c r="J614" s="9">
        <f>IFERROR(LOOKUP(2,1/('Weekly Tracker'!$E$2:$E$766=$A614)/('Weekly Tracker'!$J$2:$J$766&lt;&gt;""),'Weekly Tracker'!$J$2:$J$766),"")</f>
        <v/>
      </c>
      <c r="K614" s="9">
        <f>IFERROR(LOOKUP(2,1/('Weekly Tracker'!$E$2:$E$766=$A614)/('Weekly Tracker'!$N$2:$N$766&lt;&gt;""),'Weekly Tracker'!$N$2:$N$766),"")</f>
        <v/>
      </c>
      <c r="L614" s="9">
        <f>IFERROR(LOOKUP(2,1/('Weekly Tracker'!$E$2:$E$766=$A614)/('Weekly Tracker'!$O$2:$O$766&lt;&gt;""),'Weekly Tracker'!$O$2:$O$766),"")</f>
        <v/>
      </c>
    </row>
    <row r="615">
      <c r="A615" s="9" t="inlineStr">
        <is>
          <t>Arun Ravidran HCL</t>
        </is>
      </c>
      <c r="B615" s="9" t="inlineStr">
        <is>
          <t>9742933100</t>
        </is>
      </c>
      <c r="C615" s="9" t="n"/>
      <c r="D615" s="9" t="n"/>
      <c r="E615" s="9" t="n"/>
      <c r="F615" s="9">
        <f>IFERROR(LOOKUP(2,1/('Weekly Tracker'!$E$2:$E$766=$A615)/('Weekly Tracker'!$F$2:$F$766&lt;&gt;""),'Weekly Tracker'!$F$2:$F$766),"")</f>
        <v/>
      </c>
      <c r="G615" s="16">
        <f>IF(F615&lt;&gt;"",LOOKUP(2,1/('Weekly Tracker'!$E$2:$E$766=$A615)/('Weekly Tracker'!$F$2:$F$766&lt;&gt;""),'Weekly Tracker'!$G$2:$G$766),"")</f>
        <v/>
      </c>
      <c r="H615" s="9">
        <f>IFERROR(LOOKUP(2,1/('Weekly Tracker'!$E$2:$E$766=$A615)/('Weekly Tracker'!$H$2:$H$766&lt;&gt;""),'Weekly Tracker'!$H$2:$H$766),"")</f>
        <v/>
      </c>
      <c r="I615" s="16">
        <f>IF(H615&lt;&gt;"",LOOKUP(2,1/('Weekly Tracker'!$E$2:$E$766=$A615)/('Weekly Tracker'!$H$2:$H$766&lt;&gt;""),'Weekly Tracker'!$I$2:$I$766),"")</f>
        <v/>
      </c>
      <c r="J615" s="9">
        <f>IFERROR(LOOKUP(2,1/('Weekly Tracker'!$E$2:$E$766=$A615)/('Weekly Tracker'!$J$2:$J$766&lt;&gt;""),'Weekly Tracker'!$J$2:$J$766),"")</f>
        <v/>
      </c>
      <c r="K615" s="9">
        <f>IFERROR(LOOKUP(2,1/('Weekly Tracker'!$E$2:$E$766=$A615)/('Weekly Tracker'!$N$2:$N$766&lt;&gt;""),'Weekly Tracker'!$N$2:$N$766),"")</f>
        <v/>
      </c>
      <c r="L615" s="9">
        <f>IFERROR(LOOKUP(2,1/('Weekly Tracker'!$E$2:$E$766=$A615)/('Weekly Tracker'!$O$2:$O$766&lt;&gt;""),'Weekly Tracker'!$O$2:$O$766),"")</f>
        <v/>
      </c>
    </row>
    <row r="616">
      <c r="A616" s="9" t="inlineStr">
        <is>
          <t>Tamil Iniyan ECE</t>
        </is>
      </c>
      <c r="B616" s="9" t="inlineStr">
        <is>
          <t>916379821981</t>
        </is>
      </c>
      <c r="C616" s="9" t="n"/>
      <c r="D616" s="9" t="n"/>
      <c r="E616" s="9" t="n"/>
      <c r="F616" s="9">
        <f>IFERROR(LOOKUP(2,1/('Weekly Tracker'!$E$2:$E$766=$A616)/('Weekly Tracker'!$F$2:$F$766&lt;&gt;""),'Weekly Tracker'!$F$2:$F$766),"")</f>
        <v/>
      </c>
      <c r="G616" s="16">
        <f>IF(F616&lt;&gt;"",LOOKUP(2,1/('Weekly Tracker'!$E$2:$E$766=$A616)/('Weekly Tracker'!$F$2:$F$766&lt;&gt;""),'Weekly Tracker'!$G$2:$G$766),"")</f>
        <v/>
      </c>
      <c r="H616" s="9">
        <f>IFERROR(LOOKUP(2,1/('Weekly Tracker'!$E$2:$E$766=$A616)/('Weekly Tracker'!$H$2:$H$766&lt;&gt;""),'Weekly Tracker'!$H$2:$H$766),"")</f>
        <v/>
      </c>
      <c r="I616" s="16">
        <f>IF(H616&lt;&gt;"",LOOKUP(2,1/('Weekly Tracker'!$E$2:$E$766=$A616)/('Weekly Tracker'!$H$2:$H$766&lt;&gt;""),'Weekly Tracker'!$I$2:$I$766),"")</f>
        <v/>
      </c>
      <c r="J616" s="9">
        <f>IFERROR(LOOKUP(2,1/('Weekly Tracker'!$E$2:$E$766=$A616)/('Weekly Tracker'!$J$2:$J$766&lt;&gt;""),'Weekly Tracker'!$J$2:$J$766),"")</f>
        <v/>
      </c>
      <c r="K616" s="9">
        <f>IFERROR(LOOKUP(2,1/('Weekly Tracker'!$E$2:$E$766=$A616)/('Weekly Tracker'!$N$2:$N$766&lt;&gt;""),'Weekly Tracker'!$N$2:$N$766),"")</f>
        <v/>
      </c>
      <c r="L616" s="9">
        <f>IFERROR(LOOKUP(2,1/('Weekly Tracker'!$E$2:$E$766=$A616)/('Weekly Tracker'!$O$2:$O$766&lt;&gt;""),'Weekly Tracker'!$O$2:$O$766),"")</f>
        <v/>
      </c>
    </row>
    <row r="617">
      <c r="A617" s="9" t="inlineStr">
        <is>
          <t>Tcs HR</t>
        </is>
      </c>
      <c r="B617" s="9" t="inlineStr">
        <is>
          <t>918013351742</t>
        </is>
      </c>
      <c r="C617" s="9" t="n"/>
      <c r="D617" s="9" t="n"/>
      <c r="E617" s="9" t="n"/>
      <c r="F617" s="9">
        <f>IFERROR(LOOKUP(2,1/('Weekly Tracker'!$E$2:$E$766=$A617)/('Weekly Tracker'!$F$2:$F$766&lt;&gt;""),'Weekly Tracker'!$F$2:$F$766),"")</f>
        <v/>
      </c>
      <c r="G617" s="16">
        <f>IF(F617&lt;&gt;"",LOOKUP(2,1/('Weekly Tracker'!$E$2:$E$766=$A617)/('Weekly Tracker'!$F$2:$F$766&lt;&gt;""),'Weekly Tracker'!$G$2:$G$766),"")</f>
        <v/>
      </c>
      <c r="H617" s="9">
        <f>IFERROR(LOOKUP(2,1/('Weekly Tracker'!$E$2:$E$766=$A617)/('Weekly Tracker'!$H$2:$H$766&lt;&gt;""),'Weekly Tracker'!$H$2:$H$766),"")</f>
        <v/>
      </c>
      <c r="I617" s="16">
        <f>IF(H617&lt;&gt;"",LOOKUP(2,1/('Weekly Tracker'!$E$2:$E$766=$A617)/('Weekly Tracker'!$H$2:$H$766&lt;&gt;""),'Weekly Tracker'!$I$2:$I$766),"")</f>
        <v/>
      </c>
      <c r="J617" s="9">
        <f>IFERROR(LOOKUP(2,1/('Weekly Tracker'!$E$2:$E$766=$A617)/('Weekly Tracker'!$J$2:$J$766&lt;&gt;""),'Weekly Tracker'!$J$2:$J$766),"")</f>
        <v/>
      </c>
      <c r="K617" s="9">
        <f>IFERROR(LOOKUP(2,1/('Weekly Tracker'!$E$2:$E$766=$A617)/('Weekly Tracker'!$N$2:$N$766&lt;&gt;""),'Weekly Tracker'!$N$2:$N$766),"")</f>
        <v/>
      </c>
      <c r="L617" s="9">
        <f>IFERROR(LOOKUP(2,1/('Weekly Tracker'!$E$2:$E$766=$A617)/('Weekly Tracker'!$O$2:$O$766&lt;&gt;""),'Weekly Tracker'!$O$2:$O$766),"")</f>
        <v/>
      </c>
    </row>
    <row r="618">
      <c r="A618" s="9" t="inlineStr">
        <is>
          <t>KaniMozhi Madam Akka</t>
        </is>
      </c>
      <c r="B618" s="9" t="inlineStr">
        <is>
          <t>919080856549</t>
        </is>
      </c>
      <c r="C618" s="9" t="n"/>
      <c r="D618" s="9" t="n"/>
      <c r="E618" s="9" t="n"/>
      <c r="F618" s="9">
        <f>IFERROR(LOOKUP(2,1/('Weekly Tracker'!$E$2:$E$766=$A618)/('Weekly Tracker'!$F$2:$F$766&lt;&gt;""),'Weekly Tracker'!$F$2:$F$766),"")</f>
        <v/>
      </c>
      <c r="G618" s="16">
        <f>IF(F618&lt;&gt;"",LOOKUP(2,1/('Weekly Tracker'!$E$2:$E$766=$A618)/('Weekly Tracker'!$F$2:$F$766&lt;&gt;""),'Weekly Tracker'!$G$2:$G$766),"")</f>
        <v/>
      </c>
      <c r="H618" s="9">
        <f>IFERROR(LOOKUP(2,1/('Weekly Tracker'!$E$2:$E$766=$A618)/('Weekly Tracker'!$H$2:$H$766&lt;&gt;""),'Weekly Tracker'!$H$2:$H$766),"")</f>
        <v/>
      </c>
      <c r="I618" s="16">
        <f>IF(H618&lt;&gt;"",LOOKUP(2,1/('Weekly Tracker'!$E$2:$E$766=$A618)/('Weekly Tracker'!$H$2:$H$766&lt;&gt;""),'Weekly Tracker'!$I$2:$I$766),"")</f>
        <v/>
      </c>
      <c r="J618" s="9">
        <f>IFERROR(LOOKUP(2,1/('Weekly Tracker'!$E$2:$E$766=$A618)/('Weekly Tracker'!$J$2:$J$766&lt;&gt;""),'Weekly Tracker'!$J$2:$J$766),"")</f>
        <v/>
      </c>
      <c r="K618" s="9">
        <f>IFERROR(LOOKUP(2,1/('Weekly Tracker'!$E$2:$E$766=$A618)/('Weekly Tracker'!$N$2:$N$766&lt;&gt;""),'Weekly Tracker'!$N$2:$N$766),"")</f>
        <v/>
      </c>
      <c r="L618" s="9">
        <f>IFERROR(LOOKUP(2,1/('Weekly Tracker'!$E$2:$E$766=$A618)/('Weekly Tracker'!$O$2:$O$766&lt;&gt;""),'Weekly Tracker'!$O$2:$O$766),"")</f>
        <v/>
      </c>
    </row>
    <row r="619">
      <c r="A619" s="9" t="inlineStr">
        <is>
          <t>Meena DA Urja</t>
        </is>
      </c>
      <c r="B619" s="9" t="inlineStr">
        <is>
          <t>90031 75367, 9003175367, 9344957674</t>
        </is>
      </c>
      <c r="C619" s="9" t="n"/>
      <c r="D619" s="9" t="n"/>
      <c r="E619" s="9" t="n"/>
      <c r="F619" s="9">
        <f>IFERROR(LOOKUP(2,1/('Weekly Tracker'!$E$2:$E$766=$A619)/('Weekly Tracker'!$F$2:$F$766&lt;&gt;""),'Weekly Tracker'!$F$2:$F$766),"")</f>
        <v/>
      </c>
      <c r="G619" s="16">
        <f>IF(F619&lt;&gt;"",LOOKUP(2,1/('Weekly Tracker'!$E$2:$E$766=$A619)/('Weekly Tracker'!$F$2:$F$766&lt;&gt;""),'Weekly Tracker'!$G$2:$G$766),"")</f>
        <v/>
      </c>
      <c r="H619" s="9">
        <f>IFERROR(LOOKUP(2,1/('Weekly Tracker'!$E$2:$E$766=$A619)/('Weekly Tracker'!$H$2:$H$766&lt;&gt;""),'Weekly Tracker'!$H$2:$H$766),"")</f>
        <v/>
      </c>
      <c r="I619" s="16">
        <f>IF(H619&lt;&gt;"",LOOKUP(2,1/('Weekly Tracker'!$E$2:$E$766=$A619)/('Weekly Tracker'!$H$2:$H$766&lt;&gt;""),'Weekly Tracker'!$I$2:$I$766),"")</f>
        <v/>
      </c>
      <c r="J619" s="9">
        <f>IFERROR(LOOKUP(2,1/('Weekly Tracker'!$E$2:$E$766=$A619)/('Weekly Tracker'!$J$2:$J$766&lt;&gt;""),'Weekly Tracker'!$J$2:$J$766),"")</f>
        <v/>
      </c>
      <c r="K619" s="9">
        <f>IFERROR(LOOKUP(2,1/('Weekly Tracker'!$E$2:$E$766=$A619)/('Weekly Tracker'!$N$2:$N$766&lt;&gt;""),'Weekly Tracker'!$N$2:$N$766),"")</f>
        <v/>
      </c>
      <c r="L619" s="9">
        <f>IFERROR(LOOKUP(2,1/('Weekly Tracker'!$E$2:$E$766=$A619)/('Weekly Tracker'!$O$2:$O$766&lt;&gt;""),'Weekly Tracker'!$O$2:$O$766),"")</f>
        <v/>
      </c>
    </row>
    <row r="620">
      <c r="A620" s="9" t="inlineStr">
        <is>
          <t>Shiva Chithambaram FB</t>
        </is>
      </c>
      <c r="B620" s="9" t="inlineStr">
        <is>
          <t>7418105691</t>
        </is>
      </c>
      <c r="C620" s="9" t="n"/>
      <c r="D620" s="9" t="n"/>
      <c r="E620" s="9" t="n"/>
      <c r="F620" s="9">
        <f>IFERROR(LOOKUP(2,1/('Weekly Tracker'!$E$2:$E$766=$A620)/('Weekly Tracker'!$F$2:$F$766&lt;&gt;""),'Weekly Tracker'!$F$2:$F$766),"")</f>
        <v/>
      </c>
      <c r="G620" s="16">
        <f>IF(F620&lt;&gt;"",LOOKUP(2,1/('Weekly Tracker'!$E$2:$E$766=$A620)/('Weekly Tracker'!$F$2:$F$766&lt;&gt;""),'Weekly Tracker'!$G$2:$G$766),"")</f>
        <v/>
      </c>
      <c r="H620" s="9">
        <f>IFERROR(LOOKUP(2,1/('Weekly Tracker'!$E$2:$E$766=$A620)/('Weekly Tracker'!$H$2:$H$766&lt;&gt;""),'Weekly Tracker'!$H$2:$H$766),"")</f>
        <v/>
      </c>
      <c r="I620" s="16">
        <f>IF(H620&lt;&gt;"",LOOKUP(2,1/('Weekly Tracker'!$E$2:$E$766=$A620)/('Weekly Tracker'!$H$2:$H$766&lt;&gt;""),'Weekly Tracker'!$I$2:$I$766),"")</f>
        <v/>
      </c>
      <c r="J620" s="9">
        <f>IFERROR(LOOKUP(2,1/('Weekly Tracker'!$E$2:$E$766=$A620)/('Weekly Tracker'!$J$2:$J$766&lt;&gt;""),'Weekly Tracker'!$J$2:$J$766),"")</f>
        <v/>
      </c>
      <c r="K620" s="9">
        <f>IFERROR(LOOKUP(2,1/('Weekly Tracker'!$E$2:$E$766=$A620)/('Weekly Tracker'!$N$2:$N$766&lt;&gt;""),'Weekly Tracker'!$N$2:$N$766),"")</f>
        <v/>
      </c>
      <c r="L620" s="9">
        <f>IFERROR(LOOKUP(2,1/('Weekly Tracker'!$E$2:$E$766=$A620)/('Weekly Tracker'!$O$2:$O$766&lt;&gt;""),'Weekly Tracker'!$O$2:$O$766),"")</f>
        <v/>
      </c>
    </row>
    <row r="621">
      <c r="A621" s="9" t="inlineStr">
        <is>
          <t>Haridoss Vijay Sarathy Frd</t>
        </is>
      </c>
      <c r="B621" s="9" t="inlineStr">
        <is>
          <t>8072908622, 090948 79598</t>
        </is>
      </c>
      <c r="C621" s="9" t="n"/>
      <c r="D621" s="9" t="n"/>
      <c r="E621" s="9" t="n"/>
      <c r="F621" s="9">
        <f>IFERROR(LOOKUP(2,1/('Weekly Tracker'!$E$2:$E$766=$A621)/('Weekly Tracker'!$F$2:$F$766&lt;&gt;""),'Weekly Tracker'!$F$2:$F$766),"")</f>
        <v/>
      </c>
      <c r="G621" s="16">
        <f>IF(F621&lt;&gt;"",LOOKUP(2,1/('Weekly Tracker'!$E$2:$E$766=$A621)/('Weekly Tracker'!$F$2:$F$766&lt;&gt;""),'Weekly Tracker'!$G$2:$G$766),"")</f>
        <v/>
      </c>
      <c r="H621" s="9">
        <f>IFERROR(LOOKUP(2,1/('Weekly Tracker'!$E$2:$E$766=$A621)/('Weekly Tracker'!$H$2:$H$766&lt;&gt;""),'Weekly Tracker'!$H$2:$H$766),"")</f>
        <v/>
      </c>
      <c r="I621" s="16">
        <f>IF(H621&lt;&gt;"",LOOKUP(2,1/('Weekly Tracker'!$E$2:$E$766=$A621)/('Weekly Tracker'!$H$2:$H$766&lt;&gt;""),'Weekly Tracker'!$I$2:$I$766),"")</f>
        <v/>
      </c>
      <c r="J621" s="9">
        <f>IFERROR(LOOKUP(2,1/('Weekly Tracker'!$E$2:$E$766=$A621)/('Weekly Tracker'!$J$2:$J$766&lt;&gt;""),'Weekly Tracker'!$J$2:$J$766),"")</f>
        <v/>
      </c>
      <c r="K621" s="9">
        <f>IFERROR(LOOKUP(2,1/('Weekly Tracker'!$E$2:$E$766=$A621)/('Weekly Tracker'!$N$2:$N$766&lt;&gt;""),'Weekly Tracker'!$N$2:$N$766),"")</f>
        <v/>
      </c>
      <c r="L621" s="9">
        <f>IFERROR(LOOKUP(2,1/('Weekly Tracker'!$E$2:$E$766=$A621)/('Weekly Tracker'!$O$2:$O$766&lt;&gt;""),'Weekly Tracker'!$O$2:$O$766),"")</f>
        <v/>
      </c>
    </row>
    <row r="622">
      <c r="A622" s="9" t="inlineStr">
        <is>
          <t>Chakravarthy Finance</t>
        </is>
      </c>
      <c r="B622" s="9" t="inlineStr">
        <is>
          <t>8778830621</t>
        </is>
      </c>
      <c r="C622" s="9" t="n"/>
      <c r="D622" s="9" t="n"/>
      <c r="E622" s="9" t="n"/>
      <c r="F622" s="9">
        <f>IFERROR(LOOKUP(2,1/('Weekly Tracker'!$E$2:$E$766=$A622)/('Weekly Tracker'!$F$2:$F$766&lt;&gt;""),'Weekly Tracker'!$F$2:$F$766),"")</f>
        <v/>
      </c>
      <c r="G622" s="16">
        <f>IF(F622&lt;&gt;"",LOOKUP(2,1/('Weekly Tracker'!$E$2:$E$766=$A622)/('Weekly Tracker'!$F$2:$F$766&lt;&gt;""),'Weekly Tracker'!$G$2:$G$766),"")</f>
        <v/>
      </c>
      <c r="H622" s="9">
        <f>IFERROR(LOOKUP(2,1/('Weekly Tracker'!$E$2:$E$766=$A622)/('Weekly Tracker'!$H$2:$H$766&lt;&gt;""),'Weekly Tracker'!$H$2:$H$766),"")</f>
        <v/>
      </c>
      <c r="I622" s="16">
        <f>IF(H622&lt;&gt;"",LOOKUP(2,1/('Weekly Tracker'!$E$2:$E$766=$A622)/('Weekly Tracker'!$H$2:$H$766&lt;&gt;""),'Weekly Tracker'!$I$2:$I$766),"")</f>
        <v/>
      </c>
      <c r="J622" s="9">
        <f>IFERROR(LOOKUP(2,1/('Weekly Tracker'!$E$2:$E$766=$A622)/('Weekly Tracker'!$J$2:$J$766&lt;&gt;""),'Weekly Tracker'!$J$2:$J$766),"")</f>
        <v/>
      </c>
      <c r="K622" s="9">
        <f>IFERROR(LOOKUP(2,1/('Weekly Tracker'!$E$2:$E$766=$A622)/('Weekly Tracker'!$N$2:$N$766&lt;&gt;""),'Weekly Tracker'!$N$2:$N$766),"")</f>
        <v/>
      </c>
      <c r="L622" s="9">
        <f>IFERROR(LOOKUP(2,1/('Weekly Tracker'!$E$2:$E$766=$A622)/('Weekly Tracker'!$O$2:$O$766&lt;&gt;""),'Weekly Tracker'!$O$2:$O$766),"")</f>
        <v/>
      </c>
    </row>
    <row r="623">
      <c r="A623" s="9" t="inlineStr">
        <is>
          <t>Sakthi kumar Scl</t>
        </is>
      </c>
      <c r="B623" s="9" t="inlineStr">
        <is>
          <t>9500304060</t>
        </is>
      </c>
      <c r="C623" s="9" t="n"/>
      <c r="D623" s="9" t="n"/>
      <c r="E623" s="9" t="n"/>
      <c r="F623" s="9">
        <f>IFERROR(LOOKUP(2,1/('Weekly Tracker'!$E$2:$E$766=$A623)/('Weekly Tracker'!$F$2:$F$766&lt;&gt;""),'Weekly Tracker'!$F$2:$F$766),"")</f>
        <v/>
      </c>
      <c r="G623" s="16">
        <f>IF(F623&lt;&gt;"",LOOKUP(2,1/('Weekly Tracker'!$E$2:$E$766=$A623)/('Weekly Tracker'!$F$2:$F$766&lt;&gt;""),'Weekly Tracker'!$G$2:$G$766),"")</f>
        <v/>
      </c>
      <c r="H623" s="9">
        <f>IFERROR(LOOKUP(2,1/('Weekly Tracker'!$E$2:$E$766=$A623)/('Weekly Tracker'!$H$2:$H$766&lt;&gt;""),'Weekly Tracker'!$H$2:$H$766),"")</f>
        <v/>
      </c>
      <c r="I623" s="16">
        <f>IF(H623&lt;&gt;"",LOOKUP(2,1/('Weekly Tracker'!$E$2:$E$766=$A623)/('Weekly Tracker'!$H$2:$H$766&lt;&gt;""),'Weekly Tracker'!$I$2:$I$766),"")</f>
        <v/>
      </c>
      <c r="J623" s="9">
        <f>IFERROR(LOOKUP(2,1/('Weekly Tracker'!$E$2:$E$766=$A623)/('Weekly Tracker'!$J$2:$J$766&lt;&gt;""),'Weekly Tracker'!$J$2:$J$766),"")</f>
        <v/>
      </c>
      <c r="K623" s="9">
        <f>IFERROR(LOOKUP(2,1/('Weekly Tracker'!$E$2:$E$766=$A623)/('Weekly Tracker'!$N$2:$N$766&lt;&gt;""),'Weekly Tracker'!$N$2:$N$766),"")</f>
        <v/>
      </c>
      <c r="L623" s="9">
        <f>IFERROR(LOOKUP(2,1/('Weekly Tracker'!$E$2:$E$766=$A623)/('Weekly Tracker'!$O$2:$O$766&lt;&gt;""),'Weekly Tracker'!$O$2:$O$766),"")</f>
        <v/>
      </c>
    </row>
    <row r="624">
      <c r="A624" s="9" t="inlineStr">
        <is>
          <t>Siva Ganesh FB</t>
        </is>
      </c>
      <c r="B624" s="9" t="inlineStr">
        <is>
          <t>9789224729</t>
        </is>
      </c>
      <c r="C624" s="9" t="n"/>
      <c r="D624" s="9" t="n"/>
      <c r="E624" s="9" t="n"/>
      <c r="F624" s="9">
        <f>IFERROR(LOOKUP(2,1/('Weekly Tracker'!$E$2:$E$766=$A624)/('Weekly Tracker'!$F$2:$F$766&lt;&gt;""),'Weekly Tracker'!$F$2:$F$766),"")</f>
        <v/>
      </c>
      <c r="G624" s="16">
        <f>IF(F624&lt;&gt;"",LOOKUP(2,1/('Weekly Tracker'!$E$2:$E$766=$A624)/('Weekly Tracker'!$F$2:$F$766&lt;&gt;""),'Weekly Tracker'!$G$2:$G$766),"")</f>
        <v/>
      </c>
      <c r="H624" s="9">
        <f>IFERROR(LOOKUP(2,1/('Weekly Tracker'!$E$2:$E$766=$A624)/('Weekly Tracker'!$H$2:$H$766&lt;&gt;""),'Weekly Tracker'!$H$2:$H$766),"")</f>
        <v/>
      </c>
      <c r="I624" s="16">
        <f>IF(H624&lt;&gt;"",LOOKUP(2,1/('Weekly Tracker'!$E$2:$E$766=$A624)/('Weekly Tracker'!$H$2:$H$766&lt;&gt;""),'Weekly Tracker'!$I$2:$I$766),"")</f>
        <v/>
      </c>
      <c r="J624" s="9">
        <f>IFERROR(LOOKUP(2,1/('Weekly Tracker'!$E$2:$E$766=$A624)/('Weekly Tracker'!$J$2:$J$766&lt;&gt;""),'Weekly Tracker'!$J$2:$J$766),"")</f>
        <v/>
      </c>
      <c r="K624" s="9">
        <f>IFERROR(LOOKUP(2,1/('Weekly Tracker'!$E$2:$E$766=$A624)/('Weekly Tracker'!$N$2:$N$766&lt;&gt;""),'Weekly Tracker'!$N$2:$N$766),"")</f>
        <v/>
      </c>
      <c r="L624" s="9">
        <f>IFERROR(LOOKUP(2,1/('Weekly Tracker'!$E$2:$E$766=$A624)/('Weekly Tracker'!$O$2:$O$766&lt;&gt;""),'Weekly Tracker'!$O$2:$O$766),"")</f>
        <v/>
      </c>
    </row>
    <row r="625">
      <c r="A625" s="9" t="inlineStr">
        <is>
          <t>Dhanusha ECE</t>
        </is>
      </c>
      <c r="B625" s="9" t="inlineStr">
        <is>
          <t>919751578692</t>
        </is>
      </c>
      <c r="C625" s="9" t="n"/>
      <c r="D625" s="9" t="n"/>
      <c r="E625" s="9" t="n"/>
      <c r="F625" s="9">
        <f>IFERROR(LOOKUP(2,1/('Weekly Tracker'!$E$2:$E$766=$A625)/('Weekly Tracker'!$F$2:$F$766&lt;&gt;""),'Weekly Tracker'!$F$2:$F$766),"")</f>
        <v/>
      </c>
      <c r="G625" s="16">
        <f>IF(F625&lt;&gt;"",LOOKUP(2,1/('Weekly Tracker'!$E$2:$E$766=$A625)/('Weekly Tracker'!$F$2:$F$766&lt;&gt;""),'Weekly Tracker'!$G$2:$G$766),"")</f>
        <v/>
      </c>
      <c r="H625" s="9">
        <f>IFERROR(LOOKUP(2,1/('Weekly Tracker'!$E$2:$E$766=$A625)/('Weekly Tracker'!$H$2:$H$766&lt;&gt;""),'Weekly Tracker'!$H$2:$H$766),"")</f>
        <v/>
      </c>
      <c r="I625" s="16">
        <f>IF(H625&lt;&gt;"",LOOKUP(2,1/('Weekly Tracker'!$E$2:$E$766=$A625)/('Weekly Tracker'!$H$2:$H$766&lt;&gt;""),'Weekly Tracker'!$I$2:$I$766),"")</f>
        <v/>
      </c>
      <c r="J625" s="9">
        <f>IFERROR(LOOKUP(2,1/('Weekly Tracker'!$E$2:$E$766=$A625)/('Weekly Tracker'!$J$2:$J$766&lt;&gt;""),'Weekly Tracker'!$J$2:$J$766),"")</f>
        <v/>
      </c>
      <c r="K625" s="9">
        <f>IFERROR(LOOKUP(2,1/('Weekly Tracker'!$E$2:$E$766=$A625)/('Weekly Tracker'!$N$2:$N$766&lt;&gt;""),'Weekly Tracker'!$N$2:$N$766),"")</f>
        <v/>
      </c>
      <c r="L625" s="9">
        <f>IFERROR(LOOKUP(2,1/('Weekly Tracker'!$E$2:$E$766=$A625)/('Weekly Tracker'!$O$2:$O$766&lt;&gt;""),'Weekly Tracker'!$O$2:$O$766),"")</f>
        <v/>
      </c>
    </row>
    <row r="626">
      <c r="A626" s="9" t="inlineStr">
        <is>
          <t>Victor Laptop HCL</t>
        </is>
      </c>
      <c r="B626" s="9" t="inlineStr">
        <is>
          <t>9092254125</t>
        </is>
      </c>
      <c r="C626" s="9" t="n"/>
      <c r="D626" s="9" t="n"/>
      <c r="E626" s="9" t="n"/>
      <c r="F626" s="9">
        <f>IFERROR(LOOKUP(2,1/('Weekly Tracker'!$E$2:$E$766=$A626)/('Weekly Tracker'!$F$2:$F$766&lt;&gt;""),'Weekly Tracker'!$F$2:$F$766),"")</f>
        <v/>
      </c>
      <c r="G626" s="16">
        <f>IF(F626&lt;&gt;"",LOOKUP(2,1/('Weekly Tracker'!$E$2:$E$766=$A626)/('Weekly Tracker'!$F$2:$F$766&lt;&gt;""),'Weekly Tracker'!$G$2:$G$766),"")</f>
        <v/>
      </c>
      <c r="H626" s="9">
        <f>IFERROR(LOOKUP(2,1/('Weekly Tracker'!$E$2:$E$766=$A626)/('Weekly Tracker'!$H$2:$H$766&lt;&gt;""),'Weekly Tracker'!$H$2:$H$766),"")</f>
        <v/>
      </c>
      <c r="I626" s="16">
        <f>IF(H626&lt;&gt;"",LOOKUP(2,1/('Weekly Tracker'!$E$2:$E$766=$A626)/('Weekly Tracker'!$H$2:$H$766&lt;&gt;""),'Weekly Tracker'!$I$2:$I$766),"")</f>
        <v/>
      </c>
      <c r="J626" s="9">
        <f>IFERROR(LOOKUP(2,1/('Weekly Tracker'!$E$2:$E$766=$A626)/('Weekly Tracker'!$J$2:$J$766&lt;&gt;""),'Weekly Tracker'!$J$2:$J$766),"")</f>
        <v/>
      </c>
      <c r="K626" s="9">
        <f>IFERROR(LOOKUP(2,1/('Weekly Tracker'!$E$2:$E$766=$A626)/('Weekly Tracker'!$N$2:$N$766&lt;&gt;""),'Weekly Tracker'!$N$2:$N$766),"")</f>
        <v/>
      </c>
      <c r="L626" s="9">
        <f>IFERROR(LOOKUP(2,1/('Weekly Tracker'!$E$2:$E$766=$A626)/('Weekly Tracker'!$O$2:$O$766&lt;&gt;""),'Weekly Tracker'!$O$2:$O$766),"")</f>
        <v/>
      </c>
    </row>
    <row r="627">
      <c r="A627" s="9" t="inlineStr">
        <is>
          <t>Ramesh Junior Grp</t>
        </is>
      </c>
      <c r="B627" s="9" t="inlineStr">
        <is>
          <t>918220920564, 917845004026</t>
        </is>
      </c>
      <c r="C627" s="9" t="n"/>
      <c r="D627" s="9" t="n"/>
      <c r="E627" s="9" t="n"/>
      <c r="F627" s="9">
        <f>IFERROR(LOOKUP(2,1/('Weekly Tracker'!$E$2:$E$766=$A627)/('Weekly Tracker'!$F$2:$F$766&lt;&gt;""),'Weekly Tracker'!$F$2:$F$766),"")</f>
        <v/>
      </c>
      <c r="G627" s="16">
        <f>IF(F627&lt;&gt;"",LOOKUP(2,1/('Weekly Tracker'!$E$2:$E$766=$A627)/('Weekly Tracker'!$F$2:$F$766&lt;&gt;""),'Weekly Tracker'!$G$2:$G$766),"")</f>
        <v/>
      </c>
      <c r="H627" s="9">
        <f>IFERROR(LOOKUP(2,1/('Weekly Tracker'!$E$2:$E$766=$A627)/('Weekly Tracker'!$H$2:$H$766&lt;&gt;""),'Weekly Tracker'!$H$2:$H$766),"")</f>
        <v/>
      </c>
      <c r="I627" s="16">
        <f>IF(H627&lt;&gt;"",LOOKUP(2,1/('Weekly Tracker'!$E$2:$E$766=$A627)/('Weekly Tracker'!$H$2:$H$766&lt;&gt;""),'Weekly Tracker'!$I$2:$I$766),"")</f>
        <v/>
      </c>
      <c r="J627" s="9">
        <f>IFERROR(LOOKUP(2,1/('Weekly Tracker'!$E$2:$E$766=$A627)/('Weekly Tracker'!$J$2:$J$766&lt;&gt;""),'Weekly Tracker'!$J$2:$J$766),"")</f>
        <v/>
      </c>
      <c r="K627" s="9">
        <f>IFERROR(LOOKUP(2,1/('Weekly Tracker'!$E$2:$E$766=$A627)/('Weekly Tracker'!$N$2:$N$766&lt;&gt;""),'Weekly Tracker'!$N$2:$N$766),"")</f>
        <v/>
      </c>
      <c r="L627" s="9">
        <f>IFERROR(LOOKUP(2,1/('Weekly Tracker'!$E$2:$E$766=$A627)/('Weekly Tracker'!$O$2:$O$766&lt;&gt;""),'Weekly Tracker'!$O$2:$O$766),"")</f>
        <v/>
      </c>
    </row>
    <row r="628">
      <c r="A628" s="9" t="inlineStr">
        <is>
          <t>Indira uma</t>
        </is>
      </c>
      <c r="B628" s="9" t="inlineStr">
        <is>
          <t>917402026435</t>
        </is>
      </c>
      <c r="C628" s="9" t="n"/>
      <c r="D628" s="9" t="n"/>
      <c r="E628" s="9" t="n"/>
      <c r="F628" s="9">
        <f>IFERROR(LOOKUP(2,1/('Weekly Tracker'!$E$2:$E$766=$A628)/('Weekly Tracker'!$F$2:$F$766&lt;&gt;""),'Weekly Tracker'!$F$2:$F$766),"")</f>
        <v/>
      </c>
      <c r="G628" s="16">
        <f>IF(F628&lt;&gt;"",LOOKUP(2,1/('Weekly Tracker'!$E$2:$E$766=$A628)/('Weekly Tracker'!$F$2:$F$766&lt;&gt;""),'Weekly Tracker'!$G$2:$G$766),"")</f>
        <v/>
      </c>
      <c r="H628" s="9">
        <f>IFERROR(LOOKUP(2,1/('Weekly Tracker'!$E$2:$E$766=$A628)/('Weekly Tracker'!$H$2:$H$766&lt;&gt;""),'Weekly Tracker'!$H$2:$H$766),"")</f>
        <v/>
      </c>
      <c r="I628" s="16">
        <f>IF(H628&lt;&gt;"",LOOKUP(2,1/('Weekly Tracker'!$E$2:$E$766=$A628)/('Weekly Tracker'!$H$2:$H$766&lt;&gt;""),'Weekly Tracker'!$I$2:$I$766),"")</f>
        <v/>
      </c>
      <c r="J628" s="9">
        <f>IFERROR(LOOKUP(2,1/('Weekly Tracker'!$E$2:$E$766=$A628)/('Weekly Tracker'!$J$2:$J$766&lt;&gt;""),'Weekly Tracker'!$J$2:$J$766),"")</f>
        <v/>
      </c>
      <c r="K628" s="9">
        <f>IFERROR(LOOKUP(2,1/('Weekly Tracker'!$E$2:$E$766=$A628)/('Weekly Tracker'!$N$2:$N$766&lt;&gt;""),'Weekly Tracker'!$N$2:$N$766),"")</f>
        <v/>
      </c>
      <c r="L628" s="9">
        <f>IFERROR(LOOKUP(2,1/('Weekly Tracker'!$E$2:$E$766=$A628)/('Weekly Tracker'!$O$2:$O$766&lt;&gt;""),'Weekly Tracker'!$O$2:$O$766),"")</f>
        <v/>
      </c>
    </row>
    <row r="629">
      <c r="A629" s="9" t="inlineStr">
        <is>
          <t>Ashok Kumar LOA</t>
        </is>
      </c>
      <c r="B629" s="9" t="inlineStr">
        <is>
          <t>917010074234</t>
        </is>
      </c>
      <c r="C629" s="9" t="n"/>
      <c r="D629" s="9" t="n"/>
      <c r="E629" s="9" t="n"/>
      <c r="F629" s="9">
        <f>IFERROR(LOOKUP(2,1/('Weekly Tracker'!$E$2:$E$766=$A629)/('Weekly Tracker'!$F$2:$F$766&lt;&gt;""),'Weekly Tracker'!$F$2:$F$766),"")</f>
        <v/>
      </c>
      <c r="G629" s="16">
        <f>IF(F629&lt;&gt;"",LOOKUP(2,1/('Weekly Tracker'!$E$2:$E$766=$A629)/('Weekly Tracker'!$F$2:$F$766&lt;&gt;""),'Weekly Tracker'!$G$2:$G$766),"")</f>
        <v/>
      </c>
      <c r="H629" s="9">
        <f>IFERROR(LOOKUP(2,1/('Weekly Tracker'!$E$2:$E$766=$A629)/('Weekly Tracker'!$H$2:$H$766&lt;&gt;""),'Weekly Tracker'!$H$2:$H$766),"")</f>
        <v/>
      </c>
      <c r="I629" s="16">
        <f>IF(H629&lt;&gt;"",LOOKUP(2,1/('Weekly Tracker'!$E$2:$E$766=$A629)/('Weekly Tracker'!$H$2:$H$766&lt;&gt;""),'Weekly Tracker'!$I$2:$I$766),"")</f>
        <v/>
      </c>
      <c r="J629" s="9">
        <f>IFERROR(LOOKUP(2,1/('Weekly Tracker'!$E$2:$E$766=$A629)/('Weekly Tracker'!$J$2:$J$766&lt;&gt;""),'Weekly Tracker'!$J$2:$J$766),"")</f>
        <v/>
      </c>
      <c r="K629" s="9">
        <f>IFERROR(LOOKUP(2,1/('Weekly Tracker'!$E$2:$E$766=$A629)/('Weekly Tracker'!$N$2:$N$766&lt;&gt;""),'Weekly Tracker'!$N$2:$N$766),"")</f>
        <v/>
      </c>
      <c r="L629" s="9">
        <f>IFERROR(LOOKUP(2,1/('Weekly Tracker'!$E$2:$E$766=$A629)/('Weekly Tracker'!$O$2:$O$766&lt;&gt;""),'Weekly Tracker'!$O$2:$O$766),"")</f>
        <v/>
      </c>
    </row>
    <row r="630">
      <c r="A630" s="9" t="inlineStr">
        <is>
          <t>Vasuky ECE</t>
        </is>
      </c>
      <c r="B630" s="9" t="inlineStr">
        <is>
          <t>919698604160</t>
        </is>
      </c>
      <c r="C630" s="9" t="n"/>
      <c r="D630" s="9" t="n"/>
      <c r="E630" s="9" t="n"/>
      <c r="F630" s="9">
        <f>IFERROR(LOOKUP(2,1/('Weekly Tracker'!$E$2:$E$766=$A630)/('Weekly Tracker'!$F$2:$F$766&lt;&gt;""),'Weekly Tracker'!$F$2:$F$766),"")</f>
        <v/>
      </c>
      <c r="G630" s="16">
        <f>IF(F630&lt;&gt;"",LOOKUP(2,1/('Weekly Tracker'!$E$2:$E$766=$A630)/('Weekly Tracker'!$F$2:$F$766&lt;&gt;""),'Weekly Tracker'!$G$2:$G$766),"")</f>
        <v/>
      </c>
      <c r="H630" s="9">
        <f>IFERROR(LOOKUP(2,1/('Weekly Tracker'!$E$2:$E$766=$A630)/('Weekly Tracker'!$H$2:$H$766&lt;&gt;""),'Weekly Tracker'!$H$2:$H$766),"")</f>
        <v/>
      </c>
      <c r="I630" s="16">
        <f>IF(H630&lt;&gt;"",LOOKUP(2,1/('Weekly Tracker'!$E$2:$E$766=$A630)/('Weekly Tracker'!$H$2:$H$766&lt;&gt;""),'Weekly Tracker'!$I$2:$I$766),"")</f>
        <v/>
      </c>
      <c r="J630" s="9">
        <f>IFERROR(LOOKUP(2,1/('Weekly Tracker'!$E$2:$E$766=$A630)/('Weekly Tracker'!$J$2:$J$766&lt;&gt;""),'Weekly Tracker'!$J$2:$J$766),"")</f>
        <v/>
      </c>
      <c r="K630" s="9">
        <f>IFERROR(LOOKUP(2,1/('Weekly Tracker'!$E$2:$E$766=$A630)/('Weekly Tracker'!$N$2:$N$766&lt;&gt;""),'Weekly Tracker'!$N$2:$N$766),"")</f>
        <v/>
      </c>
      <c r="L630" s="9">
        <f>IFERROR(LOOKUP(2,1/('Weekly Tracker'!$E$2:$E$766=$A630)/('Weekly Tracker'!$O$2:$O$766&lt;&gt;""),'Weekly Tracker'!$O$2:$O$766),"")</f>
        <v/>
      </c>
    </row>
    <row r="631">
      <c r="A631" s="9" t="inlineStr">
        <is>
          <t>Iyyappan SCL</t>
        </is>
      </c>
      <c r="B631" s="9" t="inlineStr">
        <is>
          <t>918681810224</t>
        </is>
      </c>
      <c r="C631" s="9" t="n"/>
      <c r="D631" s="9" t="n"/>
      <c r="E631" s="9" t="n"/>
      <c r="F631" s="9">
        <f>IFERROR(LOOKUP(2,1/('Weekly Tracker'!$E$2:$E$766=$A631)/('Weekly Tracker'!$F$2:$F$766&lt;&gt;""),'Weekly Tracker'!$F$2:$F$766),"")</f>
        <v/>
      </c>
      <c r="G631" s="16">
        <f>IF(F631&lt;&gt;"",LOOKUP(2,1/('Weekly Tracker'!$E$2:$E$766=$A631)/('Weekly Tracker'!$F$2:$F$766&lt;&gt;""),'Weekly Tracker'!$G$2:$G$766),"")</f>
        <v/>
      </c>
      <c r="H631" s="9">
        <f>IFERROR(LOOKUP(2,1/('Weekly Tracker'!$E$2:$E$766=$A631)/('Weekly Tracker'!$H$2:$H$766&lt;&gt;""),'Weekly Tracker'!$H$2:$H$766),"")</f>
        <v/>
      </c>
      <c r="I631" s="16">
        <f>IF(H631&lt;&gt;"",LOOKUP(2,1/('Weekly Tracker'!$E$2:$E$766=$A631)/('Weekly Tracker'!$H$2:$H$766&lt;&gt;""),'Weekly Tracker'!$I$2:$I$766),"")</f>
        <v/>
      </c>
      <c r="J631" s="9">
        <f>IFERROR(LOOKUP(2,1/('Weekly Tracker'!$E$2:$E$766=$A631)/('Weekly Tracker'!$J$2:$J$766&lt;&gt;""),'Weekly Tracker'!$J$2:$J$766),"")</f>
        <v/>
      </c>
      <c r="K631" s="9">
        <f>IFERROR(LOOKUP(2,1/('Weekly Tracker'!$E$2:$E$766=$A631)/('Weekly Tracker'!$N$2:$N$766&lt;&gt;""),'Weekly Tracker'!$N$2:$N$766),"")</f>
        <v/>
      </c>
      <c r="L631" s="9">
        <f>IFERROR(LOOKUP(2,1/('Weekly Tracker'!$E$2:$E$766=$A631)/('Weekly Tracker'!$O$2:$O$766&lt;&gt;""),'Weekly Tracker'!$O$2:$O$766),"")</f>
        <v/>
      </c>
    </row>
    <row r="632">
      <c r="A632" s="9" t="inlineStr">
        <is>
          <t>Arjun Mech FB</t>
        </is>
      </c>
      <c r="B632" s="9" t="inlineStr">
        <is>
          <t>8675925513</t>
        </is>
      </c>
      <c r="C632" s="9" t="n"/>
      <c r="D632" s="9" t="n"/>
      <c r="E632" s="9" t="n"/>
      <c r="F632" s="9">
        <f>IFERROR(LOOKUP(2,1/('Weekly Tracker'!$E$2:$E$766=$A632)/('Weekly Tracker'!$F$2:$F$766&lt;&gt;""),'Weekly Tracker'!$F$2:$F$766),"")</f>
        <v/>
      </c>
      <c r="G632" s="16">
        <f>IF(F632&lt;&gt;"",LOOKUP(2,1/('Weekly Tracker'!$E$2:$E$766=$A632)/('Weekly Tracker'!$F$2:$F$766&lt;&gt;""),'Weekly Tracker'!$G$2:$G$766),"")</f>
        <v/>
      </c>
      <c r="H632" s="9">
        <f>IFERROR(LOOKUP(2,1/('Weekly Tracker'!$E$2:$E$766=$A632)/('Weekly Tracker'!$H$2:$H$766&lt;&gt;""),'Weekly Tracker'!$H$2:$H$766),"")</f>
        <v/>
      </c>
      <c r="I632" s="16">
        <f>IF(H632&lt;&gt;"",LOOKUP(2,1/('Weekly Tracker'!$E$2:$E$766=$A632)/('Weekly Tracker'!$H$2:$H$766&lt;&gt;""),'Weekly Tracker'!$I$2:$I$766),"")</f>
        <v/>
      </c>
      <c r="J632" s="9">
        <f>IFERROR(LOOKUP(2,1/('Weekly Tracker'!$E$2:$E$766=$A632)/('Weekly Tracker'!$J$2:$J$766&lt;&gt;""),'Weekly Tracker'!$J$2:$J$766),"")</f>
        <v/>
      </c>
      <c r="K632" s="9">
        <f>IFERROR(LOOKUP(2,1/('Weekly Tracker'!$E$2:$E$766=$A632)/('Weekly Tracker'!$N$2:$N$766&lt;&gt;""),'Weekly Tracker'!$N$2:$N$766),"")</f>
        <v/>
      </c>
      <c r="L632" s="9">
        <f>IFERROR(LOOKUP(2,1/('Weekly Tracker'!$E$2:$E$766=$A632)/('Weekly Tracker'!$O$2:$O$766&lt;&gt;""),'Weekly Tracker'!$O$2:$O$766),"")</f>
        <v/>
      </c>
    </row>
    <row r="633">
      <c r="A633" s="9" t="inlineStr">
        <is>
          <t>Siva Sn Malaysia FB</t>
        </is>
      </c>
      <c r="B633" s="9" t="inlineStr">
        <is>
          <t>+60 11-1754 5045</t>
        </is>
      </c>
      <c r="C633" s="9" t="n"/>
      <c r="D633" s="9" t="n"/>
      <c r="E633" s="9" t="n"/>
      <c r="F633" s="9">
        <f>IFERROR(LOOKUP(2,1/('Weekly Tracker'!$E$2:$E$766=$A633)/('Weekly Tracker'!$F$2:$F$766&lt;&gt;""),'Weekly Tracker'!$F$2:$F$766),"")</f>
        <v/>
      </c>
      <c r="G633" s="16">
        <f>IF(F633&lt;&gt;"",LOOKUP(2,1/('Weekly Tracker'!$E$2:$E$766=$A633)/('Weekly Tracker'!$F$2:$F$766&lt;&gt;""),'Weekly Tracker'!$G$2:$G$766),"")</f>
        <v/>
      </c>
      <c r="H633" s="9">
        <f>IFERROR(LOOKUP(2,1/('Weekly Tracker'!$E$2:$E$766=$A633)/('Weekly Tracker'!$H$2:$H$766&lt;&gt;""),'Weekly Tracker'!$H$2:$H$766),"")</f>
        <v/>
      </c>
      <c r="I633" s="16">
        <f>IF(H633&lt;&gt;"",LOOKUP(2,1/('Weekly Tracker'!$E$2:$E$766=$A633)/('Weekly Tracker'!$H$2:$H$766&lt;&gt;""),'Weekly Tracker'!$I$2:$I$766),"")</f>
        <v/>
      </c>
      <c r="J633" s="9">
        <f>IFERROR(LOOKUP(2,1/('Weekly Tracker'!$E$2:$E$766=$A633)/('Weekly Tracker'!$J$2:$J$766&lt;&gt;""),'Weekly Tracker'!$J$2:$J$766),"")</f>
        <v/>
      </c>
      <c r="K633" s="9">
        <f>IFERROR(LOOKUP(2,1/('Weekly Tracker'!$E$2:$E$766=$A633)/('Weekly Tracker'!$N$2:$N$766&lt;&gt;""),'Weekly Tracker'!$N$2:$N$766),"")</f>
        <v/>
      </c>
      <c r="L633" s="9">
        <f>IFERROR(LOOKUP(2,1/('Weekly Tracker'!$E$2:$E$766=$A633)/('Weekly Tracker'!$O$2:$O$766&lt;&gt;""),'Weekly Tracker'!$O$2:$O$766),"")</f>
        <v/>
      </c>
    </row>
    <row r="634">
      <c r="A634" s="9" t="inlineStr">
        <is>
          <t>Anish K Insta</t>
        </is>
      </c>
      <c r="B634" s="9" t="inlineStr">
        <is>
          <t>9791357112</t>
        </is>
      </c>
      <c r="C634" s="9" t="n"/>
      <c r="D634" s="9" t="n"/>
      <c r="E634" s="9" t="n"/>
      <c r="F634" s="9">
        <f>IFERROR(LOOKUP(2,1/('Weekly Tracker'!$E$2:$E$766=$A634)/('Weekly Tracker'!$F$2:$F$766&lt;&gt;""),'Weekly Tracker'!$F$2:$F$766),"")</f>
        <v/>
      </c>
      <c r="G634" s="16">
        <f>IF(F634&lt;&gt;"",LOOKUP(2,1/('Weekly Tracker'!$E$2:$E$766=$A634)/('Weekly Tracker'!$F$2:$F$766&lt;&gt;""),'Weekly Tracker'!$G$2:$G$766),"")</f>
        <v/>
      </c>
      <c r="H634" s="9">
        <f>IFERROR(LOOKUP(2,1/('Weekly Tracker'!$E$2:$E$766=$A634)/('Weekly Tracker'!$H$2:$H$766&lt;&gt;""),'Weekly Tracker'!$H$2:$H$766),"")</f>
        <v/>
      </c>
      <c r="I634" s="16">
        <f>IF(H634&lt;&gt;"",LOOKUP(2,1/('Weekly Tracker'!$E$2:$E$766=$A634)/('Weekly Tracker'!$H$2:$H$766&lt;&gt;""),'Weekly Tracker'!$I$2:$I$766),"")</f>
        <v/>
      </c>
      <c r="J634" s="9">
        <f>IFERROR(LOOKUP(2,1/('Weekly Tracker'!$E$2:$E$766=$A634)/('Weekly Tracker'!$J$2:$J$766&lt;&gt;""),'Weekly Tracker'!$J$2:$J$766),"")</f>
        <v/>
      </c>
      <c r="K634" s="9">
        <f>IFERROR(LOOKUP(2,1/('Weekly Tracker'!$E$2:$E$766=$A634)/('Weekly Tracker'!$N$2:$N$766&lt;&gt;""),'Weekly Tracker'!$N$2:$N$766),"")</f>
        <v/>
      </c>
      <c r="L634" s="9">
        <f>IFERROR(LOOKUP(2,1/('Weekly Tracker'!$E$2:$E$766=$A634)/('Weekly Tracker'!$O$2:$O$766&lt;&gt;""),'Weekly Tracker'!$O$2:$O$766),"")</f>
        <v/>
      </c>
    </row>
    <row r="635">
      <c r="A635" s="9" t="inlineStr">
        <is>
          <t>Moulisharan Harimohan Urja</t>
        </is>
      </c>
      <c r="B635" s="9" t="inlineStr">
        <is>
          <t>7092792029</t>
        </is>
      </c>
      <c r="C635" s="9" t="n"/>
      <c r="D635" s="9" t="n"/>
      <c r="E635" s="9" t="n"/>
      <c r="F635" s="9">
        <f>IFERROR(LOOKUP(2,1/('Weekly Tracker'!$E$2:$E$766=$A635)/('Weekly Tracker'!$F$2:$F$766&lt;&gt;""),'Weekly Tracker'!$F$2:$F$766),"")</f>
        <v/>
      </c>
      <c r="G635" s="16">
        <f>IF(F635&lt;&gt;"",LOOKUP(2,1/('Weekly Tracker'!$E$2:$E$766=$A635)/('Weekly Tracker'!$F$2:$F$766&lt;&gt;""),'Weekly Tracker'!$G$2:$G$766),"")</f>
        <v/>
      </c>
      <c r="H635" s="9">
        <f>IFERROR(LOOKUP(2,1/('Weekly Tracker'!$E$2:$E$766=$A635)/('Weekly Tracker'!$H$2:$H$766&lt;&gt;""),'Weekly Tracker'!$H$2:$H$766),"")</f>
        <v/>
      </c>
      <c r="I635" s="16">
        <f>IF(H635&lt;&gt;"",LOOKUP(2,1/('Weekly Tracker'!$E$2:$E$766=$A635)/('Weekly Tracker'!$H$2:$H$766&lt;&gt;""),'Weekly Tracker'!$I$2:$I$766),"")</f>
        <v/>
      </c>
      <c r="J635" s="9">
        <f>IFERROR(LOOKUP(2,1/('Weekly Tracker'!$E$2:$E$766=$A635)/('Weekly Tracker'!$J$2:$J$766&lt;&gt;""),'Weekly Tracker'!$J$2:$J$766),"")</f>
        <v/>
      </c>
      <c r="K635" s="9">
        <f>IFERROR(LOOKUP(2,1/('Weekly Tracker'!$E$2:$E$766=$A635)/('Weekly Tracker'!$N$2:$N$766&lt;&gt;""),'Weekly Tracker'!$N$2:$N$766),"")</f>
        <v/>
      </c>
      <c r="L635" s="9">
        <f>IFERROR(LOOKUP(2,1/('Weekly Tracker'!$E$2:$E$766=$A635)/('Weekly Tracker'!$O$2:$O$766&lt;&gt;""),'Weekly Tracker'!$O$2:$O$766),"")</f>
        <v/>
      </c>
    </row>
    <row r="636">
      <c r="A636" s="9" t="inlineStr">
        <is>
          <t>Surrendra Urja</t>
        </is>
      </c>
      <c r="B636" s="9" t="inlineStr">
        <is>
          <t>919840663853</t>
        </is>
      </c>
      <c r="C636" s="9" t="n"/>
      <c r="D636" s="9" t="n"/>
      <c r="E636" s="9" t="n"/>
      <c r="F636" s="9">
        <f>IFERROR(LOOKUP(2,1/('Weekly Tracker'!$E$2:$E$766=$A636)/('Weekly Tracker'!$F$2:$F$766&lt;&gt;""),'Weekly Tracker'!$F$2:$F$766),"")</f>
        <v/>
      </c>
      <c r="G636" s="16">
        <f>IF(F636&lt;&gt;"",LOOKUP(2,1/('Weekly Tracker'!$E$2:$E$766=$A636)/('Weekly Tracker'!$F$2:$F$766&lt;&gt;""),'Weekly Tracker'!$G$2:$G$766),"")</f>
        <v/>
      </c>
      <c r="H636" s="9">
        <f>IFERROR(LOOKUP(2,1/('Weekly Tracker'!$E$2:$E$766=$A636)/('Weekly Tracker'!$H$2:$H$766&lt;&gt;""),'Weekly Tracker'!$H$2:$H$766),"")</f>
        <v/>
      </c>
      <c r="I636" s="16">
        <f>IF(H636&lt;&gt;"",LOOKUP(2,1/('Weekly Tracker'!$E$2:$E$766=$A636)/('Weekly Tracker'!$H$2:$H$766&lt;&gt;""),'Weekly Tracker'!$I$2:$I$766),"")</f>
        <v/>
      </c>
      <c r="J636" s="9">
        <f>IFERROR(LOOKUP(2,1/('Weekly Tracker'!$E$2:$E$766=$A636)/('Weekly Tracker'!$J$2:$J$766&lt;&gt;""),'Weekly Tracker'!$J$2:$J$766),"")</f>
        <v/>
      </c>
      <c r="K636" s="9">
        <f>IFERROR(LOOKUP(2,1/('Weekly Tracker'!$E$2:$E$766=$A636)/('Weekly Tracker'!$N$2:$N$766&lt;&gt;""),'Weekly Tracker'!$N$2:$N$766),"")</f>
        <v/>
      </c>
      <c r="L636" s="9">
        <f>IFERROR(LOOKUP(2,1/('Weekly Tracker'!$E$2:$E$766=$A636)/('Weekly Tracker'!$O$2:$O$766&lt;&gt;""),'Weekly Tracker'!$O$2:$O$766),"")</f>
        <v/>
      </c>
    </row>
    <row r="637">
      <c r="A637" s="9" t="inlineStr">
        <is>
          <t>Mani Kutty</t>
        </is>
      </c>
      <c r="B637" s="9" t="inlineStr">
        <is>
          <t>918073581257</t>
        </is>
      </c>
      <c r="C637" s="9" t="n"/>
      <c r="D637" s="9" t="n"/>
      <c r="E637" s="9" t="n"/>
      <c r="F637" s="9">
        <f>IFERROR(LOOKUP(2,1/('Weekly Tracker'!$E$2:$E$766=$A637)/('Weekly Tracker'!$F$2:$F$766&lt;&gt;""),'Weekly Tracker'!$F$2:$F$766),"")</f>
        <v/>
      </c>
      <c r="G637" s="16">
        <f>IF(F637&lt;&gt;"",LOOKUP(2,1/('Weekly Tracker'!$E$2:$E$766=$A637)/('Weekly Tracker'!$F$2:$F$766&lt;&gt;""),'Weekly Tracker'!$G$2:$G$766),"")</f>
        <v/>
      </c>
      <c r="H637" s="9">
        <f>IFERROR(LOOKUP(2,1/('Weekly Tracker'!$E$2:$E$766=$A637)/('Weekly Tracker'!$H$2:$H$766&lt;&gt;""),'Weekly Tracker'!$H$2:$H$766),"")</f>
        <v/>
      </c>
      <c r="I637" s="16">
        <f>IF(H637&lt;&gt;"",LOOKUP(2,1/('Weekly Tracker'!$E$2:$E$766=$A637)/('Weekly Tracker'!$H$2:$H$766&lt;&gt;""),'Weekly Tracker'!$I$2:$I$766),"")</f>
        <v/>
      </c>
      <c r="J637" s="9">
        <f>IFERROR(LOOKUP(2,1/('Weekly Tracker'!$E$2:$E$766=$A637)/('Weekly Tracker'!$J$2:$J$766&lt;&gt;""),'Weekly Tracker'!$J$2:$J$766),"")</f>
        <v/>
      </c>
      <c r="K637" s="9">
        <f>IFERROR(LOOKUP(2,1/('Weekly Tracker'!$E$2:$E$766=$A637)/('Weekly Tracker'!$N$2:$N$766&lt;&gt;""),'Weekly Tracker'!$N$2:$N$766),"")</f>
        <v/>
      </c>
      <c r="L637" s="9">
        <f>IFERROR(LOOKUP(2,1/('Weekly Tracker'!$E$2:$E$766=$A637)/('Weekly Tracker'!$O$2:$O$766&lt;&gt;""),'Weekly Tracker'!$O$2:$O$766),"")</f>
        <v/>
      </c>
    </row>
    <row r="638">
      <c r="A638" s="9" t="inlineStr">
        <is>
          <t>B G Tharan Scl</t>
        </is>
      </c>
      <c r="B638" s="9" t="inlineStr">
        <is>
          <t>917603898705</t>
        </is>
      </c>
      <c r="C638" s="9" t="n"/>
      <c r="D638" s="9" t="n"/>
      <c r="E638" s="9" t="n"/>
      <c r="F638" s="9">
        <f>IFERROR(LOOKUP(2,1/('Weekly Tracker'!$E$2:$E$766=$A638)/('Weekly Tracker'!$F$2:$F$766&lt;&gt;""),'Weekly Tracker'!$F$2:$F$766),"")</f>
        <v/>
      </c>
      <c r="G638" s="16">
        <f>IF(F638&lt;&gt;"",LOOKUP(2,1/('Weekly Tracker'!$E$2:$E$766=$A638)/('Weekly Tracker'!$F$2:$F$766&lt;&gt;""),'Weekly Tracker'!$G$2:$G$766),"")</f>
        <v/>
      </c>
      <c r="H638" s="9">
        <f>IFERROR(LOOKUP(2,1/('Weekly Tracker'!$E$2:$E$766=$A638)/('Weekly Tracker'!$H$2:$H$766&lt;&gt;""),'Weekly Tracker'!$H$2:$H$766),"")</f>
        <v/>
      </c>
      <c r="I638" s="16">
        <f>IF(H638&lt;&gt;"",LOOKUP(2,1/('Weekly Tracker'!$E$2:$E$766=$A638)/('Weekly Tracker'!$H$2:$H$766&lt;&gt;""),'Weekly Tracker'!$I$2:$I$766),"")</f>
        <v/>
      </c>
      <c r="J638" s="9">
        <f>IFERROR(LOOKUP(2,1/('Weekly Tracker'!$E$2:$E$766=$A638)/('Weekly Tracker'!$J$2:$J$766&lt;&gt;""),'Weekly Tracker'!$J$2:$J$766),"")</f>
        <v/>
      </c>
      <c r="K638" s="9">
        <f>IFERROR(LOOKUP(2,1/('Weekly Tracker'!$E$2:$E$766=$A638)/('Weekly Tracker'!$N$2:$N$766&lt;&gt;""),'Weekly Tracker'!$N$2:$N$766),"")</f>
        <v/>
      </c>
      <c r="L638" s="9">
        <f>IFERROR(LOOKUP(2,1/('Weekly Tracker'!$E$2:$E$766=$A638)/('Weekly Tracker'!$O$2:$O$766&lt;&gt;""),'Weekly Tracker'!$O$2:$O$766),"")</f>
        <v/>
      </c>
    </row>
    <row r="639">
      <c r="A639" s="9" t="inlineStr">
        <is>
          <t>Zaheer Khan Scl</t>
        </is>
      </c>
      <c r="B639" s="9" t="inlineStr">
        <is>
          <t>917373353502</t>
        </is>
      </c>
      <c r="C639" s="9" t="n"/>
      <c r="D639" s="9" t="n"/>
      <c r="E639" s="9" t="n"/>
      <c r="F639" s="9">
        <f>IFERROR(LOOKUP(2,1/('Weekly Tracker'!$E$2:$E$766=$A639)/('Weekly Tracker'!$F$2:$F$766&lt;&gt;""),'Weekly Tracker'!$F$2:$F$766),"")</f>
        <v/>
      </c>
      <c r="G639" s="16">
        <f>IF(F639&lt;&gt;"",LOOKUP(2,1/('Weekly Tracker'!$E$2:$E$766=$A639)/('Weekly Tracker'!$F$2:$F$766&lt;&gt;""),'Weekly Tracker'!$G$2:$G$766),"")</f>
        <v/>
      </c>
      <c r="H639" s="9">
        <f>IFERROR(LOOKUP(2,1/('Weekly Tracker'!$E$2:$E$766=$A639)/('Weekly Tracker'!$H$2:$H$766&lt;&gt;""),'Weekly Tracker'!$H$2:$H$766),"")</f>
        <v/>
      </c>
      <c r="I639" s="16">
        <f>IF(H639&lt;&gt;"",LOOKUP(2,1/('Weekly Tracker'!$E$2:$E$766=$A639)/('Weekly Tracker'!$H$2:$H$766&lt;&gt;""),'Weekly Tracker'!$I$2:$I$766),"")</f>
        <v/>
      </c>
      <c r="J639" s="9">
        <f>IFERROR(LOOKUP(2,1/('Weekly Tracker'!$E$2:$E$766=$A639)/('Weekly Tracker'!$J$2:$J$766&lt;&gt;""),'Weekly Tracker'!$J$2:$J$766),"")</f>
        <v/>
      </c>
      <c r="K639" s="9">
        <f>IFERROR(LOOKUP(2,1/('Weekly Tracker'!$E$2:$E$766=$A639)/('Weekly Tracker'!$N$2:$N$766&lt;&gt;""),'Weekly Tracker'!$N$2:$N$766),"")</f>
        <v/>
      </c>
      <c r="L639" s="9">
        <f>IFERROR(LOOKUP(2,1/('Weekly Tracker'!$E$2:$E$766=$A639)/('Weekly Tracker'!$O$2:$O$766&lt;&gt;""),'Weekly Tracker'!$O$2:$O$766),"")</f>
        <v/>
      </c>
    </row>
    <row r="640">
      <c r="A640" s="9" t="inlineStr">
        <is>
          <t>Sathiesh Kumar FB</t>
        </is>
      </c>
      <c r="B640" s="9" t="inlineStr">
        <is>
          <t>918056562200</t>
        </is>
      </c>
      <c r="C640" s="9" t="n"/>
      <c r="D640" s="9" t="n"/>
      <c r="E640" s="9" t="n"/>
      <c r="F640" s="9">
        <f>IFERROR(LOOKUP(2,1/('Weekly Tracker'!$E$2:$E$766=$A640)/('Weekly Tracker'!$F$2:$F$766&lt;&gt;""),'Weekly Tracker'!$F$2:$F$766),"")</f>
        <v/>
      </c>
      <c r="G640" s="16">
        <f>IF(F640&lt;&gt;"",LOOKUP(2,1/('Weekly Tracker'!$E$2:$E$766=$A640)/('Weekly Tracker'!$F$2:$F$766&lt;&gt;""),'Weekly Tracker'!$G$2:$G$766),"")</f>
        <v/>
      </c>
      <c r="H640" s="9">
        <f>IFERROR(LOOKUP(2,1/('Weekly Tracker'!$E$2:$E$766=$A640)/('Weekly Tracker'!$H$2:$H$766&lt;&gt;""),'Weekly Tracker'!$H$2:$H$766),"")</f>
        <v/>
      </c>
      <c r="I640" s="16">
        <f>IF(H640&lt;&gt;"",LOOKUP(2,1/('Weekly Tracker'!$E$2:$E$766=$A640)/('Weekly Tracker'!$H$2:$H$766&lt;&gt;""),'Weekly Tracker'!$I$2:$I$766),"")</f>
        <v/>
      </c>
      <c r="J640" s="9">
        <f>IFERROR(LOOKUP(2,1/('Weekly Tracker'!$E$2:$E$766=$A640)/('Weekly Tracker'!$J$2:$J$766&lt;&gt;""),'Weekly Tracker'!$J$2:$J$766),"")</f>
        <v/>
      </c>
      <c r="K640" s="9">
        <f>IFERROR(LOOKUP(2,1/('Weekly Tracker'!$E$2:$E$766=$A640)/('Weekly Tracker'!$N$2:$N$766&lt;&gt;""),'Weekly Tracker'!$N$2:$N$766),"")</f>
        <v/>
      </c>
      <c r="L640" s="9">
        <f>IFERROR(LOOKUP(2,1/('Weekly Tracker'!$E$2:$E$766=$A640)/('Weekly Tracker'!$O$2:$O$766&lt;&gt;""),'Weekly Tracker'!$O$2:$O$766),"")</f>
        <v/>
      </c>
    </row>
    <row r="641">
      <c r="A641" s="9" t="inlineStr">
        <is>
          <t>Gopi Jeyakumar Urja</t>
        </is>
      </c>
      <c r="B641" s="9" t="inlineStr">
        <is>
          <t>9080557818</t>
        </is>
      </c>
      <c r="C641" s="9" t="n"/>
      <c r="D641" s="9" t="n"/>
      <c r="E641" s="9" t="n"/>
      <c r="F641" s="9">
        <f>IFERROR(LOOKUP(2,1/('Weekly Tracker'!$E$2:$E$766=$A641)/('Weekly Tracker'!$F$2:$F$766&lt;&gt;""),'Weekly Tracker'!$F$2:$F$766),"")</f>
        <v/>
      </c>
      <c r="G641" s="16">
        <f>IF(F641&lt;&gt;"",LOOKUP(2,1/('Weekly Tracker'!$E$2:$E$766=$A641)/('Weekly Tracker'!$F$2:$F$766&lt;&gt;""),'Weekly Tracker'!$G$2:$G$766),"")</f>
        <v/>
      </c>
      <c r="H641" s="9">
        <f>IFERROR(LOOKUP(2,1/('Weekly Tracker'!$E$2:$E$766=$A641)/('Weekly Tracker'!$H$2:$H$766&lt;&gt;""),'Weekly Tracker'!$H$2:$H$766),"")</f>
        <v/>
      </c>
      <c r="I641" s="16">
        <f>IF(H641&lt;&gt;"",LOOKUP(2,1/('Weekly Tracker'!$E$2:$E$766=$A641)/('Weekly Tracker'!$H$2:$H$766&lt;&gt;""),'Weekly Tracker'!$I$2:$I$766),"")</f>
        <v/>
      </c>
      <c r="J641" s="9">
        <f>IFERROR(LOOKUP(2,1/('Weekly Tracker'!$E$2:$E$766=$A641)/('Weekly Tracker'!$J$2:$J$766&lt;&gt;""),'Weekly Tracker'!$J$2:$J$766),"")</f>
        <v/>
      </c>
      <c r="K641" s="9">
        <f>IFERROR(LOOKUP(2,1/('Weekly Tracker'!$E$2:$E$766=$A641)/('Weekly Tracker'!$N$2:$N$766&lt;&gt;""),'Weekly Tracker'!$N$2:$N$766),"")</f>
        <v/>
      </c>
      <c r="L641" s="9">
        <f>IFERROR(LOOKUP(2,1/('Weekly Tracker'!$E$2:$E$766=$A641)/('Weekly Tracker'!$O$2:$O$766&lt;&gt;""),'Weekly Tracker'!$O$2:$O$766),"")</f>
        <v/>
      </c>
    </row>
    <row r="642">
      <c r="A642" s="9" t="inlineStr">
        <is>
          <t>Muthu Arun Grp</t>
        </is>
      </c>
      <c r="B642" s="9" t="inlineStr">
        <is>
          <t>918220226682</t>
        </is>
      </c>
      <c r="C642" s="9" t="n"/>
      <c r="D642" s="9" t="n"/>
      <c r="E642" s="9" t="n"/>
      <c r="F642" s="9">
        <f>IFERROR(LOOKUP(2,1/('Weekly Tracker'!$E$2:$E$766=$A642)/('Weekly Tracker'!$F$2:$F$766&lt;&gt;""),'Weekly Tracker'!$F$2:$F$766),"")</f>
        <v/>
      </c>
      <c r="G642" s="16">
        <f>IF(F642&lt;&gt;"",LOOKUP(2,1/('Weekly Tracker'!$E$2:$E$766=$A642)/('Weekly Tracker'!$F$2:$F$766&lt;&gt;""),'Weekly Tracker'!$G$2:$G$766),"")</f>
        <v/>
      </c>
      <c r="H642" s="9">
        <f>IFERROR(LOOKUP(2,1/('Weekly Tracker'!$E$2:$E$766=$A642)/('Weekly Tracker'!$H$2:$H$766&lt;&gt;""),'Weekly Tracker'!$H$2:$H$766),"")</f>
        <v/>
      </c>
      <c r="I642" s="16">
        <f>IF(H642&lt;&gt;"",LOOKUP(2,1/('Weekly Tracker'!$E$2:$E$766=$A642)/('Weekly Tracker'!$H$2:$H$766&lt;&gt;""),'Weekly Tracker'!$I$2:$I$766),"")</f>
        <v/>
      </c>
      <c r="J642" s="9">
        <f>IFERROR(LOOKUP(2,1/('Weekly Tracker'!$E$2:$E$766=$A642)/('Weekly Tracker'!$J$2:$J$766&lt;&gt;""),'Weekly Tracker'!$J$2:$J$766),"")</f>
        <v/>
      </c>
      <c r="K642" s="9">
        <f>IFERROR(LOOKUP(2,1/('Weekly Tracker'!$E$2:$E$766=$A642)/('Weekly Tracker'!$N$2:$N$766&lt;&gt;""),'Weekly Tracker'!$N$2:$N$766),"")</f>
        <v/>
      </c>
      <c r="L642" s="9">
        <f>IFERROR(LOOKUP(2,1/('Weekly Tracker'!$E$2:$E$766=$A642)/('Weekly Tracker'!$O$2:$O$766&lt;&gt;""),'Weekly Tracker'!$O$2:$O$766),"")</f>
        <v/>
      </c>
    </row>
    <row r="643">
      <c r="A643" s="9" t="inlineStr">
        <is>
          <t>Muruga Perumal CSE</t>
        </is>
      </c>
      <c r="B643" s="9" t="inlineStr">
        <is>
          <t>918056788032</t>
        </is>
      </c>
      <c r="C643" s="9" t="n"/>
      <c r="D643" s="9" t="n"/>
      <c r="E643" s="9" t="n"/>
      <c r="F643" s="9">
        <f>IFERROR(LOOKUP(2,1/('Weekly Tracker'!$E$2:$E$766=$A643)/('Weekly Tracker'!$F$2:$F$766&lt;&gt;""),'Weekly Tracker'!$F$2:$F$766),"")</f>
        <v/>
      </c>
      <c r="G643" s="16">
        <f>IF(F643&lt;&gt;"",LOOKUP(2,1/('Weekly Tracker'!$E$2:$E$766=$A643)/('Weekly Tracker'!$F$2:$F$766&lt;&gt;""),'Weekly Tracker'!$G$2:$G$766),"")</f>
        <v/>
      </c>
      <c r="H643" s="9">
        <f>IFERROR(LOOKUP(2,1/('Weekly Tracker'!$E$2:$E$766=$A643)/('Weekly Tracker'!$H$2:$H$766&lt;&gt;""),'Weekly Tracker'!$H$2:$H$766),"")</f>
        <v/>
      </c>
      <c r="I643" s="16">
        <f>IF(H643&lt;&gt;"",LOOKUP(2,1/('Weekly Tracker'!$E$2:$E$766=$A643)/('Weekly Tracker'!$H$2:$H$766&lt;&gt;""),'Weekly Tracker'!$I$2:$I$766),"")</f>
        <v/>
      </c>
      <c r="J643" s="9">
        <f>IFERROR(LOOKUP(2,1/('Weekly Tracker'!$E$2:$E$766=$A643)/('Weekly Tracker'!$J$2:$J$766&lt;&gt;""),'Weekly Tracker'!$J$2:$J$766),"")</f>
        <v/>
      </c>
      <c r="K643" s="9">
        <f>IFERROR(LOOKUP(2,1/('Weekly Tracker'!$E$2:$E$766=$A643)/('Weekly Tracker'!$N$2:$N$766&lt;&gt;""),'Weekly Tracker'!$N$2:$N$766),"")</f>
        <v/>
      </c>
      <c r="L643" s="9">
        <f>IFERROR(LOOKUP(2,1/('Weekly Tracker'!$E$2:$E$766=$A643)/('Weekly Tracker'!$O$2:$O$766&lt;&gt;""),'Weekly Tracker'!$O$2:$O$766),"")</f>
        <v/>
      </c>
    </row>
    <row r="644">
      <c r="A644" s="9" t="inlineStr">
        <is>
          <t>Vignesh Grp Ucen</t>
        </is>
      </c>
      <c r="B644" s="9" t="inlineStr">
        <is>
          <t>919865469925</t>
        </is>
      </c>
      <c r="C644" s="9" t="n"/>
      <c r="D644" s="9" t="n"/>
      <c r="E644" s="9" t="n"/>
      <c r="F644" s="9">
        <f>IFERROR(LOOKUP(2,1/('Weekly Tracker'!$E$2:$E$766=$A644)/('Weekly Tracker'!$F$2:$F$766&lt;&gt;""),'Weekly Tracker'!$F$2:$F$766),"")</f>
        <v/>
      </c>
      <c r="G644" s="16">
        <f>IF(F644&lt;&gt;"",LOOKUP(2,1/('Weekly Tracker'!$E$2:$E$766=$A644)/('Weekly Tracker'!$F$2:$F$766&lt;&gt;""),'Weekly Tracker'!$G$2:$G$766),"")</f>
        <v/>
      </c>
      <c r="H644" s="9">
        <f>IFERROR(LOOKUP(2,1/('Weekly Tracker'!$E$2:$E$766=$A644)/('Weekly Tracker'!$H$2:$H$766&lt;&gt;""),'Weekly Tracker'!$H$2:$H$766),"")</f>
        <v/>
      </c>
      <c r="I644" s="16">
        <f>IF(H644&lt;&gt;"",LOOKUP(2,1/('Weekly Tracker'!$E$2:$E$766=$A644)/('Weekly Tracker'!$H$2:$H$766&lt;&gt;""),'Weekly Tracker'!$I$2:$I$766),"")</f>
        <v/>
      </c>
      <c r="J644" s="9">
        <f>IFERROR(LOOKUP(2,1/('Weekly Tracker'!$E$2:$E$766=$A644)/('Weekly Tracker'!$J$2:$J$766&lt;&gt;""),'Weekly Tracker'!$J$2:$J$766),"")</f>
        <v/>
      </c>
      <c r="K644" s="9">
        <f>IFERROR(LOOKUP(2,1/('Weekly Tracker'!$E$2:$E$766=$A644)/('Weekly Tracker'!$N$2:$N$766&lt;&gt;""),'Weekly Tracker'!$N$2:$N$766),"")</f>
        <v/>
      </c>
      <c r="L644" s="9">
        <f>IFERROR(LOOKUP(2,1/('Weekly Tracker'!$E$2:$E$766=$A644)/('Weekly Tracker'!$O$2:$O$766&lt;&gt;""),'Weekly Tracker'!$O$2:$O$766),"")</f>
        <v/>
      </c>
    </row>
    <row r="645">
      <c r="A645" s="9" t="inlineStr">
        <is>
          <t>Ramesh Raja FB</t>
        </is>
      </c>
      <c r="B645" s="9" t="inlineStr">
        <is>
          <t>919894985046</t>
        </is>
      </c>
      <c r="C645" s="9" t="n"/>
      <c r="D645" s="9" t="n"/>
      <c r="E645" s="9" t="n"/>
      <c r="F645" s="9">
        <f>IFERROR(LOOKUP(2,1/('Weekly Tracker'!$E$2:$E$766=$A645)/('Weekly Tracker'!$F$2:$F$766&lt;&gt;""),'Weekly Tracker'!$F$2:$F$766),"")</f>
        <v/>
      </c>
      <c r="G645" s="16">
        <f>IF(F645&lt;&gt;"",LOOKUP(2,1/('Weekly Tracker'!$E$2:$E$766=$A645)/('Weekly Tracker'!$F$2:$F$766&lt;&gt;""),'Weekly Tracker'!$G$2:$G$766),"")</f>
        <v/>
      </c>
      <c r="H645" s="9">
        <f>IFERROR(LOOKUP(2,1/('Weekly Tracker'!$E$2:$E$766=$A645)/('Weekly Tracker'!$H$2:$H$766&lt;&gt;""),'Weekly Tracker'!$H$2:$H$766),"")</f>
        <v/>
      </c>
      <c r="I645" s="16">
        <f>IF(H645&lt;&gt;"",LOOKUP(2,1/('Weekly Tracker'!$E$2:$E$766=$A645)/('Weekly Tracker'!$H$2:$H$766&lt;&gt;""),'Weekly Tracker'!$I$2:$I$766),"")</f>
        <v/>
      </c>
      <c r="J645" s="9">
        <f>IFERROR(LOOKUP(2,1/('Weekly Tracker'!$E$2:$E$766=$A645)/('Weekly Tracker'!$J$2:$J$766&lt;&gt;""),'Weekly Tracker'!$J$2:$J$766),"")</f>
        <v/>
      </c>
      <c r="K645" s="9">
        <f>IFERROR(LOOKUP(2,1/('Weekly Tracker'!$E$2:$E$766=$A645)/('Weekly Tracker'!$N$2:$N$766&lt;&gt;""),'Weekly Tracker'!$N$2:$N$766),"")</f>
        <v/>
      </c>
      <c r="L645" s="9">
        <f>IFERROR(LOOKUP(2,1/('Weekly Tracker'!$E$2:$E$766=$A645)/('Weekly Tracker'!$O$2:$O$766&lt;&gt;""),'Weekly Tracker'!$O$2:$O$766),"")</f>
        <v/>
      </c>
    </row>
    <row r="646">
      <c r="A646" s="9" t="inlineStr">
        <is>
          <t>Sakthi Kumar Infosys</t>
        </is>
      </c>
      <c r="B646" s="9" t="inlineStr">
        <is>
          <t>919842130773</t>
        </is>
      </c>
      <c r="C646" s="9" t="n"/>
      <c r="D646" s="9" t="n"/>
      <c r="E646" s="9" t="n"/>
      <c r="F646" s="9">
        <f>IFERROR(LOOKUP(2,1/('Weekly Tracker'!$E$2:$E$766=$A646)/('Weekly Tracker'!$F$2:$F$766&lt;&gt;""),'Weekly Tracker'!$F$2:$F$766),"")</f>
        <v/>
      </c>
      <c r="G646" s="16">
        <f>IF(F646&lt;&gt;"",LOOKUP(2,1/('Weekly Tracker'!$E$2:$E$766=$A646)/('Weekly Tracker'!$F$2:$F$766&lt;&gt;""),'Weekly Tracker'!$G$2:$G$766),"")</f>
        <v/>
      </c>
      <c r="H646" s="9">
        <f>IFERROR(LOOKUP(2,1/('Weekly Tracker'!$E$2:$E$766=$A646)/('Weekly Tracker'!$H$2:$H$766&lt;&gt;""),'Weekly Tracker'!$H$2:$H$766),"")</f>
        <v/>
      </c>
      <c r="I646" s="16">
        <f>IF(H646&lt;&gt;"",LOOKUP(2,1/('Weekly Tracker'!$E$2:$E$766=$A646)/('Weekly Tracker'!$H$2:$H$766&lt;&gt;""),'Weekly Tracker'!$I$2:$I$766),"")</f>
        <v/>
      </c>
      <c r="J646" s="9">
        <f>IFERROR(LOOKUP(2,1/('Weekly Tracker'!$E$2:$E$766=$A646)/('Weekly Tracker'!$J$2:$J$766&lt;&gt;""),'Weekly Tracker'!$J$2:$J$766),"")</f>
        <v/>
      </c>
      <c r="K646" s="9">
        <f>IFERROR(LOOKUP(2,1/('Weekly Tracker'!$E$2:$E$766=$A646)/('Weekly Tracker'!$N$2:$N$766&lt;&gt;""),'Weekly Tracker'!$N$2:$N$766),"")</f>
        <v/>
      </c>
      <c r="L646" s="9">
        <f>IFERROR(LOOKUP(2,1/('Weekly Tracker'!$E$2:$E$766=$A646)/('Weekly Tracker'!$O$2:$O$766&lt;&gt;""),'Weekly Tracker'!$O$2:$O$766),"")</f>
        <v/>
      </c>
    </row>
    <row r="647">
      <c r="A647" s="9" t="inlineStr">
        <is>
          <t>Mizpah Jerome CSE</t>
        </is>
      </c>
      <c r="B647" s="9" t="inlineStr">
        <is>
          <t>6360770423</t>
        </is>
      </c>
      <c r="C647" s="9" t="n"/>
      <c r="D647" s="9" t="n"/>
      <c r="E647" s="9" t="n"/>
      <c r="F647" s="9">
        <f>IFERROR(LOOKUP(2,1/('Weekly Tracker'!$E$2:$E$766=$A647)/('Weekly Tracker'!$F$2:$F$766&lt;&gt;""),'Weekly Tracker'!$F$2:$F$766),"")</f>
        <v/>
      </c>
      <c r="G647" s="16">
        <f>IF(F647&lt;&gt;"",LOOKUP(2,1/('Weekly Tracker'!$E$2:$E$766=$A647)/('Weekly Tracker'!$F$2:$F$766&lt;&gt;""),'Weekly Tracker'!$G$2:$G$766),"")</f>
        <v/>
      </c>
      <c r="H647" s="9">
        <f>IFERROR(LOOKUP(2,1/('Weekly Tracker'!$E$2:$E$766=$A647)/('Weekly Tracker'!$H$2:$H$766&lt;&gt;""),'Weekly Tracker'!$H$2:$H$766),"")</f>
        <v/>
      </c>
      <c r="I647" s="16">
        <f>IF(H647&lt;&gt;"",LOOKUP(2,1/('Weekly Tracker'!$E$2:$E$766=$A647)/('Weekly Tracker'!$H$2:$H$766&lt;&gt;""),'Weekly Tracker'!$I$2:$I$766),"")</f>
        <v/>
      </c>
      <c r="J647" s="9">
        <f>IFERROR(LOOKUP(2,1/('Weekly Tracker'!$E$2:$E$766=$A647)/('Weekly Tracker'!$J$2:$J$766&lt;&gt;""),'Weekly Tracker'!$J$2:$J$766),"")</f>
        <v/>
      </c>
      <c r="K647" s="9">
        <f>IFERROR(LOOKUP(2,1/('Weekly Tracker'!$E$2:$E$766=$A647)/('Weekly Tracker'!$N$2:$N$766&lt;&gt;""),'Weekly Tracker'!$N$2:$N$766),"")</f>
        <v/>
      </c>
      <c r="L647" s="9">
        <f>IFERROR(LOOKUP(2,1/('Weekly Tracker'!$E$2:$E$766=$A647)/('Weekly Tracker'!$O$2:$O$766&lt;&gt;""),'Weekly Tracker'!$O$2:$O$766),"")</f>
        <v/>
      </c>
    </row>
    <row r="648">
      <c r="A648" s="9" t="inlineStr">
        <is>
          <t>Karthick Urja</t>
        </is>
      </c>
      <c r="B648" s="9" t="inlineStr">
        <is>
          <t>+91 82208 66648, 919940418144</t>
        </is>
      </c>
      <c r="C648" s="9" t="n"/>
      <c r="D648" s="9" t="n"/>
      <c r="E648" s="9" t="n"/>
      <c r="F648" s="9">
        <f>IFERROR(LOOKUP(2,1/('Weekly Tracker'!$E$2:$E$766=$A648)/('Weekly Tracker'!$F$2:$F$766&lt;&gt;""),'Weekly Tracker'!$F$2:$F$766),"")</f>
        <v/>
      </c>
      <c r="G648" s="16">
        <f>IF(F648&lt;&gt;"",LOOKUP(2,1/('Weekly Tracker'!$E$2:$E$766=$A648)/('Weekly Tracker'!$F$2:$F$766&lt;&gt;""),'Weekly Tracker'!$G$2:$G$766),"")</f>
        <v/>
      </c>
      <c r="H648" s="9">
        <f>IFERROR(LOOKUP(2,1/('Weekly Tracker'!$E$2:$E$766=$A648)/('Weekly Tracker'!$H$2:$H$766&lt;&gt;""),'Weekly Tracker'!$H$2:$H$766),"")</f>
        <v/>
      </c>
      <c r="I648" s="16">
        <f>IF(H648&lt;&gt;"",LOOKUP(2,1/('Weekly Tracker'!$E$2:$E$766=$A648)/('Weekly Tracker'!$H$2:$H$766&lt;&gt;""),'Weekly Tracker'!$I$2:$I$766),"")</f>
        <v/>
      </c>
      <c r="J648" s="9">
        <f>IFERROR(LOOKUP(2,1/('Weekly Tracker'!$E$2:$E$766=$A648)/('Weekly Tracker'!$J$2:$J$766&lt;&gt;""),'Weekly Tracker'!$J$2:$J$766),"")</f>
        <v/>
      </c>
      <c r="K648" s="9">
        <f>IFERROR(LOOKUP(2,1/('Weekly Tracker'!$E$2:$E$766=$A648)/('Weekly Tracker'!$N$2:$N$766&lt;&gt;""),'Weekly Tracker'!$N$2:$N$766),"")</f>
        <v/>
      </c>
      <c r="L648" s="9">
        <f>IFERROR(LOOKUP(2,1/('Weekly Tracker'!$E$2:$E$766=$A648)/('Weekly Tracker'!$O$2:$O$766&lt;&gt;""),'Weekly Tracker'!$O$2:$O$766),"")</f>
        <v/>
      </c>
    </row>
    <row r="649">
      <c r="A649" s="9" t="inlineStr">
        <is>
          <t>Surya Prathesh FB</t>
        </is>
      </c>
      <c r="B649" s="9" t="inlineStr">
        <is>
          <t>9626064317</t>
        </is>
      </c>
      <c r="C649" s="9" t="n"/>
      <c r="D649" s="9" t="n"/>
      <c r="E649" s="9" t="n"/>
      <c r="F649" s="9">
        <f>IFERROR(LOOKUP(2,1/('Weekly Tracker'!$E$2:$E$766=$A649)/('Weekly Tracker'!$F$2:$F$766&lt;&gt;""),'Weekly Tracker'!$F$2:$F$766),"")</f>
        <v/>
      </c>
      <c r="G649" s="16">
        <f>IF(F649&lt;&gt;"",LOOKUP(2,1/('Weekly Tracker'!$E$2:$E$766=$A649)/('Weekly Tracker'!$F$2:$F$766&lt;&gt;""),'Weekly Tracker'!$G$2:$G$766),"")</f>
        <v/>
      </c>
      <c r="H649" s="9">
        <f>IFERROR(LOOKUP(2,1/('Weekly Tracker'!$E$2:$E$766=$A649)/('Weekly Tracker'!$H$2:$H$766&lt;&gt;""),'Weekly Tracker'!$H$2:$H$766),"")</f>
        <v/>
      </c>
      <c r="I649" s="16">
        <f>IF(H649&lt;&gt;"",LOOKUP(2,1/('Weekly Tracker'!$E$2:$E$766=$A649)/('Weekly Tracker'!$H$2:$H$766&lt;&gt;""),'Weekly Tracker'!$I$2:$I$766),"")</f>
        <v/>
      </c>
      <c r="J649" s="9">
        <f>IFERROR(LOOKUP(2,1/('Weekly Tracker'!$E$2:$E$766=$A649)/('Weekly Tracker'!$J$2:$J$766&lt;&gt;""),'Weekly Tracker'!$J$2:$J$766),"")</f>
        <v/>
      </c>
      <c r="K649" s="9">
        <f>IFERROR(LOOKUP(2,1/('Weekly Tracker'!$E$2:$E$766=$A649)/('Weekly Tracker'!$N$2:$N$766&lt;&gt;""),'Weekly Tracker'!$N$2:$N$766),"")</f>
        <v/>
      </c>
      <c r="L649" s="9">
        <f>IFERROR(LOOKUP(2,1/('Weekly Tracker'!$E$2:$E$766=$A649)/('Weekly Tracker'!$O$2:$O$766&lt;&gt;""),'Weekly Tracker'!$O$2:$O$766),"")</f>
        <v/>
      </c>
    </row>
    <row r="650">
      <c r="A650" s="9" t="inlineStr">
        <is>
          <t>Indhumathi Infy Verizon</t>
        </is>
      </c>
      <c r="B650" s="9" t="inlineStr">
        <is>
          <t>+91 63829 42925</t>
        </is>
      </c>
      <c r="C650" s="9" t="n"/>
      <c r="D650" s="9" t="n"/>
      <c r="E650" s="9" t="inlineStr">
        <is>
          <t>Tamil Nadu, India</t>
        </is>
      </c>
      <c r="F650" s="9">
        <f>IFERROR(LOOKUP(2,1/('Weekly Tracker'!$E$2:$E$766=$A650)/('Weekly Tracker'!$F$2:$F$766&lt;&gt;""),'Weekly Tracker'!$F$2:$F$766),"")</f>
        <v/>
      </c>
      <c r="G650" s="16">
        <f>IF(F650&lt;&gt;"",LOOKUP(2,1/('Weekly Tracker'!$E$2:$E$766=$A650)/('Weekly Tracker'!$F$2:$F$766&lt;&gt;""),'Weekly Tracker'!$G$2:$G$766),"")</f>
        <v/>
      </c>
      <c r="H650" s="9">
        <f>IFERROR(LOOKUP(2,1/('Weekly Tracker'!$E$2:$E$766=$A650)/('Weekly Tracker'!$H$2:$H$766&lt;&gt;""),'Weekly Tracker'!$H$2:$H$766),"")</f>
        <v/>
      </c>
      <c r="I650" s="16">
        <f>IF(H650&lt;&gt;"",LOOKUP(2,1/('Weekly Tracker'!$E$2:$E$766=$A650)/('Weekly Tracker'!$H$2:$H$766&lt;&gt;""),'Weekly Tracker'!$I$2:$I$766),"")</f>
        <v/>
      </c>
      <c r="J650" s="9">
        <f>IFERROR(LOOKUP(2,1/('Weekly Tracker'!$E$2:$E$766=$A650)/('Weekly Tracker'!$J$2:$J$766&lt;&gt;""),'Weekly Tracker'!$J$2:$J$766),"")</f>
        <v/>
      </c>
      <c r="K650" s="9">
        <f>IFERROR(LOOKUP(2,1/('Weekly Tracker'!$E$2:$E$766=$A650)/('Weekly Tracker'!$N$2:$N$766&lt;&gt;""),'Weekly Tracker'!$N$2:$N$766),"")</f>
        <v/>
      </c>
      <c r="L650" s="9">
        <f>IFERROR(LOOKUP(2,1/('Weekly Tracker'!$E$2:$E$766=$A650)/('Weekly Tracker'!$O$2:$O$766&lt;&gt;""),'Weekly Tracker'!$O$2:$O$766),"")</f>
        <v/>
      </c>
    </row>
    <row r="651">
      <c r="A651" s="9" t="inlineStr">
        <is>
          <t>Ashok Kumar Dass Frd</t>
        </is>
      </c>
      <c r="B651" s="9" t="inlineStr">
        <is>
          <t>918610345174</t>
        </is>
      </c>
      <c r="C651" s="9" t="n"/>
      <c r="D651" s="9" t="n"/>
      <c r="E651" s="9" t="n"/>
      <c r="F651" s="9">
        <f>IFERROR(LOOKUP(2,1/('Weekly Tracker'!$E$2:$E$766=$A651)/('Weekly Tracker'!$F$2:$F$766&lt;&gt;""),'Weekly Tracker'!$F$2:$F$766),"")</f>
        <v/>
      </c>
      <c r="G651" s="16">
        <f>IF(F651&lt;&gt;"",LOOKUP(2,1/('Weekly Tracker'!$E$2:$E$766=$A651)/('Weekly Tracker'!$F$2:$F$766&lt;&gt;""),'Weekly Tracker'!$G$2:$G$766),"")</f>
        <v/>
      </c>
      <c r="H651" s="9">
        <f>IFERROR(LOOKUP(2,1/('Weekly Tracker'!$E$2:$E$766=$A651)/('Weekly Tracker'!$H$2:$H$766&lt;&gt;""),'Weekly Tracker'!$H$2:$H$766),"")</f>
        <v/>
      </c>
      <c r="I651" s="16">
        <f>IF(H651&lt;&gt;"",LOOKUP(2,1/('Weekly Tracker'!$E$2:$E$766=$A651)/('Weekly Tracker'!$H$2:$H$766&lt;&gt;""),'Weekly Tracker'!$I$2:$I$766),"")</f>
        <v/>
      </c>
      <c r="J651" s="9">
        <f>IFERROR(LOOKUP(2,1/('Weekly Tracker'!$E$2:$E$766=$A651)/('Weekly Tracker'!$J$2:$J$766&lt;&gt;""),'Weekly Tracker'!$J$2:$J$766),"")</f>
        <v/>
      </c>
      <c r="K651" s="9">
        <f>IFERROR(LOOKUP(2,1/('Weekly Tracker'!$E$2:$E$766=$A651)/('Weekly Tracker'!$N$2:$N$766&lt;&gt;""),'Weekly Tracker'!$N$2:$N$766),"")</f>
        <v/>
      </c>
      <c r="L651" s="9">
        <f>IFERROR(LOOKUP(2,1/('Weekly Tracker'!$E$2:$E$766=$A651)/('Weekly Tracker'!$O$2:$O$766&lt;&gt;""),'Weekly Tracker'!$O$2:$O$766),"")</f>
        <v/>
      </c>
    </row>
    <row r="652">
      <c r="A652" s="9" t="inlineStr">
        <is>
          <t>Prem Bus</t>
        </is>
      </c>
      <c r="B652" s="9" t="inlineStr">
        <is>
          <t>918072271605</t>
        </is>
      </c>
      <c r="C652" s="9" t="n"/>
      <c r="D652" s="9" t="n"/>
      <c r="E652" s="9" t="n"/>
      <c r="F652" s="9">
        <f>IFERROR(LOOKUP(2,1/('Weekly Tracker'!$E$2:$E$766=$A652)/('Weekly Tracker'!$F$2:$F$766&lt;&gt;""),'Weekly Tracker'!$F$2:$F$766),"")</f>
        <v/>
      </c>
      <c r="G652" s="16">
        <f>IF(F652&lt;&gt;"",LOOKUP(2,1/('Weekly Tracker'!$E$2:$E$766=$A652)/('Weekly Tracker'!$F$2:$F$766&lt;&gt;""),'Weekly Tracker'!$G$2:$G$766),"")</f>
        <v/>
      </c>
      <c r="H652" s="9">
        <f>IFERROR(LOOKUP(2,1/('Weekly Tracker'!$E$2:$E$766=$A652)/('Weekly Tracker'!$H$2:$H$766&lt;&gt;""),'Weekly Tracker'!$H$2:$H$766),"")</f>
        <v/>
      </c>
      <c r="I652" s="16">
        <f>IF(H652&lt;&gt;"",LOOKUP(2,1/('Weekly Tracker'!$E$2:$E$766=$A652)/('Weekly Tracker'!$H$2:$H$766&lt;&gt;""),'Weekly Tracker'!$I$2:$I$766),"")</f>
        <v/>
      </c>
      <c r="J652" s="9">
        <f>IFERROR(LOOKUP(2,1/('Weekly Tracker'!$E$2:$E$766=$A652)/('Weekly Tracker'!$J$2:$J$766&lt;&gt;""),'Weekly Tracker'!$J$2:$J$766),"")</f>
        <v/>
      </c>
      <c r="K652" s="9">
        <f>IFERROR(LOOKUP(2,1/('Weekly Tracker'!$E$2:$E$766=$A652)/('Weekly Tracker'!$N$2:$N$766&lt;&gt;""),'Weekly Tracker'!$N$2:$N$766),"")</f>
        <v/>
      </c>
      <c r="L652" s="9">
        <f>IFERROR(LOOKUP(2,1/('Weekly Tracker'!$E$2:$E$766=$A652)/('Weekly Tracker'!$O$2:$O$766&lt;&gt;""),'Weekly Tracker'!$O$2:$O$766),"")</f>
        <v/>
      </c>
    </row>
    <row r="653">
      <c r="A653" s="9" t="inlineStr">
        <is>
          <t>Jackson Fenore Junior</t>
        </is>
      </c>
      <c r="B653" s="9" t="inlineStr">
        <is>
          <t>917639107766</t>
        </is>
      </c>
      <c r="C653" s="9" t="n"/>
      <c r="D653" s="9" t="n"/>
      <c r="E653" s="9" t="n"/>
      <c r="F653" s="9">
        <f>IFERROR(LOOKUP(2,1/('Weekly Tracker'!$E$2:$E$766=$A653)/('Weekly Tracker'!$F$2:$F$766&lt;&gt;""),'Weekly Tracker'!$F$2:$F$766),"")</f>
        <v/>
      </c>
      <c r="G653" s="16">
        <f>IF(F653&lt;&gt;"",LOOKUP(2,1/('Weekly Tracker'!$E$2:$E$766=$A653)/('Weekly Tracker'!$F$2:$F$766&lt;&gt;""),'Weekly Tracker'!$G$2:$G$766),"")</f>
        <v/>
      </c>
      <c r="H653" s="9">
        <f>IFERROR(LOOKUP(2,1/('Weekly Tracker'!$E$2:$E$766=$A653)/('Weekly Tracker'!$H$2:$H$766&lt;&gt;""),'Weekly Tracker'!$H$2:$H$766),"")</f>
        <v/>
      </c>
      <c r="I653" s="16">
        <f>IF(H653&lt;&gt;"",LOOKUP(2,1/('Weekly Tracker'!$E$2:$E$766=$A653)/('Weekly Tracker'!$H$2:$H$766&lt;&gt;""),'Weekly Tracker'!$I$2:$I$766),"")</f>
        <v/>
      </c>
      <c r="J653" s="9">
        <f>IFERROR(LOOKUP(2,1/('Weekly Tracker'!$E$2:$E$766=$A653)/('Weekly Tracker'!$J$2:$J$766&lt;&gt;""),'Weekly Tracker'!$J$2:$J$766),"")</f>
        <v/>
      </c>
      <c r="K653" s="9">
        <f>IFERROR(LOOKUP(2,1/('Weekly Tracker'!$E$2:$E$766=$A653)/('Weekly Tracker'!$N$2:$N$766&lt;&gt;""),'Weekly Tracker'!$N$2:$N$766),"")</f>
        <v/>
      </c>
      <c r="L653" s="9">
        <f>IFERROR(LOOKUP(2,1/('Weekly Tracker'!$E$2:$E$766=$A653)/('Weekly Tracker'!$O$2:$O$766&lt;&gt;""),'Weekly Tracker'!$O$2:$O$766),"")</f>
        <v/>
      </c>
    </row>
    <row r="654">
      <c r="A654" s="9" t="inlineStr">
        <is>
          <t>MariVel Scl Kprm</t>
        </is>
      </c>
      <c r="B654" s="9" t="inlineStr">
        <is>
          <t>917200488447</t>
        </is>
      </c>
      <c r="C654" s="9" t="n"/>
      <c r="D654" s="9" t="n"/>
      <c r="E654" s="9" t="n"/>
      <c r="F654" s="9">
        <f>IFERROR(LOOKUP(2,1/('Weekly Tracker'!$E$2:$E$766=$A654)/('Weekly Tracker'!$F$2:$F$766&lt;&gt;""),'Weekly Tracker'!$F$2:$F$766),"")</f>
        <v/>
      </c>
      <c r="G654" s="16">
        <f>IF(F654&lt;&gt;"",LOOKUP(2,1/('Weekly Tracker'!$E$2:$E$766=$A654)/('Weekly Tracker'!$F$2:$F$766&lt;&gt;""),'Weekly Tracker'!$G$2:$G$766),"")</f>
        <v/>
      </c>
      <c r="H654" s="9">
        <f>IFERROR(LOOKUP(2,1/('Weekly Tracker'!$E$2:$E$766=$A654)/('Weekly Tracker'!$H$2:$H$766&lt;&gt;""),'Weekly Tracker'!$H$2:$H$766),"")</f>
        <v/>
      </c>
      <c r="I654" s="16">
        <f>IF(H654&lt;&gt;"",LOOKUP(2,1/('Weekly Tracker'!$E$2:$E$766=$A654)/('Weekly Tracker'!$H$2:$H$766&lt;&gt;""),'Weekly Tracker'!$I$2:$I$766),"")</f>
        <v/>
      </c>
      <c r="J654" s="9">
        <f>IFERROR(LOOKUP(2,1/('Weekly Tracker'!$E$2:$E$766=$A654)/('Weekly Tracker'!$J$2:$J$766&lt;&gt;""),'Weekly Tracker'!$J$2:$J$766),"")</f>
        <v/>
      </c>
      <c r="K654" s="9">
        <f>IFERROR(LOOKUP(2,1/('Weekly Tracker'!$E$2:$E$766=$A654)/('Weekly Tracker'!$N$2:$N$766&lt;&gt;""),'Weekly Tracker'!$N$2:$N$766),"")</f>
        <v/>
      </c>
      <c r="L654" s="9">
        <f>IFERROR(LOOKUP(2,1/('Weekly Tracker'!$E$2:$E$766=$A654)/('Weekly Tracker'!$O$2:$O$766&lt;&gt;""),'Weekly Tracker'!$O$2:$O$766),"")</f>
        <v/>
      </c>
    </row>
    <row r="655">
      <c r="A655" s="9" t="inlineStr">
        <is>
          <t>Aji Meetup</t>
        </is>
      </c>
      <c r="B655" s="9" t="inlineStr">
        <is>
          <t>9884119232</t>
        </is>
      </c>
      <c r="C655" s="9" t="n"/>
      <c r="D655" s="9" t="n"/>
      <c r="E655" s="9" t="n"/>
      <c r="F655" s="9">
        <f>IFERROR(LOOKUP(2,1/('Weekly Tracker'!$E$2:$E$766=$A655)/('Weekly Tracker'!$F$2:$F$766&lt;&gt;""),'Weekly Tracker'!$F$2:$F$766),"")</f>
        <v/>
      </c>
      <c r="G655" s="16">
        <f>IF(F655&lt;&gt;"",LOOKUP(2,1/('Weekly Tracker'!$E$2:$E$766=$A655)/('Weekly Tracker'!$F$2:$F$766&lt;&gt;""),'Weekly Tracker'!$G$2:$G$766),"")</f>
        <v/>
      </c>
      <c r="H655" s="9">
        <f>IFERROR(LOOKUP(2,1/('Weekly Tracker'!$E$2:$E$766=$A655)/('Weekly Tracker'!$H$2:$H$766&lt;&gt;""),'Weekly Tracker'!$H$2:$H$766),"")</f>
        <v/>
      </c>
      <c r="I655" s="16">
        <f>IF(H655&lt;&gt;"",LOOKUP(2,1/('Weekly Tracker'!$E$2:$E$766=$A655)/('Weekly Tracker'!$H$2:$H$766&lt;&gt;""),'Weekly Tracker'!$I$2:$I$766),"")</f>
        <v/>
      </c>
      <c r="J655" s="9">
        <f>IFERROR(LOOKUP(2,1/('Weekly Tracker'!$E$2:$E$766=$A655)/('Weekly Tracker'!$J$2:$J$766&lt;&gt;""),'Weekly Tracker'!$J$2:$J$766),"")</f>
        <v/>
      </c>
      <c r="K655" s="9">
        <f>IFERROR(LOOKUP(2,1/('Weekly Tracker'!$E$2:$E$766=$A655)/('Weekly Tracker'!$N$2:$N$766&lt;&gt;""),'Weekly Tracker'!$N$2:$N$766),"")</f>
        <v/>
      </c>
      <c r="L655" s="9">
        <f>IFERROR(LOOKUP(2,1/('Weekly Tracker'!$E$2:$E$766=$A655)/('Weekly Tracker'!$O$2:$O$766&lt;&gt;""),'Weekly Tracker'!$O$2:$O$766),"")</f>
        <v/>
      </c>
    </row>
    <row r="656">
      <c r="A656" s="9" t="inlineStr">
        <is>
          <t>Sarath Barath Grp</t>
        </is>
      </c>
      <c r="B656" s="9" t="inlineStr">
        <is>
          <t>919787767707</t>
        </is>
      </c>
      <c r="C656" s="9" t="n"/>
      <c r="D656" s="9" t="n"/>
      <c r="E656" s="9" t="n"/>
      <c r="F656" s="9">
        <f>IFERROR(LOOKUP(2,1/('Weekly Tracker'!$E$2:$E$766=$A656)/('Weekly Tracker'!$F$2:$F$766&lt;&gt;""),'Weekly Tracker'!$F$2:$F$766),"")</f>
        <v/>
      </c>
      <c r="G656" s="16">
        <f>IF(F656&lt;&gt;"",LOOKUP(2,1/('Weekly Tracker'!$E$2:$E$766=$A656)/('Weekly Tracker'!$F$2:$F$766&lt;&gt;""),'Weekly Tracker'!$G$2:$G$766),"")</f>
        <v/>
      </c>
      <c r="H656" s="9">
        <f>IFERROR(LOOKUP(2,1/('Weekly Tracker'!$E$2:$E$766=$A656)/('Weekly Tracker'!$H$2:$H$766&lt;&gt;""),'Weekly Tracker'!$H$2:$H$766),"")</f>
        <v/>
      </c>
      <c r="I656" s="16">
        <f>IF(H656&lt;&gt;"",LOOKUP(2,1/('Weekly Tracker'!$E$2:$E$766=$A656)/('Weekly Tracker'!$H$2:$H$766&lt;&gt;""),'Weekly Tracker'!$I$2:$I$766),"")</f>
        <v/>
      </c>
      <c r="J656" s="9">
        <f>IFERROR(LOOKUP(2,1/('Weekly Tracker'!$E$2:$E$766=$A656)/('Weekly Tracker'!$J$2:$J$766&lt;&gt;""),'Weekly Tracker'!$J$2:$J$766),"")</f>
        <v/>
      </c>
      <c r="K656" s="9">
        <f>IFERROR(LOOKUP(2,1/('Weekly Tracker'!$E$2:$E$766=$A656)/('Weekly Tracker'!$N$2:$N$766&lt;&gt;""),'Weekly Tracker'!$N$2:$N$766),"")</f>
        <v/>
      </c>
      <c r="L656" s="9">
        <f>IFERROR(LOOKUP(2,1/('Weekly Tracker'!$E$2:$E$766=$A656)/('Weekly Tracker'!$O$2:$O$766&lt;&gt;""),'Weekly Tracker'!$O$2:$O$766),"")</f>
        <v/>
      </c>
    </row>
    <row r="657">
      <c r="A657" s="9" t="inlineStr">
        <is>
          <t>Bagyanathan Rapido</t>
        </is>
      </c>
      <c r="B657" s="9" t="inlineStr">
        <is>
          <t>9486894132</t>
        </is>
      </c>
      <c r="C657" s="9" t="n"/>
      <c r="D657" s="9" t="n"/>
      <c r="E657" s="9" t="n"/>
      <c r="F657" s="9">
        <f>IFERROR(LOOKUP(2,1/('Weekly Tracker'!$E$2:$E$766=$A657)/('Weekly Tracker'!$F$2:$F$766&lt;&gt;""),'Weekly Tracker'!$F$2:$F$766),"")</f>
        <v/>
      </c>
      <c r="G657" s="16">
        <f>IF(F657&lt;&gt;"",LOOKUP(2,1/('Weekly Tracker'!$E$2:$E$766=$A657)/('Weekly Tracker'!$F$2:$F$766&lt;&gt;""),'Weekly Tracker'!$G$2:$G$766),"")</f>
        <v/>
      </c>
      <c r="H657" s="9">
        <f>IFERROR(LOOKUP(2,1/('Weekly Tracker'!$E$2:$E$766=$A657)/('Weekly Tracker'!$H$2:$H$766&lt;&gt;""),'Weekly Tracker'!$H$2:$H$766),"")</f>
        <v/>
      </c>
      <c r="I657" s="16">
        <f>IF(H657&lt;&gt;"",LOOKUP(2,1/('Weekly Tracker'!$E$2:$E$766=$A657)/('Weekly Tracker'!$H$2:$H$766&lt;&gt;""),'Weekly Tracker'!$I$2:$I$766),"")</f>
        <v/>
      </c>
      <c r="J657" s="9">
        <f>IFERROR(LOOKUP(2,1/('Weekly Tracker'!$E$2:$E$766=$A657)/('Weekly Tracker'!$J$2:$J$766&lt;&gt;""),'Weekly Tracker'!$J$2:$J$766),"")</f>
        <v/>
      </c>
      <c r="K657" s="9">
        <f>IFERROR(LOOKUP(2,1/('Weekly Tracker'!$E$2:$E$766=$A657)/('Weekly Tracker'!$N$2:$N$766&lt;&gt;""),'Weekly Tracker'!$N$2:$N$766),"")</f>
        <v/>
      </c>
      <c r="L657" s="9">
        <f>IFERROR(LOOKUP(2,1/('Weekly Tracker'!$E$2:$E$766=$A657)/('Weekly Tracker'!$O$2:$O$766&lt;&gt;""),'Weekly Tracker'!$O$2:$O$766),"")</f>
        <v/>
      </c>
    </row>
    <row r="658">
      <c r="A658" s="9" t="inlineStr">
        <is>
          <t>Kavin Raju Urja</t>
        </is>
      </c>
      <c r="B658" s="9" t="inlineStr">
        <is>
          <t>9952604509</t>
        </is>
      </c>
      <c r="C658" s="9" t="n"/>
      <c r="D658" s="9" t="n"/>
      <c r="E658" s="9" t="n"/>
      <c r="F658" s="9">
        <f>IFERROR(LOOKUP(2,1/('Weekly Tracker'!$E$2:$E$766=$A658)/('Weekly Tracker'!$F$2:$F$766&lt;&gt;""),'Weekly Tracker'!$F$2:$F$766),"")</f>
        <v/>
      </c>
      <c r="G658" s="16">
        <f>IF(F658&lt;&gt;"",LOOKUP(2,1/('Weekly Tracker'!$E$2:$E$766=$A658)/('Weekly Tracker'!$F$2:$F$766&lt;&gt;""),'Weekly Tracker'!$G$2:$G$766),"")</f>
        <v/>
      </c>
      <c r="H658" s="9">
        <f>IFERROR(LOOKUP(2,1/('Weekly Tracker'!$E$2:$E$766=$A658)/('Weekly Tracker'!$H$2:$H$766&lt;&gt;""),'Weekly Tracker'!$H$2:$H$766),"")</f>
        <v/>
      </c>
      <c r="I658" s="16">
        <f>IF(H658&lt;&gt;"",LOOKUP(2,1/('Weekly Tracker'!$E$2:$E$766=$A658)/('Weekly Tracker'!$H$2:$H$766&lt;&gt;""),'Weekly Tracker'!$I$2:$I$766),"")</f>
        <v/>
      </c>
      <c r="J658" s="9">
        <f>IFERROR(LOOKUP(2,1/('Weekly Tracker'!$E$2:$E$766=$A658)/('Weekly Tracker'!$J$2:$J$766&lt;&gt;""),'Weekly Tracker'!$J$2:$J$766),"")</f>
        <v/>
      </c>
      <c r="K658" s="9">
        <f>IFERROR(LOOKUP(2,1/('Weekly Tracker'!$E$2:$E$766=$A658)/('Weekly Tracker'!$N$2:$N$766&lt;&gt;""),'Weekly Tracker'!$N$2:$N$766),"")</f>
        <v/>
      </c>
      <c r="L658" s="9">
        <f>IFERROR(LOOKUP(2,1/('Weekly Tracker'!$E$2:$E$766=$A658)/('Weekly Tracker'!$O$2:$O$766&lt;&gt;""),'Weekly Tracker'!$O$2:$O$766),"")</f>
        <v/>
      </c>
    </row>
    <row r="659">
      <c r="A659" s="9" t="inlineStr">
        <is>
          <t>Kannan STC</t>
        </is>
      </c>
      <c r="B659" s="9" t="inlineStr">
        <is>
          <t>918668000793, 95431 68425</t>
        </is>
      </c>
      <c r="C659" s="9" t="n"/>
      <c r="D659" s="9" t="n"/>
      <c r="E659" s="9" t="n"/>
      <c r="F659" s="9">
        <f>IFERROR(LOOKUP(2,1/('Weekly Tracker'!$E$2:$E$766=$A659)/('Weekly Tracker'!$F$2:$F$766&lt;&gt;""),'Weekly Tracker'!$F$2:$F$766),"")</f>
        <v/>
      </c>
      <c r="G659" s="16">
        <f>IF(F659&lt;&gt;"",LOOKUP(2,1/('Weekly Tracker'!$E$2:$E$766=$A659)/('Weekly Tracker'!$F$2:$F$766&lt;&gt;""),'Weekly Tracker'!$G$2:$G$766),"")</f>
        <v/>
      </c>
      <c r="H659" s="9">
        <f>IFERROR(LOOKUP(2,1/('Weekly Tracker'!$E$2:$E$766=$A659)/('Weekly Tracker'!$H$2:$H$766&lt;&gt;""),'Weekly Tracker'!$H$2:$H$766),"")</f>
        <v/>
      </c>
      <c r="I659" s="16">
        <f>IF(H659&lt;&gt;"",LOOKUP(2,1/('Weekly Tracker'!$E$2:$E$766=$A659)/('Weekly Tracker'!$H$2:$H$766&lt;&gt;""),'Weekly Tracker'!$I$2:$I$766),"")</f>
        <v/>
      </c>
      <c r="J659" s="9">
        <f>IFERROR(LOOKUP(2,1/('Weekly Tracker'!$E$2:$E$766=$A659)/('Weekly Tracker'!$J$2:$J$766&lt;&gt;""),'Weekly Tracker'!$J$2:$J$766),"")</f>
        <v/>
      </c>
      <c r="K659" s="9">
        <f>IFERROR(LOOKUP(2,1/('Weekly Tracker'!$E$2:$E$766=$A659)/('Weekly Tracker'!$N$2:$N$766&lt;&gt;""),'Weekly Tracker'!$N$2:$N$766),"")</f>
        <v/>
      </c>
      <c r="L659" s="9">
        <f>IFERROR(LOOKUP(2,1/('Weekly Tracker'!$E$2:$E$766=$A659)/('Weekly Tracker'!$O$2:$O$766&lt;&gt;""),'Weekly Tracker'!$O$2:$O$766),"")</f>
        <v/>
      </c>
    </row>
    <row r="660">
      <c r="A660" s="9" t="inlineStr">
        <is>
          <t>Akon Saravanan</t>
        </is>
      </c>
      <c r="B660" s="9" t="inlineStr">
        <is>
          <t>9597074771</t>
        </is>
      </c>
      <c r="C660" s="9" t="n"/>
      <c r="D660" s="9" t="n"/>
      <c r="E660" s="9" t="n"/>
      <c r="F660" s="9">
        <f>IFERROR(LOOKUP(2,1/('Weekly Tracker'!$E$2:$E$766=$A660)/('Weekly Tracker'!$F$2:$F$766&lt;&gt;""),'Weekly Tracker'!$F$2:$F$766),"")</f>
        <v/>
      </c>
      <c r="G660" s="16">
        <f>IF(F660&lt;&gt;"",LOOKUP(2,1/('Weekly Tracker'!$E$2:$E$766=$A660)/('Weekly Tracker'!$F$2:$F$766&lt;&gt;""),'Weekly Tracker'!$G$2:$G$766),"")</f>
        <v/>
      </c>
      <c r="H660" s="9">
        <f>IFERROR(LOOKUP(2,1/('Weekly Tracker'!$E$2:$E$766=$A660)/('Weekly Tracker'!$H$2:$H$766&lt;&gt;""),'Weekly Tracker'!$H$2:$H$766),"")</f>
        <v/>
      </c>
      <c r="I660" s="16">
        <f>IF(H660&lt;&gt;"",LOOKUP(2,1/('Weekly Tracker'!$E$2:$E$766=$A660)/('Weekly Tracker'!$H$2:$H$766&lt;&gt;""),'Weekly Tracker'!$I$2:$I$766),"")</f>
        <v/>
      </c>
      <c r="J660" s="9">
        <f>IFERROR(LOOKUP(2,1/('Weekly Tracker'!$E$2:$E$766=$A660)/('Weekly Tracker'!$J$2:$J$766&lt;&gt;""),'Weekly Tracker'!$J$2:$J$766),"")</f>
        <v/>
      </c>
      <c r="K660" s="9">
        <f>IFERROR(LOOKUP(2,1/('Weekly Tracker'!$E$2:$E$766=$A660)/('Weekly Tracker'!$N$2:$N$766&lt;&gt;""),'Weekly Tracker'!$N$2:$N$766),"")</f>
        <v/>
      </c>
      <c r="L660" s="9">
        <f>IFERROR(LOOKUP(2,1/('Weekly Tracker'!$E$2:$E$766=$A660)/('Weekly Tracker'!$O$2:$O$766&lt;&gt;""),'Weekly Tracker'!$O$2:$O$766),"")</f>
        <v/>
      </c>
    </row>
    <row r="661">
      <c r="A661" s="9" t="inlineStr">
        <is>
          <t>Ranjith Infy</t>
        </is>
      </c>
      <c r="B661" s="9" t="inlineStr">
        <is>
          <t>9500242742</t>
        </is>
      </c>
      <c r="C661" s="9" t="n"/>
      <c r="D661" s="9" t="n"/>
      <c r="E661" s="9" t="n"/>
      <c r="F661" s="9">
        <f>IFERROR(LOOKUP(2,1/('Weekly Tracker'!$E$2:$E$766=$A661)/('Weekly Tracker'!$F$2:$F$766&lt;&gt;""),'Weekly Tracker'!$F$2:$F$766),"")</f>
        <v/>
      </c>
      <c r="G661" s="16">
        <f>IF(F661&lt;&gt;"",LOOKUP(2,1/('Weekly Tracker'!$E$2:$E$766=$A661)/('Weekly Tracker'!$F$2:$F$766&lt;&gt;""),'Weekly Tracker'!$G$2:$G$766),"")</f>
        <v/>
      </c>
      <c r="H661" s="9">
        <f>IFERROR(LOOKUP(2,1/('Weekly Tracker'!$E$2:$E$766=$A661)/('Weekly Tracker'!$H$2:$H$766&lt;&gt;""),'Weekly Tracker'!$H$2:$H$766),"")</f>
        <v/>
      </c>
      <c r="I661" s="16">
        <f>IF(H661&lt;&gt;"",LOOKUP(2,1/('Weekly Tracker'!$E$2:$E$766=$A661)/('Weekly Tracker'!$H$2:$H$766&lt;&gt;""),'Weekly Tracker'!$I$2:$I$766),"")</f>
        <v/>
      </c>
      <c r="J661" s="9">
        <f>IFERROR(LOOKUP(2,1/('Weekly Tracker'!$E$2:$E$766=$A661)/('Weekly Tracker'!$J$2:$J$766&lt;&gt;""),'Weekly Tracker'!$J$2:$J$766),"")</f>
        <v/>
      </c>
      <c r="K661" s="9">
        <f>IFERROR(LOOKUP(2,1/('Weekly Tracker'!$E$2:$E$766=$A661)/('Weekly Tracker'!$N$2:$N$766&lt;&gt;""),'Weekly Tracker'!$N$2:$N$766),"")</f>
        <v/>
      </c>
      <c r="L661" s="9">
        <f>IFERROR(LOOKUP(2,1/('Weekly Tracker'!$E$2:$E$766=$A661)/('Weekly Tracker'!$O$2:$O$766&lt;&gt;""),'Weekly Tracker'!$O$2:$O$766),"")</f>
        <v/>
      </c>
    </row>
    <row r="662">
      <c r="A662" s="9" t="inlineStr">
        <is>
          <t>Arun Mozhi Varman FB</t>
        </is>
      </c>
      <c r="B662" s="9" t="inlineStr">
        <is>
          <t>6369386011</t>
        </is>
      </c>
      <c r="C662" s="9" t="n"/>
      <c r="D662" s="9" t="n"/>
      <c r="E662" s="9" t="n"/>
      <c r="F662" s="9">
        <f>IFERROR(LOOKUP(2,1/('Weekly Tracker'!$E$2:$E$766=$A662)/('Weekly Tracker'!$F$2:$F$766&lt;&gt;""),'Weekly Tracker'!$F$2:$F$766),"")</f>
        <v/>
      </c>
      <c r="G662" s="16">
        <f>IF(F662&lt;&gt;"",LOOKUP(2,1/('Weekly Tracker'!$E$2:$E$766=$A662)/('Weekly Tracker'!$F$2:$F$766&lt;&gt;""),'Weekly Tracker'!$G$2:$G$766),"")</f>
        <v/>
      </c>
      <c r="H662" s="9">
        <f>IFERROR(LOOKUP(2,1/('Weekly Tracker'!$E$2:$E$766=$A662)/('Weekly Tracker'!$H$2:$H$766&lt;&gt;""),'Weekly Tracker'!$H$2:$H$766),"")</f>
        <v/>
      </c>
      <c r="I662" s="16">
        <f>IF(H662&lt;&gt;"",LOOKUP(2,1/('Weekly Tracker'!$E$2:$E$766=$A662)/('Weekly Tracker'!$H$2:$H$766&lt;&gt;""),'Weekly Tracker'!$I$2:$I$766),"")</f>
        <v/>
      </c>
      <c r="J662" s="9">
        <f>IFERROR(LOOKUP(2,1/('Weekly Tracker'!$E$2:$E$766=$A662)/('Weekly Tracker'!$J$2:$J$766&lt;&gt;""),'Weekly Tracker'!$J$2:$J$766),"")</f>
        <v/>
      </c>
      <c r="K662" s="9">
        <f>IFERROR(LOOKUP(2,1/('Weekly Tracker'!$E$2:$E$766=$A662)/('Weekly Tracker'!$N$2:$N$766&lt;&gt;""),'Weekly Tracker'!$N$2:$N$766),"")</f>
        <v/>
      </c>
      <c r="L662" s="9">
        <f>IFERROR(LOOKUP(2,1/('Weekly Tracker'!$E$2:$E$766=$A662)/('Weekly Tracker'!$O$2:$O$766&lt;&gt;""),'Weekly Tracker'!$O$2:$O$766),"")</f>
        <v/>
      </c>
    </row>
    <row r="663">
      <c r="A663" s="9" t="inlineStr">
        <is>
          <t>Madhan (Kutti) Urja</t>
        </is>
      </c>
      <c r="B663" s="9" t="inlineStr">
        <is>
          <t>8124674825</t>
        </is>
      </c>
      <c r="C663" s="9" t="n"/>
      <c r="D663" s="9" t="n"/>
      <c r="E663" s="9" t="n"/>
      <c r="F663" s="9">
        <f>IFERROR(LOOKUP(2,1/('Weekly Tracker'!$E$2:$E$766=$A663)/('Weekly Tracker'!$F$2:$F$766&lt;&gt;""),'Weekly Tracker'!$F$2:$F$766),"")</f>
        <v/>
      </c>
      <c r="G663" s="16">
        <f>IF(F663&lt;&gt;"",LOOKUP(2,1/('Weekly Tracker'!$E$2:$E$766=$A663)/('Weekly Tracker'!$F$2:$F$766&lt;&gt;""),'Weekly Tracker'!$G$2:$G$766),"")</f>
        <v/>
      </c>
      <c r="H663" s="9">
        <f>IFERROR(LOOKUP(2,1/('Weekly Tracker'!$E$2:$E$766=$A663)/('Weekly Tracker'!$H$2:$H$766&lt;&gt;""),'Weekly Tracker'!$H$2:$H$766),"")</f>
        <v/>
      </c>
      <c r="I663" s="16">
        <f>IF(H663&lt;&gt;"",LOOKUP(2,1/('Weekly Tracker'!$E$2:$E$766=$A663)/('Weekly Tracker'!$H$2:$H$766&lt;&gt;""),'Weekly Tracker'!$I$2:$I$766),"")</f>
        <v/>
      </c>
      <c r="J663" s="9">
        <f>IFERROR(LOOKUP(2,1/('Weekly Tracker'!$E$2:$E$766=$A663)/('Weekly Tracker'!$J$2:$J$766&lt;&gt;""),'Weekly Tracker'!$J$2:$J$766),"")</f>
        <v/>
      </c>
      <c r="K663" s="9">
        <f>IFERROR(LOOKUP(2,1/('Weekly Tracker'!$E$2:$E$766=$A663)/('Weekly Tracker'!$N$2:$N$766&lt;&gt;""),'Weekly Tracker'!$N$2:$N$766),"")</f>
        <v/>
      </c>
      <c r="L663" s="9">
        <f>IFERROR(LOOKUP(2,1/('Weekly Tracker'!$E$2:$E$766=$A663)/('Weekly Tracker'!$O$2:$O$766&lt;&gt;""),'Weekly Tracker'!$O$2:$O$766),"")</f>
        <v/>
      </c>
    </row>
    <row r="664">
      <c r="A664" s="9" t="inlineStr">
        <is>
          <t>Joyfull Blessing FB</t>
        </is>
      </c>
      <c r="B664" s="9" t="inlineStr">
        <is>
          <t>918838210091, 919843743425</t>
        </is>
      </c>
      <c r="C664" s="9" t="n"/>
      <c r="D664" s="9" t="n"/>
      <c r="E664" s="9" t="n"/>
      <c r="F664" s="9">
        <f>IFERROR(LOOKUP(2,1/('Weekly Tracker'!$E$2:$E$766=$A664)/('Weekly Tracker'!$F$2:$F$766&lt;&gt;""),'Weekly Tracker'!$F$2:$F$766),"")</f>
        <v/>
      </c>
      <c r="G664" s="16">
        <f>IF(F664&lt;&gt;"",LOOKUP(2,1/('Weekly Tracker'!$E$2:$E$766=$A664)/('Weekly Tracker'!$F$2:$F$766&lt;&gt;""),'Weekly Tracker'!$G$2:$G$766),"")</f>
        <v/>
      </c>
      <c r="H664" s="9">
        <f>IFERROR(LOOKUP(2,1/('Weekly Tracker'!$E$2:$E$766=$A664)/('Weekly Tracker'!$H$2:$H$766&lt;&gt;""),'Weekly Tracker'!$H$2:$H$766),"")</f>
        <v/>
      </c>
      <c r="I664" s="16">
        <f>IF(H664&lt;&gt;"",LOOKUP(2,1/('Weekly Tracker'!$E$2:$E$766=$A664)/('Weekly Tracker'!$H$2:$H$766&lt;&gt;""),'Weekly Tracker'!$I$2:$I$766),"")</f>
        <v/>
      </c>
      <c r="J664" s="9">
        <f>IFERROR(LOOKUP(2,1/('Weekly Tracker'!$E$2:$E$766=$A664)/('Weekly Tracker'!$J$2:$J$766&lt;&gt;""),'Weekly Tracker'!$J$2:$J$766),"")</f>
        <v/>
      </c>
      <c r="K664" s="9">
        <f>IFERROR(LOOKUP(2,1/('Weekly Tracker'!$E$2:$E$766=$A664)/('Weekly Tracker'!$N$2:$N$766&lt;&gt;""),'Weekly Tracker'!$N$2:$N$766),"")</f>
        <v/>
      </c>
      <c r="L664" s="9">
        <f>IFERROR(LOOKUP(2,1/('Weekly Tracker'!$E$2:$E$766=$A664)/('Weekly Tracker'!$O$2:$O$766&lt;&gt;""),'Weekly Tracker'!$O$2:$O$766),"")</f>
        <v/>
      </c>
    </row>
    <row r="665">
      <c r="A665" s="9" t="inlineStr">
        <is>
          <t>RameshDuraiselvam Civil</t>
        </is>
      </c>
      <c r="B665" s="9" t="inlineStr">
        <is>
          <t>919524406406</t>
        </is>
      </c>
      <c r="C665" s="9" t="n"/>
      <c r="D665" s="9" t="n"/>
      <c r="E665" s="9" t="n"/>
      <c r="F665" s="9">
        <f>IFERROR(LOOKUP(2,1/('Weekly Tracker'!$E$2:$E$766=$A665)/('Weekly Tracker'!$F$2:$F$766&lt;&gt;""),'Weekly Tracker'!$F$2:$F$766),"")</f>
        <v/>
      </c>
      <c r="G665" s="16">
        <f>IF(F665&lt;&gt;"",LOOKUP(2,1/('Weekly Tracker'!$E$2:$E$766=$A665)/('Weekly Tracker'!$F$2:$F$766&lt;&gt;""),'Weekly Tracker'!$G$2:$G$766),"")</f>
        <v/>
      </c>
      <c r="H665" s="9">
        <f>IFERROR(LOOKUP(2,1/('Weekly Tracker'!$E$2:$E$766=$A665)/('Weekly Tracker'!$H$2:$H$766&lt;&gt;""),'Weekly Tracker'!$H$2:$H$766),"")</f>
        <v/>
      </c>
      <c r="I665" s="16">
        <f>IF(H665&lt;&gt;"",LOOKUP(2,1/('Weekly Tracker'!$E$2:$E$766=$A665)/('Weekly Tracker'!$H$2:$H$766&lt;&gt;""),'Weekly Tracker'!$I$2:$I$766),"")</f>
        <v/>
      </c>
      <c r="J665" s="9">
        <f>IFERROR(LOOKUP(2,1/('Weekly Tracker'!$E$2:$E$766=$A665)/('Weekly Tracker'!$J$2:$J$766&lt;&gt;""),'Weekly Tracker'!$J$2:$J$766),"")</f>
        <v/>
      </c>
      <c r="K665" s="9">
        <f>IFERROR(LOOKUP(2,1/('Weekly Tracker'!$E$2:$E$766=$A665)/('Weekly Tracker'!$N$2:$N$766&lt;&gt;""),'Weekly Tracker'!$N$2:$N$766),"")</f>
        <v/>
      </c>
      <c r="L665" s="9">
        <f>IFERROR(LOOKUP(2,1/('Weekly Tracker'!$E$2:$E$766=$A665)/('Weekly Tracker'!$O$2:$O$766&lt;&gt;""),'Weekly Tracker'!$O$2:$O$766),"")</f>
        <v/>
      </c>
    </row>
    <row r="666">
      <c r="A666" s="9" t="inlineStr">
        <is>
          <t>Bala Krishnan Scl</t>
        </is>
      </c>
      <c r="B666" s="9" t="inlineStr">
        <is>
          <t>918428938341, 95005 26737</t>
        </is>
      </c>
      <c r="C666" s="9" t="n"/>
      <c r="D666" s="9" t="n"/>
      <c r="E666" s="9" t="n"/>
      <c r="F666" s="9">
        <f>IFERROR(LOOKUP(2,1/('Weekly Tracker'!$E$2:$E$766=$A666)/('Weekly Tracker'!$F$2:$F$766&lt;&gt;""),'Weekly Tracker'!$F$2:$F$766),"")</f>
        <v/>
      </c>
      <c r="G666" s="16">
        <f>IF(F666&lt;&gt;"",LOOKUP(2,1/('Weekly Tracker'!$E$2:$E$766=$A666)/('Weekly Tracker'!$F$2:$F$766&lt;&gt;""),'Weekly Tracker'!$G$2:$G$766),"")</f>
        <v/>
      </c>
      <c r="H666" s="9">
        <f>IFERROR(LOOKUP(2,1/('Weekly Tracker'!$E$2:$E$766=$A666)/('Weekly Tracker'!$H$2:$H$766&lt;&gt;""),'Weekly Tracker'!$H$2:$H$766),"")</f>
        <v/>
      </c>
      <c r="I666" s="16">
        <f>IF(H666&lt;&gt;"",LOOKUP(2,1/('Weekly Tracker'!$E$2:$E$766=$A666)/('Weekly Tracker'!$H$2:$H$766&lt;&gt;""),'Weekly Tracker'!$I$2:$I$766),"")</f>
        <v/>
      </c>
      <c r="J666" s="9">
        <f>IFERROR(LOOKUP(2,1/('Weekly Tracker'!$E$2:$E$766=$A666)/('Weekly Tracker'!$J$2:$J$766&lt;&gt;""),'Weekly Tracker'!$J$2:$J$766),"")</f>
        <v/>
      </c>
      <c r="K666" s="9">
        <f>IFERROR(LOOKUP(2,1/('Weekly Tracker'!$E$2:$E$766=$A666)/('Weekly Tracker'!$N$2:$N$766&lt;&gt;""),'Weekly Tracker'!$N$2:$N$766),"")</f>
        <v/>
      </c>
      <c r="L666" s="9">
        <f>IFERROR(LOOKUP(2,1/('Weekly Tracker'!$E$2:$E$766=$A666)/('Weekly Tracker'!$O$2:$O$766&lt;&gt;""),'Weekly Tracker'!$O$2:$O$766),"")</f>
        <v/>
      </c>
    </row>
    <row r="667">
      <c r="A667" s="9" t="inlineStr">
        <is>
          <t>Deepak Fraz FB</t>
        </is>
      </c>
      <c r="B667" s="9" t="inlineStr">
        <is>
          <t>919626564547</t>
        </is>
      </c>
      <c r="C667" s="9" t="n"/>
      <c r="D667" s="9" t="n"/>
      <c r="E667" s="9" t="n"/>
      <c r="F667" s="9">
        <f>IFERROR(LOOKUP(2,1/('Weekly Tracker'!$E$2:$E$766=$A667)/('Weekly Tracker'!$F$2:$F$766&lt;&gt;""),'Weekly Tracker'!$F$2:$F$766),"")</f>
        <v/>
      </c>
      <c r="G667" s="16">
        <f>IF(F667&lt;&gt;"",LOOKUP(2,1/('Weekly Tracker'!$E$2:$E$766=$A667)/('Weekly Tracker'!$F$2:$F$766&lt;&gt;""),'Weekly Tracker'!$G$2:$G$766),"")</f>
        <v/>
      </c>
      <c r="H667" s="9">
        <f>IFERROR(LOOKUP(2,1/('Weekly Tracker'!$E$2:$E$766=$A667)/('Weekly Tracker'!$H$2:$H$766&lt;&gt;""),'Weekly Tracker'!$H$2:$H$766),"")</f>
        <v/>
      </c>
      <c r="I667" s="16">
        <f>IF(H667&lt;&gt;"",LOOKUP(2,1/('Weekly Tracker'!$E$2:$E$766=$A667)/('Weekly Tracker'!$H$2:$H$766&lt;&gt;""),'Weekly Tracker'!$I$2:$I$766),"")</f>
        <v/>
      </c>
      <c r="J667" s="9">
        <f>IFERROR(LOOKUP(2,1/('Weekly Tracker'!$E$2:$E$766=$A667)/('Weekly Tracker'!$J$2:$J$766&lt;&gt;""),'Weekly Tracker'!$J$2:$J$766),"")</f>
        <v/>
      </c>
      <c r="K667" s="9">
        <f>IFERROR(LOOKUP(2,1/('Weekly Tracker'!$E$2:$E$766=$A667)/('Weekly Tracker'!$N$2:$N$766&lt;&gt;""),'Weekly Tracker'!$N$2:$N$766),"")</f>
        <v/>
      </c>
      <c r="L667" s="9">
        <f>IFERROR(LOOKUP(2,1/('Weekly Tracker'!$E$2:$E$766=$A667)/('Weekly Tracker'!$O$2:$O$766&lt;&gt;""),'Weekly Tracker'!$O$2:$O$766),"")</f>
        <v/>
      </c>
    </row>
    <row r="668">
      <c r="A668" s="9" t="inlineStr">
        <is>
          <t>Satish V HCL</t>
        </is>
      </c>
      <c r="B668" s="9" t="inlineStr">
        <is>
          <t>919818309429</t>
        </is>
      </c>
      <c r="C668" s="9" t="n"/>
      <c r="D668" s="9" t="n"/>
      <c r="E668" s="9" t="n"/>
      <c r="F668" s="9">
        <f>IFERROR(LOOKUP(2,1/('Weekly Tracker'!$E$2:$E$766=$A668)/('Weekly Tracker'!$F$2:$F$766&lt;&gt;""),'Weekly Tracker'!$F$2:$F$766),"")</f>
        <v/>
      </c>
      <c r="G668" s="16">
        <f>IF(F668&lt;&gt;"",LOOKUP(2,1/('Weekly Tracker'!$E$2:$E$766=$A668)/('Weekly Tracker'!$F$2:$F$766&lt;&gt;""),'Weekly Tracker'!$G$2:$G$766),"")</f>
        <v/>
      </c>
      <c r="H668" s="9">
        <f>IFERROR(LOOKUP(2,1/('Weekly Tracker'!$E$2:$E$766=$A668)/('Weekly Tracker'!$H$2:$H$766&lt;&gt;""),'Weekly Tracker'!$H$2:$H$766),"")</f>
        <v/>
      </c>
      <c r="I668" s="16">
        <f>IF(H668&lt;&gt;"",LOOKUP(2,1/('Weekly Tracker'!$E$2:$E$766=$A668)/('Weekly Tracker'!$H$2:$H$766&lt;&gt;""),'Weekly Tracker'!$I$2:$I$766),"")</f>
        <v/>
      </c>
      <c r="J668" s="9">
        <f>IFERROR(LOOKUP(2,1/('Weekly Tracker'!$E$2:$E$766=$A668)/('Weekly Tracker'!$J$2:$J$766&lt;&gt;""),'Weekly Tracker'!$J$2:$J$766),"")</f>
        <v/>
      </c>
      <c r="K668" s="9">
        <f>IFERROR(LOOKUP(2,1/('Weekly Tracker'!$E$2:$E$766=$A668)/('Weekly Tracker'!$N$2:$N$766&lt;&gt;""),'Weekly Tracker'!$N$2:$N$766),"")</f>
        <v/>
      </c>
      <c r="L668" s="9">
        <f>IFERROR(LOOKUP(2,1/('Weekly Tracker'!$E$2:$E$766=$A668)/('Weekly Tracker'!$O$2:$O$766&lt;&gt;""),'Weekly Tracker'!$O$2:$O$766),"")</f>
        <v/>
      </c>
    </row>
    <row r="669">
      <c r="A669" s="9" t="inlineStr">
        <is>
          <t>Vinith Insta</t>
        </is>
      </c>
      <c r="B669" s="9" t="inlineStr">
        <is>
          <t>+91 82209 79067</t>
        </is>
      </c>
      <c r="C669" s="9" t="n"/>
      <c r="D669" s="9" t="n"/>
      <c r="E669" s="9" t="n"/>
      <c r="F669" s="9">
        <f>IFERROR(LOOKUP(2,1/('Weekly Tracker'!$E$2:$E$766=$A669)/('Weekly Tracker'!$F$2:$F$766&lt;&gt;""),'Weekly Tracker'!$F$2:$F$766),"")</f>
        <v/>
      </c>
      <c r="G669" s="16">
        <f>IF(F669&lt;&gt;"",LOOKUP(2,1/('Weekly Tracker'!$E$2:$E$766=$A669)/('Weekly Tracker'!$F$2:$F$766&lt;&gt;""),'Weekly Tracker'!$G$2:$G$766),"")</f>
        <v/>
      </c>
      <c r="H669" s="9">
        <f>IFERROR(LOOKUP(2,1/('Weekly Tracker'!$E$2:$E$766=$A669)/('Weekly Tracker'!$H$2:$H$766&lt;&gt;""),'Weekly Tracker'!$H$2:$H$766),"")</f>
        <v/>
      </c>
      <c r="I669" s="16">
        <f>IF(H669&lt;&gt;"",LOOKUP(2,1/('Weekly Tracker'!$E$2:$E$766=$A669)/('Weekly Tracker'!$H$2:$H$766&lt;&gt;""),'Weekly Tracker'!$I$2:$I$766),"")</f>
        <v/>
      </c>
      <c r="J669" s="9">
        <f>IFERROR(LOOKUP(2,1/('Weekly Tracker'!$E$2:$E$766=$A669)/('Weekly Tracker'!$J$2:$J$766&lt;&gt;""),'Weekly Tracker'!$J$2:$J$766),"")</f>
        <v/>
      </c>
      <c r="K669" s="9">
        <f>IFERROR(LOOKUP(2,1/('Weekly Tracker'!$E$2:$E$766=$A669)/('Weekly Tracker'!$N$2:$N$766&lt;&gt;""),'Weekly Tracker'!$N$2:$N$766),"")</f>
        <v/>
      </c>
      <c r="L669" s="9">
        <f>IFERROR(LOOKUP(2,1/('Weekly Tracker'!$E$2:$E$766=$A669)/('Weekly Tracker'!$O$2:$O$766&lt;&gt;""),'Weekly Tracker'!$O$2:$O$766),"")</f>
        <v/>
      </c>
    </row>
    <row r="670">
      <c r="A670" s="9" t="inlineStr">
        <is>
          <t>Kanagaraj Junior Grp</t>
        </is>
      </c>
      <c r="B670" s="9" t="inlineStr">
        <is>
          <t>919715158887</t>
        </is>
      </c>
      <c r="C670" s="9" t="n"/>
      <c r="D670" s="9" t="n"/>
      <c r="E670" s="9" t="n"/>
      <c r="F670" s="9">
        <f>IFERROR(LOOKUP(2,1/('Weekly Tracker'!$E$2:$E$766=$A670)/('Weekly Tracker'!$F$2:$F$766&lt;&gt;""),'Weekly Tracker'!$F$2:$F$766),"")</f>
        <v/>
      </c>
      <c r="G670" s="16">
        <f>IF(F670&lt;&gt;"",LOOKUP(2,1/('Weekly Tracker'!$E$2:$E$766=$A670)/('Weekly Tracker'!$F$2:$F$766&lt;&gt;""),'Weekly Tracker'!$G$2:$G$766),"")</f>
        <v/>
      </c>
      <c r="H670" s="9">
        <f>IFERROR(LOOKUP(2,1/('Weekly Tracker'!$E$2:$E$766=$A670)/('Weekly Tracker'!$H$2:$H$766&lt;&gt;""),'Weekly Tracker'!$H$2:$H$766),"")</f>
        <v/>
      </c>
      <c r="I670" s="16">
        <f>IF(H670&lt;&gt;"",LOOKUP(2,1/('Weekly Tracker'!$E$2:$E$766=$A670)/('Weekly Tracker'!$H$2:$H$766&lt;&gt;""),'Weekly Tracker'!$I$2:$I$766),"")</f>
        <v/>
      </c>
      <c r="J670" s="9">
        <f>IFERROR(LOOKUP(2,1/('Weekly Tracker'!$E$2:$E$766=$A670)/('Weekly Tracker'!$J$2:$J$766&lt;&gt;""),'Weekly Tracker'!$J$2:$J$766),"")</f>
        <v/>
      </c>
      <c r="K670" s="9">
        <f>IFERROR(LOOKUP(2,1/('Weekly Tracker'!$E$2:$E$766=$A670)/('Weekly Tracker'!$N$2:$N$766&lt;&gt;""),'Weekly Tracker'!$N$2:$N$766),"")</f>
        <v/>
      </c>
      <c r="L670" s="9">
        <f>IFERROR(LOOKUP(2,1/('Weekly Tracker'!$E$2:$E$766=$A670)/('Weekly Tracker'!$O$2:$O$766&lt;&gt;""),'Weekly Tracker'!$O$2:$O$766),"")</f>
        <v/>
      </c>
    </row>
    <row r="671">
      <c r="A671" s="9" t="inlineStr">
        <is>
          <t>Driver Number Saravanan</t>
        </is>
      </c>
      <c r="B671" s="9" t="inlineStr">
        <is>
          <t>9790401139, 9080051794</t>
        </is>
      </c>
      <c r="C671" s="9" t="n"/>
      <c r="D671" s="9" t="n"/>
      <c r="E671" s="9" t="n"/>
      <c r="F671" s="9">
        <f>IFERROR(LOOKUP(2,1/('Weekly Tracker'!$E$2:$E$766=$A671)/('Weekly Tracker'!$F$2:$F$766&lt;&gt;""),'Weekly Tracker'!$F$2:$F$766),"")</f>
        <v/>
      </c>
      <c r="G671" s="16">
        <f>IF(F671&lt;&gt;"",LOOKUP(2,1/('Weekly Tracker'!$E$2:$E$766=$A671)/('Weekly Tracker'!$F$2:$F$766&lt;&gt;""),'Weekly Tracker'!$G$2:$G$766),"")</f>
        <v/>
      </c>
      <c r="H671" s="9">
        <f>IFERROR(LOOKUP(2,1/('Weekly Tracker'!$E$2:$E$766=$A671)/('Weekly Tracker'!$H$2:$H$766&lt;&gt;""),'Weekly Tracker'!$H$2:$H$766),"")</f>
        <v/>
      </c>
      <c r="I671" s="16">
        <f>IF(H671&lt;&gt;"",LOOKUP(2,1/('Weekly Tracker'!$E$2:$E$766=$A671)/('Weekly Tracker'!$H$2:$H$766&lt;&gt;""),'Weekly Tracker'!$I$2:$I$766),"")</f>
        <v/>
      </c>
      <c r="J671" s="9">
        <f>IFERROR(LOOKUP(2,1/('Weekly Tracker'!$E$2:$E$766=$A671)/('Weekly Tracker'!$J$2:$J$766&lt;&gt;""),'Weekly Tracker'!$J$2:$J$766),"")</f>
        <v/>
      </c>
      <c r="K671" s="9">
        <f>IFERROR(LOOKUP(2,1/('Weekly Tracker'!$E$2:$E$766=$A671)/('Weekly Tracker'!$N$2:$N$766&lt;&gt;""),'Weekly Tracker'!$N$2:$N$766),"")</f>
        <v/>
      </c>
      <c r="L671" s="9">
        <f>IFERROR(LOOKUP(2,1/('Weekly Tracker'!$E$2:$E$766=$A671)/('Weekly Tracker'!$O$2:$O$766&lt;&gt;""),'Weekly Tracker'!$O$2:$O$766),"")</f>
        <v/>
      </c>
    </row>
    <row r="672">
      <c r="A672" s="9" t="inlineStr">
        <is>
          <t>Yogaraj ECE</t>
        </is>
      </c>
      <c r="B672" s="9" t="inlineStr">
        <is>
          <t>919566473458</t>
        </is>
      </c>
      <c r="C672" s="9" t="n"/>
      <c r="D672" s="9" t="n"/>
      <c r="E672" s="9" t="n"/>
      <c r="F672" s="9">
        <f>IFERROR(LOOKUP(2,1/('Weekly Tracker'!$E$2:$E$766=$A672)/('Weekly Tracker'!$F$2:$F$766&lt;&gt;""),'Weekly Tracker'!$F$2:$F$766),"")</f>
        <v/>
      </c>
      <c r="G672" s="16">
        <f>IF(F672&lt;&gt;"",LOOKUP(2,1/('Weekly Tracker'!$E$2:$E$766=$A672)/('Weekly Tracker'!$F$2:$F$766&lt;&gt;""),'Weekly Tracker'!$G$2:$G$766),"")</f>
        <v/>
      </c>
      <c r="H672" s="9">
        <f>IFERROR(LOOKUP(2,1/('Weekly Tracker'!$E$2:$E$766=$A672)/('Weekly Tracker'!$H$2:$H$766&lt;&gt;""),'Weekly Tracker'!$H$2:$H$766),"")</f>
        <v/>
      </c>
      <c r="I672" s="16">
        <f>IF(H672&lt;&gt;"",LOOKUP(2,1/('Weekly Tracker'!$E$2:$E$766=$A672)/('Weekly Tracker'!$H$2:$H$766&lt;&gt;""),'Weekly Tracker'!$I$2:$I$766),"")</f>
        <v/>
      </c>
      <c r="J672" s="9">
        <f>IFERROR(LOOKUP(2,1/('Weekly Tracker'!$E$2:$E$766=$A672)/('Weekly Tracker'!$J$2:$J$766&lt;&gt;""),'Weekly Tracker'!$J$2:$J$766),"")</f>
        <v/>
      </c>
      <c r="K672" s="9">
        <f>IFERROR(LOOKUP(2,1/('Weekly Tracker'!$E$2:$E$766=$A672)/('Weekly Tracker'!$N$2:$N$766&lt;&gt;""),'Weekly Tracker'!$N$2:$N$766),"")</f>
        <v/>
      </c>
      <c r="L672" s="9">
        <f>IFERROR(LOOKUP(2,1/('Weekly Tracker'!$E$2:$E$766=$A672)/('Weekly Tracker'!$O$2:$O$766&lt;&gt;""),'Weekly Tracker'!$O$2:$O$766),"")</f>
        <v/>
      </c>
    </row>
    <row r="673">
      <c r="A673" s="9" t="inlineStr">
        <is>
          <t>Vijay Vignesh</t>
        </is>
      </c>
      <c r="B673" s="9" t="inlineStr">
        <is>
          <t>919094778810</t>
        </is>
      </c>
      <c r="C673" s="9" t="n"/>
      <c r="D673" s="9" t="n"/>
      <c r="E673" s="9" t="n"/>
      <c r="F673" s="9">
        <f>IFERROR(LOOKUP(2,1/('Weekly Tracker'!$E$2:$E$766=$A673)/('Weekly Tracker'!$F$2:$F$766&lt;&gt;""),'Weekly Tracker'!$F$2:$F$766),"")</f>
        <v/>
      </c>
      <c r="G673" s="16">
        <f>IF(F673&lt;&gt;"",LOOKUP(2,1/('Weekly Tracker'!$E$2:$E$766=$A673)/('Weekly Tracker'!$F$2:$F$766&lt;&gt;""),'Weekly Tracker'!$G$2:$G$766),"")</f>
        <v/>
      </c>
      <c r="H673" s="9">
        <f>IFERROR(LOOKUP(2,1/('Weekly Tracker'!$E$2:$E$766=$A673)/('Weekly Tracker'!$H$2:$H$766&lt;&gt;""),'Weekly Tracker'!$H$2:$H$766),"")</f>
        <v/>
      </c>
      <c r="I673" s="16">
        <f>IF(H673&lt;&gt;"",LOOKUP(2,1/('Weekly Tracker'!$E$2:$E$766=$A673)/('Weekly Tracker'!$H$2:$H$766&lt;&gt;""),'Weekly Tracker'!$I$2:$I$766),"")</f>
        <v/>
      </c>
      <c r="J673" s="9">
        <f>IFERROR(LOOKUP(2,1/('Weekly Tracker'!$E$2:$E$766=$A673)/('Weekly Tracker'!$J$2:$J$766&lt;&gt;""),'Weekly Tracker'!$J$2:$J$766),"")</f>
        <v/>
      </c>
      <c r="K673" s="9">
        <f>IFERROR(LOOKUP(2,1/('Weekly Tracker'!$E$2:$E$766=$A673)/('Weekly Tracker'!$N$2:$N$766&lt;&gt;""),'Weekly Tracker'!$N$2:$N$766),"")</f>
        <v/>
      </c>
      <c r="L673" s="9">
        <f>IFERROR(LOOKUP(2,1/('Weekly Tracker'!$E$2:$E$766=$A673)/('Weekly Tracker'!$O$2:$O$766&lt;&gt;""),'Weekly Tracker'!$O$2:$O$766),"")</f>
        <v/>
      </c>
    </row>
    <row r="674">
      <c r="A674" s="9" t="inlineStr">
        <is>
          <t>Mohan raj Chandrasekar Urja</t>
        </is>
      </c>
      <c r="B674" s="9" t="inlineStr">
        <is>
          <t>917401553441</t>
        </is>
      </c>
      <c r="C674" s="9" t="n"/>
      <c r="D674" s="9" t="n"/>
      <c r="E674" s="9" t="n"/>
      <c r="F674" s="9">
        <f>IFERROR(LOOKUP(2,1/('Weekly Tracker'!$E$2:$E$766=$A674)/('Weekly Tracker'!$F$2:$F$766&lt;&gt;""),'Weekly Tracker'!$F$2:$F$766),"")</f>
        <v/>
      </c>
      <c r="G674" s="16">
        <f>IF(F674&lt;&gt;"",LOOKUP(2,1/('Weekly Tracker'!$E$2:$E$766=$A674)/('Weekly Tracker'!$F$2:$F$766&lt;&gt;""),'Weekly Tracker'!$G$2:$G$766),"")</f>
        <v/>
      </c>
      <c r="H674" s="9">
        <f>IFERROR(LOOKUP(2,1/('Weekly Tracker'!$E$2:$E$766=$A674)/('Weekly Tracker'!$H$2:$H$766&lt;&gt;""),'Weekly Tracker'!$H$2:$H$766),"")</f>
        <v/>
      </c>
      <c r="I674" s="16">
        <f>IF(H674&lt;&gt;"",LOOKUP(2,1/('Weekly Tracker'!$E$2:$E$766=$A674)/('Weekly Tracker'!$H$2:$H$766&lt;&gt;""),'Weekly Tracker'!$I$2:$I$766),"")</f>
        <v/>
      </c>
      <c r="J674" s="9">
        <f>IFERROR(LOOKUP(2,1/('Weekly Tracker'!$E$2:$E$766=$A674)/('Weekly Tracker'!$J$2:$J$766&lt;&gt;""),'Weekly Tracker'!$J$2:$J$766),"")</f>
        <v/>
      </c>
      <c r="K674" s="9">
        <f>IFERROR(LOOKUP(2,1/('Weekly Tracker'!$E$2:$E$766=$A674)/('Weekly Tracker'!$N$2:$N$766&lt;&gt;""),'Weekly Tracker'!$N$2:$N$766),"")</f>
        <v/>
      </c>
      <c r="L674" s="9">
        <f>IFERROR(LOOKUP(2,1/('Weekly Tracker'!$E$2:$E$766=$A674)/('Weekly Tracker'!$O$2:$O$766&lt;&gt;""),'Weekly Tracker'!$O$2:$O$766),"")</f>
        <v/>
      </c>
    </row>
    <row r="675">
      <c r="A675" s="9" t="inlineStr">
        <is>
          <t>Essaki Muthu Ramiah FB</t>
        </is>
      </c>
      <c r="B675" s="9" t="inlineStr">
        <is>
          <t>8144693909</t>
        </is>
      </c>
      <c r="C675" s="9" t="n"/>
      <c r="D675" s="9" t="n"/>
      <c r="E675" s="9" t="n"/>
      <c r="F675" s="9">
        <f>IFERROR(LOOKUP(2,1/('Weekly Tracker'!$E$2:$E$766=$A675)/('Weekly Tracker'!$F$2:$F$766&lt;&gt;""),'Weekly Tracker'!$F$2:$F$766),"")</f>
        <v/>
      </c>
      <c r="G675" s="16">
        <f>IF(F675&lt;&gt;"",LOOKUP(2,1/('Weekly Tracker'!$E$2:$E$766=$A675)/('Weekly Tracker'!$F$2:$F$766&lt;&gt;""),'Weekly Tracker'!$G$2:$G$766),"")</f>
        <v/>
      </c>
      <c r="H675" s="9">
        <f>IFERROR(LOOKUP(2,1/('Weekly Tracker'!$E$2:$E$766=$A675)/('Weekly Tracker'!$H$2:$H$766&lt;&gt;""),'Weekly Tracker'!$H$2:$H$766),"")</f>
        <v/>
      </c>
      <c r="I675" s="16">
        <f>IF(H675&lt;&gt;"",LOOKUP(2,1/('Weekly Tracker'!$E$2:$E$766=$A675)/('Weekly Tracker'!$H$2:$H$766&lt;&gt;""),'Weekly Tracker'!$I$2:$I$766),"")</f>
        <v/>
      </c>
      <c r="J675" s="9">
        <f>IFERROR(LOOKUP(2,1/('Weekly Tracker'!$E$2:$E$766=$A675)/('Weekly Tracker'!$J$2:$J$766&lt;&gt;""),'Weekly Tracker'!$J$2:$J$766),"")</f>
        <v/>
      </c>
      <c r="K675" s="9">
        <f>IFERROR(LOOKUP(2,1/('Weekly Tracker'!$E$2:$E$766=$A675)/('Weekly Tracker'!$N$2:$N$766&lt;&gt;""),'Weekly Tracker'!$N$2:$N$766),"")</f>
        <v/>
      </c>
      <c r="L675" s="9">
        <f>IFERROR(LOOKUP(2,1/('Weekly Tracker'!$E$2:$E$766=$A675)/('Weekly Tracker'!$O$2:$O$766&lt;&gt;""),'Weekly Tracker'!$O$2:$O$766),"")</f>
        <v/>
      </c>
    </row>
    <row r="676">
      <c r="A676" s="9" t="inlineStr">
        <is>
          <t>Gas Booking Kundr</t>
        </is>
      </c>
      <c r="B676" s="9" t="inlineStr">
        <is>
          <t>81240 24365</t>
        </is>
      </c>
      <c r="C676" s="9" t="n"/>
      <c r="D676" s="9" t="n"/>
      <c r="E676" s="9" t="n"/>
      <c r="F676" s="9">
        <f>IFERROR(LOOKUP(2,1/('Weekly Tracker'!$E$2:$E$766=$A676)/('Weekly Tracker'!$F$2:$F$766&lt;&gt;""),'Weekly Tracker'!$F$2:$F$766),"")</f>
        <v/>
      </c>
      <c r="G676" s="16">
        <f>IF(F676&lt;&gt;"",LOOKUP(2,1/('Weekly Tracker'!$E$2:$E$766=$A676)/('Weekly Tracker'!$F$2:$F$766&lt;&gt;""),'Weekly Tracker'!$G$2:$G$766),"")</f>
        <v/>
      </c>
      <c r="H676" s="9">
        <f>IFERROR(LOOKUP(2,1/('Weekly Tracker'!$E$2:$E$766=$A676)/('Weekly Tracker'!$H$2:$H$766&lt;&gt;""),'Weekly Tracker'!$H$2:$H$766),"")</f>
        <v/>
      </c>
      <c r="I676" s="16">
        <f>IF(H676&lt;&gt;"",LOOKUP(2,1/('Weekly Tracker'!$E$2:$E$766=$A676)/('Weekly Tracker'!$H$2:$H$766&lt;&gt;""),'Weekly Tracker'!$I$2:$I$766),"")</f>
        <v/>
      </c>
      <c r="J676" s="9">
        <f>IFERROR(LOOKUP(2,1/('Weekly Tracker'!$E$2:$E$766=$A676)/('Weekly Tracker'!$J$2:$J$766&lt;&gt;""),'Weekly Tracker'!$J$2:$J$766),"")</f>
        <v/>
      </c>
      <c r="K676" s="9">
        <f>IFERROR(LOOKUP(2,1/('Weekly Tracker'!$E$2:$E$766=$A676)/('Weekly Tracker'!$N$2:$N$766&lt;&gt;""),'Weekly Tracker'!$N$2:$N$766),"")</f>
        <v/>
      </c>
      <c r="L676" s="9">
        <f>IFERROR(LOOKUP(2,1/('Weekly Tracker'!$E$2:$E$766=$A676)/('Weekly Tracker'!$O$2:$O$766&lt;&gt;""),'Weekly Tracker'!$O$2:$O$766),"")</f>
        <v/>
      </c>
    </row>
    <row r="677">
      <c r="A677" s="9" t="inlineStr">
        <is>
          <t>Fabin Antony Grp Ucen</t>
        </is>
      </c>
      <c r="B677" s="9" t="inlineStr">
        <is>
          <t>918973467548</t>
        </is>
      </c>
      <c r="C677" s="9" t="n"/>
      <c r="D677" s="9" t="n"/>
      <c r="E677" s="9" t="n"/>
      <c r="F677" s="9">
        <f>IFERROR(LOOKUP(2,1/('Weekly Tracker'!$E$2:$E$766=$A677)/('Weekly Tracker'!$F$2:$F$766&lt;&gt;""),'Weekly Tracker'!$F$2:$F$766),"")</f>
        <v/>
      </c>
      <c r="G677" s="16">
        <f>IF(F677&lt;&gt;"",LOOKUP(2,1/('Weekly Tracker'!$E$2:$E$766=$A677)/('Weekly Tracker'!$F$2:$F$766&lt;&gt;""),'Weekly Tracker'!$G$2:$G$766),"")</f>
        <v/>
      </c>
      <c r="H677" s="9">
        <f>IFERROR(LOOKUP(2,1/('Weekly Tracker'!$E$2:$E$766=$A677)/('Weekly Tracker'!$H$2:$H$766&lt;&gt;""),'Weekly Tracker'!$H$2:$H$766),"")</f>
        <v/>
      </c>
      <c r="I677" s="16">
        <f>IF(H677&lt;&gt;"",LOOKUP(2,1/('Weekly Tracker'!$E$2:$E$766=$A677)/('Weekly Tracker'!$H$2:$H$766&lt;&gt;""),'Weekly Tracker'!$I$2:$I$766),"")</f>
        <v/>
      </c>
      <c r="J677" s="9">
        <f>IFERROR(LOOKUP(2,1/('Weekly Tracker'!$E$2:$E$766=$A677)/('Weekly Tracker'!$J$2:$J$766&lt;&gt;""),'Weekly Tracker'!$J$2:$J$766),"")</f>
        <v/>
      </c>
      <c r="K677" s="9">
        <f>IFERROR(LOOKUP(2,1/('Weekly Tracker'!$E$2:$E$766=$A677)/('Weekly Tracker'!$N$2:$N$766&lt;&gt;""),'Weekly Tracker'!$N$2:$N$766),"")</f>
        <v/>
      </c>
      <c r="L677" s="9">
        <f>IFERROR(LOOKUP(2,1/('Weekly Tracker'!$E$2:$E$766=$A677)/('Weekly Tracker'!$O$2:$O$766&lt;&gt;""),'Weekly Tracker'!$O$2:$O$766),"")</f>
        <v/>
      </c>
    </row>
    <row r="678">
      <c r="A678" s="9" t="inlineStr">
        <is>
          <t>Abdul Rahman ThoughtWorks</t>
        </is>
      </c>
      <c r="B678" s="9" t="inlineStr">
        <is>
          <t>919176488864</t>
        </is>
      </c>
      <c r="C678" s="9" t="n"/>
      <c r="D678" s="9" t="n"/>
      <c r="E678" s="9" t="n"/>
      <c r="F678" s="9">
        <f>IFERROR(LOOKUP(2,1/('Weekly Tracker'!$E$2:$E$766=$A678)/('Weekly Tracker'!$F$2:$F$766&lt;&gt;""),'Weekly Tracker'!$F$2:$F$766),"")</f>
        <v/>
      </c>
      <c r="G678" s="16">
        <f>IF(F678&lt;&gt;"",LOOKUP(2,1/('Weekly Tracker'!$E$2:$E$766=$A678)/('Weekly Tracker'!$F$2:$F$766&lt;&gt;""),'Weekly Tracker'!$G$2:$G$766),"")</f>
        <v/>
      </c>
      <c r="H678" s="9">
        <f>IFERROR(LOOKUP(2,1/('Weekly Tracker'!$E$2:$E$766=$A678)/('Weekly Tracker'!$H$2:$H$766&lt;&gt;""),'Weekly Tracker'!$H$2:$H$766),"")</f>
        <v/>
      </c>
      <c r="I678" s="16">
        <f>IF(H678&lt;&gt;"",LOOKUP(2,1/('Weekly Tracker'!$E$2:$E$766=$A678)/('Weekly Tracker'!$H$2:$H$766&lt;&gt;""),'Weekly Tracker'!$I$2:$I$766),"")</f>
        <v/>
      </c>
      <c r="J678" s="9">
        <f>IFERROR(LOOKUP(2,1/('Weekly Tracker'!$E$2:$E$766=$A678)/('Weekly Tracker'!$J$2:$J$766&lt;&gt;""),'Weekly Tracker'!$J$2:$J$766),"")</f>
        <v/>
      </c>
      <c r="K678" s="9">
        <f>IFERROR(LOOKUP(2,1/('Weekly Tracker'!$E$2:$E$766=$A678)/('Weekly Tracker'!$N$2:$N$766&lt;&gt;""),'Weekly Tracker'!$N$2:$N$766),"")</f>
        <v/>
      </c>
      <c r="L678" s="9">
        <f>IFERROR(LOOKUP(2,1/('Weekly Tracker'!$E$2:$E$766=$A678)/('Weekly Tracker'!$O$2:$O$766&lt;&gt;""),'Weekly Tracker'!$O$2:$O$766),"")</f>
        <v/>
      </c>
    </row>
    <row r="679">
      <c r="A679" s="9" t="inlineStr">
        <is>
          <t>Balaji WFP</t>
        </is>
      </c>
      <c r="B679" s="9" t="inlineStr">
        <is>
          <t>8148657898</t>
        </is>
      </c>
      <c r="C679" s="9" t="n"/>
      <c r="D679" s="9" t="n"/>
      <c r="E679" s="9" t="n"/>
      <c r="F679" s="9">
        <f>IFERROR(LOOKUP(2,1/('Weekly Tracker'!$E$2:$E$766=$A679)/('Weekly Tracker'!$F$2:$F$766&lt;&gt;""),'Weekly Tracker'!$F$2:$F$766),"")</f>
        <v/>
      </c>
      <c r="G679" s="16">
        <f>IF(F679&lt;&gt;"",LOOKUP(2,1/('Weekly Tracker'!$E$2:$E$766=$A679)/('Weekly Tracker'!$F$2:$F$766&lt;&gt;""),'Weekly Tracker'!$G$2:$G$766),"")</f>
        <v/>
      </c>
      <c r="H679" s="9">
        <f>IFERROR(LOOKUP(2,1/('Weekly Tracker'!$E$2:$E$766=$A679)/('Weekly Tracker'!$H$2:$H$766&lt;&gt;""),'Weekly Tracker'!$H$2:$H$766),"")</f>
        <v/>
      </c>
      <c r="I679" s="16">
        <f>IF(H679&lt;&gt;"",LOOKUP(2,1/('Weekly Tracker'!$E$2:$E$766=$A679)/('Weekly Tracker'!$H$2:$H$766&lt;&gt;""),'Weekly Tracker'!$I$2:$I$766),"")</f>
        <v/>
      </c>
      <c r="J679" s="9">
        <f>IFERROR(LOOKUP(2,1/('Weekly Tracker'!$E$2:$E$766=$A679)/('Weekly Tracker'!$J$2:$J$766&lt;&gt;""),'Weekly Tracker'!$J$2:$J$766),"")</f>
        <v/>
      </c>
      <c r="K679" s="9">
        <f>IFERROR(LOOKUP(2,1/('Weekly Tracker'!$E$2:$E$766=$A679)/('Weekly Tracker'!$N$2:$N$766&lt;&gt;""),'Weekly Tracker'!$N$2:$N$766),"")</f>
        <v/>
      </c>
      <c r="L679" s="9">
        <f>IFERROR(LOOKUP(2,1/('Weekly Tracker'!$E$2:$E$766=$A679)/('Weekly Tracker'!$O$2:$O$766&lt;&gt;""),'Weekly Tracker'!$O$2:$O$766),"")</f>
        <v/>
      </c>
    </row>
    <row r="680">
      <c r="A680" s="9" t="inlineStr">
        <is>
          <t>Sanjeev FB</t>
        </is>
      </c>
      <c r="B680" s="9" t="inlineStr">
        <is>
          <t>9944464415</t>
        </is>
      </c>
      <c r="C680" s="9" t="n"/>
      <c r="D680" s="9" t="n"/>
      <c r="E680" s="9" t="n"/>
      <c r="F680" s="9">
        <f>IFERROR(LOOKUP(2,1/('Weekly Tracker'!$E$2:$E$766=$A680)/('Weekly Tracker'!$F$2:$F$766&lt;&gt;""),'Weekly Tracker'!$F$2:$F$766),"")</f>
        <v/>
      </c>
      <c r="G680" s="16">
        <f>IF(F680&lt;&gt;"",LOOKUP(2,1/('Weekly Tracker'!$E$2:$E$766=$A680)/('Weekly Tracker'!$F$2:$F$766&lt;&gt;""),'Weekly Tracker'!$G$2:$G$766),"")</f>
        <v/>
      </c>
      <c r="H680" s="9">
        <f>IFERROR(LOOKUP(2,1/('Weekly Tracker'!$E$2:$E$766=$A680)/('Weekly Tracker'!$H$2:$H$766&lt;&gt;""),'Weekly Tracker'!$H$2:$H$766),"")</f>
        <v/>
      </c>
      <c r="I680" s="16">
        <f>IF(H680&lt;&gt;"",LOOKUP(2,1/('Weekly Tracker'!$E$2:$E$766=$A680)/('Weekly Tracker'!$H$2:$H$766&lt;&gt;""),'Weekly Tracker'!$I$2:$I$766),"")</f>
        <v/>
      </c>
      <c r="J680" s="9">
        <f>IFERROR(LOOKUP(2,1/('Weekly Tracker'!$E$2:$E$766=$A680)/('Weekly Tracker'!$J$2:$J$766&lt;&gt;""),'Weekly Tracker'!$J$2:$J$766),"")</f>
        <v/>
      </c>
      <c r="K680" s="9">
        <f>IFERROR(LOOKUP(2,1/('Weekly Tracker'!$E$2:$E$766=$A680)/('Weekly Tracker'!$N$2:$N$766&lt;&gt;""),'Weekly Tracker'!$N$2:$N$766),"")</f>
        <v/>
      </c>
      <c r="L680" s="9">
        <f>IFERROR(LOOKUP(2,1/('Weekly Tracker'!$E$2:$E$766=$A680)/('Weekly Tracker'!$O$2:$O$766&lt;&gt;""),'Weekly Tracker'!$O$2:$O$766),"")</f>
        <v/>
      </c>
    </row>
    <row r="681">
      <c r="A681" s="9" t="inlineStr">
        <is>
          <t>Aarone Ipick</t>
        </is>
      </c>
      <c r="B681" s="9" t="inlineStr">
        <is>
          <t>919176446258</t>
        </is>
      </c>
      <c r="C681" s="9" t="n"/>
      <c r="D681" s="9" t="n"/>
      <c r="E681" s="9" t="n"/>
      <c r="F681" s="9">
        <f>IFERROR(LOOKUP(2,1/('Weekly Tracker'!$E$2:$E$766=$A681)/('Weekly Tracker'!$F$2:$F$766&lt;&gt;""),'Weekly Tracker'!$F$2:$F$766),"")</f>
        <v/>
      </c>
      <c r="G681" s="16">
        <f>IF(F681&lt;&gt;"",LOOKUP(2,1/('Weekly Tracker'!$E$2:$E$766=$A681)/('Weekly Tracker'!$F$2:$F$766&lt;&gt;""),'Weekly Tracker'!$G$2:$G$766),"")</f>
        <v/>
      </c>
      <c r="H681" s="9">
        <f>IFERROR(LOOKUP(2,1/('Weekly Tracker'!$E$2:$E$766=$A681)/('Weekly Tracker'!$H$2:$H$766&lt;&gt;""),'Weekly Tracker'!$H$2:$H$766),"")</f>
        <v/>
      </c>
      <c r="I681" s="16">
        <f>IF(H681&lt;&gt;"",LOOKUP(2,1/('Weekly Tracker'!$E$2:$E$766=$A681)/('Weekly Tracker'!$H$2:$H$766&lt;&gt;""),'Weekly Tracker'!$I$2:$I$766),"")</f>
        <v/>
      </c>
      <c r="J681" s="9">
        <f>IFERROR(LOOKUP(2,1/('Weekly Tracker'!$E$2:$E$766=$A681)/('Weekly Tracker'!$J$2:$J$766&lt;&gt;""),'Weekly Tracker'!$J$2:$J$766),"")</f>
        <v/>
      </c>
      <c r="K681" s="9">
        <f>IFERROR(LOOKUP(2,1/('Weekly Tracker'!$E$2:$E$766=$A681)/('Weekly Tracker'!$N$2:$N$766&lt;&gt;""),'Weekly Tracker'!$N$2:$N$766),"")</f>
        <v/>
      </c>
      <c r="L681" s="9">
        <f>IFERROR(LOOKUP(2,1/('Weekly Tracker'!$E$2:$E$766=$A681)/('Weekly Tracker'!$O$2:$O$766&lt;&gt;""),'Weekly Tracker'!$O$2:$O$766),"")</f>
        <v/>
      </c>
    </row>
    <row r="682">
      <c r="A682" s="9" t="inlineStr">
        <is>
          <t>Kali Raj CSE</t>
        </is>
      </c>
      <c r="B682" s="9" t="inlineStr">
        <is>
          <t>917010304317, 918015136424</t>
        </is>
      </c>
      <c r="C682" s="9" t="n"/>
      <c r="D682" s="9" t="n"/>
      <c r="E682" s="9" t="n"/>
      <c r="F682" s="9">
        <f>IFERROR(LOOKUP(2,1/('Weekly Tracker'!$E$2:$E$766=$A682)/('Weekly Tracker'!$F$2:$F$766&lt;&gt;""),'Weekly Tracker'!$F$2:$F$766),"")</f>
        <v/>
      </c>
      <c r="G682" s="16">
        <f>IF(F682&lt;&gt;"",LOOKUP(2,1/('Weekly Tracker'!$E$2:$E$766=$A682)/('Weekly Tracker'!$F$2:$F$766&lt;&gt;""),'Weekly Tracker'!$G$2:$G$766),"")</f>
        <v/>
      </c>
      <c r="H682" s="9">
        <f>IFERROR(LOOKUP(2,1/('Weekly Tracker'!$E$2:$E$766=$A682)/('Weekly Tracker'!$H$2:$H$766&lt;&gt;""),'Weekly Tracker'!$H$2:$H$766),"")</f>
        <v/>
      </c>
      <c r="I682" s="16">
        <f>IF(H682&lt;&gt;"",LOOKUP(2,1/('Weekly Tracker'!$E$2:$E$766=$A682)/('Weekly Tracker'!$H$2:$H$766&lt;&gt;""),'Weekly Tracker'!$I$2:$I$766),"")</f>
        <v/>
      </c>
      <c r="J682" s="9">
        <f>IFERROR(LOOKUP(2,1/('Weekly Tracker'!$E$2:$E$766=$A682)/('Weekly Tracker'!$J$2:$J$766&lt;&gt;""),'Weekly Tracker'!$J$2:$J$766),"")</f>
        <v/>
      </c>
      <c r="K682" s="9">
        <f>IFERROR(LOOKUP(2,1/('Weekly Tracker'!$E$2:$E$766=$A682)/('Weekly Tracker'!$N$2:$N$766&lt;&gt;""),'Weekly Tracker'!$N$2:$N$766),"")</f>
        <v/>
      </c>
      <c r="L682" s="9">
        <f>IFERROR(LOOKUP(2,1/('Weekly Tracker'!$E$2:$E$766=$A682)/('Weekly Tracker'!$O$2:$O$766&lt;&gt;""),'Weekly Tracker'!$O$2:$O$766),"")</f>
        <v/>
      </c>
    </row>
    <row r="683">
      <c r="A683" s="9" t="inlineStr">
        <is>
          <t>Saravana Kumar Scl</t>
        </is>
      </c>
      <c r="B683" s="9" t="inlineStr">
        <is>
          <t>919944220763</t>
        </is>
      </c>
      <c r="C683" s="9" t="n"/>
      <c r="D683" s="9" t="n"/>
      <c r="E683" s="9" t="n"/>
      <c r="F683" s="9">
        <f>IFERROR(LOOKUP(2,1/('Weekly Tracker'!$E$2:$E$766=$A683)/('Weekly Tracker'!$F$2:$F$766&lt;&gt;""),'Weekly Tracker'!$F$2:$F$766),"")</f>
        <v/>
      </c>
      <c r="G683" s="16">
        <f>IF(F683&lt;&gt;"",LOOKUP(2,1/('Weekly Tracker'!$E$2:$E$766=$A683)/('Weekly Tracker'!$F$2:$F$766&lt;&gt;""),'Weekly Tracker'!$G$2:$G$766),"")</f>
        <v/>
      </c>
      <c r="H683" s="9">
        <f>IFERROR(LOOKUP(2,1/('Weekly Tracker'!$E$2:$E$766=$A683)/('Weekly Tracker'!$H$2:$H$766&lt;&gt;""),'Weekly Tracker'!$H$2:$H$766),"")</f>
        <v/>
      </c>
      <c r="I683" s="16">
        <f>IF(H683&lt;&gt;"",LOOKUP(2,1/('Weekly Tracker'!$E$2:$E$766=$A683)/('Weekly Tracker'!$H$2:$H$766&lt;&gt;""),'Weekly Tracker'!$I$2:$I$766),"")</f>
        <v/>
      </c>
      <c r="J683" s="9">
        <f>IFERROR(LOOKUP(2,1/('Weekly Tracker'!$E$2:$E$766=$A683)/('Weekly Tracker'!$J$2:$J$766&lt;&gt;""),'Weekly Tracker'!$J$2:$J$766),"")</f>
        <v/>
      </c>
      <c r="K683" s="9">
        <f>IFERROR(LOOKUP(2,1/('Weekly Tracker'!$E$2:$E$766=$A683)/('Weekly Tracker'!$N$2:$N$766&lt;&gt;""),'Weekly Tracker'!$N$2:$N$766),"")</f>
        <v/>
      </c>
      <c r="L683" s="9">
        <f>IFERROR(LOOKUP(2,1/('Weekly Tracker'!$E$2:$E$766=$A683)/('Weekly Tracker'!$O$2:$O$766&lt;&gt;""),'Weekly Tracker'!$O$2:$O$766),"")</f>
        <v/>
      </c>
    </row>
    <row r="684">
      <c r="A684" s="9" t="inlineStr">
        <is>
          <t>Muthu Kumar FB</t>
        </is>
      </c>
      <c r="B684" s="9" t="inlineStr">
        <is>
          <t>9942281745</t>
        </is>
      </c>
      <c r="C684" s="9" t="n"/>
      <c r="D684" s="9" t="n"/>
      <c r="E684" s="9" t="n"/>
      <c r="F684" s="9">
        <f>IFERROR(LOOKUP(2,1/('Weekly Tracker'!$E$2:$E$766=$A684)/('Weekly Tracker'!$F$2:$F$766&lt;&gt;""),'Weekly Tracker'!$F$2:$F$766),"")</f>
        <v/>
      </c>
      <c r="G684" s="16">
        <f>IF(F684&lt;&gt;"",LOOKUP(2,1/('Weekly Tracker'!$E$2:$E$766=$A684)/('Weekly Tracker'!$F$2:$F$766&lt;&gt;""),'Weekly Tracker'!$G$2:$G$766),"")</f>
        <v/>
      </c>
      <c r="H684" s="9">
        <f>IFERROR(LOOKUP(2,1/('Weekly Tracker'!$E$2:$E$766=$A684)/('Weekly Tracker'!$H$2:$H$766&lt;&gt;""),'Weekly Tracker'!$H$2:$H$766),"")</f>
        <v/>
      </c>
      <c r="I684" s="16">
        <f>IF(H684&lt;&gt;"",LOOKUP(2,1/('Weekly Tracker'!$E$2:$E$766=$A684)/('Weekly Tracker'!$H$2:$H$766&lt;&gt;""),'Weekly Tracker'!$I$2:$I$766),"")</f>
        <v/>
      </c>
      <c r="J684" s="9">
        <f>IFERROR(LOOKUP(2,1/('Weekly Tracker'!$E$2:$E$766=$A684)/('Weekly Tracker'!$J$2:$J$766&lt;&gt;""),'Weekly Tracker'!$J$2:$J$766),"")</f>
        <v/>
      </c>
      <c r="K684" s="9">
        <f>IFERROR(LOOKUP(2,1/('Weekly Tracker'!$E$2:$E$766=$A684)/('Weekly Tracker'!$N$2:$N$766&lt;&gt;""),'Weekly Tracker'!$N$2:$N$766),"")</f>
        <v/>
      </c>
      <c r="L684" s="9">
        <f>IFERROR(LOOKUP(2,1/('Weekly Tracker'!$E$2:$E$766=$A684)/('Weekly Tracker'!$O$2:$O$766&lt;&gt;""),'Weekly Tracker'!$O$2:$O$766),"")</f>
        <v/>
      </c>
    </row>
    <row r="685">
      <c r="A685" s="9" t="inlineStr">
        <is>
          <t>Subash Scl</t>
        </is>
      </c>
      <c r="B685" s="9" t="inlineStr">
        <is>
          <t>9840906642</t>
        </is>
      </c>
      <c r="C685" s="9" t="n"/>
      <c r="D685" s="9" t="n"/>
      <c r="E685" s="9" t="n"/>
      <c r="F685" s="9">
        <f>IFERROR(LOOKUP(2,1/('Weekly Tracker'!$E$2:$E$766=$A685)/('Weekly Tracker'!$F$2:$F$766&lt;&gt;""),'Weekly Tracker'!$F$2:$F$766),"")</f>
        <v/>
      </c>
      <c r="G685" s="16">
        <f>IF(F685&lt;&gt;"",LOOKUP(2,1/('Weekly Tracker'!$E$2:$E$766=$A685)/('Weekly Tracker'!$F$2:$F$766&lt;&gt;""),'Weekly Tracker'!$G$2:$G$766),"")</f>
        <v/>
      </c>
      <c r="H685" s="9">
        <f>IFERROR(LOOKUP(2,1/('Weekly Tracker'!$E$2:$E$766=$A685)/('Weekly Tracker'!$H$2:$H$766&lt;&gt;""),'Weekly Tracker'!$H$2:$H$766),"")</f>
        <v/>
      </c>
      <c r="I685" s="16">
        <f>IF(H685&lt;&gt;"",LOOKUP(2,1/('Weekly Tracker'!$E$2:$E$766=$A685)/('Weekly Tracker'!$H$2:$H$766&lt;&gt;""),'Weekly Tracker'!$I$2:$I$766),"")</f>
        <v/>
      </c>
      <c r="J685" s="9">
        <f>IFERROR(LOOKUP(2,1/('Weekly Tracker'!$E$2:$E$766=$A685)/('Weekly Tracker'!$J$2:$J$766&lt;&gt;""),'Weekly Tracker'!$J$2:$J$766),"")</f>
        <v/>
      </c>
      <c r="K685" s="9">
        <f>IFERROR(LOOKUP(2,1/('Weekly Tracker'!$E$2:$E$766=$A685)/('Weekly Tracker'!$N$2:$N$766&lt;&gt;""),'Weekly Tracker'!$N$2:$N$766),"")</f>
        <v/>
      </c>
      <c r="L685" s="9">
        <f>IFERROR(LOOKUP(2,1/('Weekly Tracker'!$E$2:$E$766=$A685)/('Weekly Tracker'!$O$2:$O$766&lt;&gt;""),'Weekly Tracker'!$O$2:$O$766),"")</f>
        <v/>
      </c>
    </row>
    <row r="686">
      <c r="A686" s="9" t="inlineStr">
        <is>
          <t>Hema Grp</t>
        </is>
      </c>
      <c r="B686" s="9" t="inlineStr">
        <is>
          <t>919488830067</t>
        </is>
      </c>
      <c r="C686" s="9" t="n"/>
      <c r="D686" s="9" t="n"/>
      <c r="E686" s="9" t="n"/>
      <c r="F686" s="9">
        <f>IFERROR(LOOKUP(2,1/('Weekly Tracker'!$E$2:$E$766=$A686)/('Weekly Tracker'!$F$2:$F$766&lt;&gt;""),'Weekly Tracker'!$F$2:$F$766),"")</f>
        <v/>
      </c>
      <c r="G686" s="16">
        <f>IF(F686&lt;&gt;"",LOOKUP(2,1/('Weekly Tracker'!$E$2:$E$766=$A686)/('Weekly Tracker'!$F$2:$F$766&lt;&gt;""),'Weekly Tracker'!$G$2:$G$766),"")</f>
        <v/>
      </c>
      <c r="H686" s="9">
        <f>IFERROR(LOOKUP(2,1/('Weekly Tracker'!$E$2:$E$766=$A686)/('Weekly Tracker'!$H$2:$H$766&lt;&gt;""),'Weekly Tracker'!$H$2:$H$766),"")</f>
        <v/>
      </c>
      <c r="I686" s="16">
        <f>IF(H686&lt;&gt;"",LOOKUP(2,1/('Weekly Tracker'!$E$2:$E$766=$A686)/('Weekly Tracker'!$H$2:$H$766&lt;&gt;""),'Weekly Tracker'!$I$2:$I$766),"")</f>
        <v/>
      </c>
      <c r="J686" s="9">
        <f>IFERROR(LOOKUP(2,1/('Weekly Tracker'!$E$2:$E$766=$A686)/('Weekly Tracker'!$J$2:$J$766&lt;&gt;""),'Weekly Tracker'!$J$2:$J$766),"")</f>
        <v/>
      </c>
      <c r="K686" s="9">
        <f>IFERROR(LOOKUP(2,1/('Weekly Tracker'!$E$2:$E$766=$A686)/('Weekly Tracker'!$N$2:$N$766&lt;&gt;""),'Weekly Tracker'!$N$2:$N$766),"")</f>
        <v/>
      </c>
      <c r="L686" s="9">
        <f>IFERROR(LOOKUP(2,1/('Weekly Tracker'!$E$2:$E$766=$A686)/('Weekly Tracker'!$O$2:$O$766&lt;&gt;""),'Weekly Tracker'!$O$2:$O$766),"")</f>
        <v/>
      </c>
    </row>
    <row r="687">
      <c r="A687" s="9" t="inlineStr">
        <is>
          <t>Vinith Urja</t>
        </is>
      </c>
      <c r="B687" s="9" t="inlineStr">
        <is>
          <t>918438481241</t>
        </is>
      </c>
      <c r="C687" s="9" t="n"/>
      <c r="D687" s="9" t="n"/>
      <c r="E687" s="9" t="n"/>
      <c r="F687" s="9">
        <f>IFERROR(LOOKUP(2,1/('Weekly Tracker'!$E$2:$E$766=$A687)/('Weekly Tracker'!$F$2:$F$766&lt;&gt;""),'Weekly Tracker'!$F$2:$F$766),"")</f>
        <v/>
      </c>
      <c r="G687" s="16">
        <f>IF(F687&lt;&gt;"",LOOKUP(2,1/('Weekly Tracker'!$E$2:$E$766=$A687)/('Weekly Tracker'!$F$2:$F$766&lt;&gt;""),'Weekly Tracker'!$G$2:$G$766),"")</f>
        <v/>
      </c>
      <c r="H687" s="9">
        <f>IFERROR(LOOKUP(2,1/('Weekly Tracker'!$E$2:$E$766=$A687)/('Weekly Tracker'!$H$2:$H$766&lt;&gt;""),'Weekly Tracker'!$H$2:$H$766),"")</f>
        <v/>
      </c>
      <c r="I687" s="16">
        <f>IF(H687&lt;&gt;"",LOOKUP(2,1/('Weekly Tracker'!$E$2:$E$766=$A687)/('Weekly Tracker'!$H$2:$H$766&lt;&gt;""),'Weekly Tracker'!$I$2:$I$766),"")</f>
        <v/>
      </c>
      <c r="J687" s="9">
        <f>IFERROR(LOOKUP(2,1/('Weekly Tracker'!$E$2:$E$766=$A687)/('Weekly Tracker'!$J$2:$J$766&lt;&gt;""),'Weekly Tracker'!$J$2:$J$766),"")</f>
        <v/>
      </c>
      <c r="K687" s="9">
        <f>IFERROR(LOOKUP(2,1/('Weekly Tracker'!$E$2:$E$766=$A687)/('Weekly Tracker'!$N$2:$N$766&lt;&gt;""),'Weekly Tracker'!$N$2:$N$766),"")</f>
        <v/>
      </c>
      <c r="L687" s="9">
        <f>IFERROR(LOOKUP(2,1/('Weekly Tracker'!$E$2:$E$766=$A687)/('Weekly Tracker'!$O$2:$O$766&lt;&gt;""),'Weekly Tracker'!$O$2:$O$766),"")</f>
        <v/>
      </c>
    </row>
    <row r="688">
      <c r="A688" s="9" t="inlineStr">
        <is>
          <t>JosephAmalraj</t>
        </is>
      </c>
      <c r="B688" s="9" t="inlineStr">
        <is>
          <t>916385568883</t>
        </is>
      </c>
      <c r="C688" s="9" t="n"/>
      <c r="D688" s="9" t="n"/>
      <c r="E688" s="9" t="n"/>
      <c r="F688" s="9">
        <f>IFERROR(LOOKUP(2,1/('Weekly Tracker'!$E$2:$E$766=$A688)/('Weekly Tracker'!$F$2:$F$766&lt;&gt;""),'Weekly Tracker'!$F$2:$F$766),"")</f>
        <v/>
      </c>
      <c r="G688" s="16">
        <f>IF(F688&lt;&gt;"",LOOKUP(2,1/('Weekly Tracker'!$E$2:$E$766=$A688)/('Weekly Tracker'!$F$2:$F$766&lt;&gt;""),'Weekly Tracker'!$G$2:$G$766),"")</f>
        <v/>
      </c>
      <c r="H688" s="9">
        <f>IFERROR(LOOKUP(2,1/('Weekly Tracker'!$E$2:$E$766=$A688)/('Weekly Tracker'!$H$2:$H$766&lt;&gt;""),'Weekly Tracker'!$H$2:$H$766),"")</f>
        <v/>
      </c>
      <c r="I688" s="16">
        <f>IF(H688&lt;&gt;"",LOOKUP(2,1/('Weekly Tracker'!$E$2:$E$766=$A688)/('Weekly Tracker'!$H$2:$H$766&lt;&gt;""),'Weekly Tracker'!$I$2:$I$766),"")</f>
        <v/>
      </c>
      <c r="J688" s="9">
        <f>IFERROR(LOOKUP(2,1/('Weekly Tracker'!$E$2:$E$766=$A688)/('Weekly Tracker'!$J$2:$J$766&lt;&gt;""),'Weekly Tracker'!$J$2:$J$766),"")</f>
        <v/>
      </c>
      <c r="K688" s="9">
        <f>IFERROR(LOOKUP(2,1/('Weekly Tracker'!$E$2:$E$766=$A688)/('Weekly Tracker'!$N$2:$N$766&lt;&gt;""),'Weekly Tracker'!$N$2:$N$766),"")</f>
        <v/>
      </c>
      <c r="L688" s="9">
        <f>IFERROR(LOOKUP(2,1/('Weekly Tracker'!$E$2:$E$766=$A688)/('Weekly Tracker'!$O$2:$O$766&lt;&gt;""),'Weekly Tracker'!$O$2:$O$766),"")</f>
        <v/>
      </c>
    </row>
    <row r="689">
      <c r="A689" s="9" t="inlineStr">
        <is>
          <t>Vignesh Coordinate Grp Ucen</t>
        </is>
      </c>
      <c r="B689" s="9" t="inlineStr">
        <is>
          <t>93847 30085</t>
        </is>
      </c>
      <c r="C689" s="9" t="n"/>
      <c r="D689" s="9" t="n"/>
      <c r="E689" s="9" t="n"/>
      <c r="F689" s="9">
        <f>IFERROR(LOOKUP(2,1/('Weekly Tracker'!$E$2:$E$766=$A689)/('Weekly Tracker'!$F$2:$F$766&lt;&gt;""),'Weekly Tracker'!$F$2:$F$766),"")</f>
        <v/>
      </c>
      <c r="G689" s="16">
        <f>IF(F689&lt;&gt;"",LOOKUP(2,1/('Weekly Tracker'!$E$2:$E$766=$A689)/('Weekly Tracker'!$F$2:$F$766&lt;&gt;""),'Weekly Tracker'!$G$2:$G$766),"")</f>
        <v/>
      </c>
      <c r="H689" s="9">
        <f>IFERROR(LOOKUP(2,1/('Weekly Tracker'!$E$2:$E$766=$A689)/('Weekly Tracker'!$H$2:$H$766&lt;&gt;""),'Weekly Tracker'!$H$2:$H$766),"")</f>
        <v/>
      </c>
      <c r="I689" s="16">
        <f>IF(H689&lt;&gt;"",LOOKUP(2,1/('Weekly Tracker'!$E$2:$E$766=$A689)/('Weekly Tracker'!$H$2:$H$766&lt;&gt;""),'Weekly Tracker'!$I$2:$I$766),"")</f>
        <v/>
      </c>
      <c r="J689" s="9">
        <f>IFERROR(LOOKUP(2,1/('Weekly Tracker'!$E$2:$E$766=$A689)/('Weekly Tracker'!$J$2:$J$766&lt;&gt;""),'Weekly Tracker'!$J$2:$J$766),"")</f>
        <v/>
      </c>
      <c r="K689" s="9">
        <f>IFERROR(LOOKUP(2,1/('Weekly Tracker'!$E$2:$E$766=$A689)/('Weekly Tracker'!$N$2:$N$766&lt;&gt;""),'Weekly Tracker'!$N$2:$N$766),"")</f>
        <v/>
      </c>
      <c r="L689" s="9">
        <f>IFERROR(LOOKUP(2,1/('Weekly Tracker'!$E$2:$E$766=$A689)/('Weekly Tracker'!$O$2:$O$766&lt;&gt;""),'Weekly Tracker'!$O$2:$O$766),"")</f>
        <v/>
      </c>
    </row>
    <row r="690">
      <c r="A690" s="9" t="inlineStr">
        <is>
          <t>My Jio</t>
        </is>
      </c>
      <c r="B690" s="9" t="inlineStr">
        <is>
          <t>916381956693</t>
        </is>
      </c>
      <c r="C690" s="9" t="n"/>
      <c r="D690" s="9" t="n"/>
      <c r="E690" s="9" t="n"/>
      <c r="F690" s="9">
        <f>IFERROR(LOOKUP(2,1/('Weekly Tracker'!$E$2:$E$766=$A690)/('Weekly Tracker'!$F$2:$F$766&lt;&gt;""),'Weekly Tracker'!$F$2:$F$766),"")</f>
        <v/>
      </c>
      <c r="G690" s="16">
        <f>IF(F690&lt;&gt;"",LOOKUP(2,1/('Weekly Tracker'!$E$2:$E$766=$A690)/('Weekly Tracker'!$F$2:$F$766&lt;&gt;""),'Weekly Tracker'!$G$2:$G$766),"")</f>
        <v/>
      </c>
      <c r="H690" s="9">
        <f>IFERROR(LOOKUP(2,1/('Weekly Tracker'!$E$2:$E$766=$A690)/('Weekly Tracker'!$H$2:$H$766&lt;&gt;""),'Weekly Tracker'!$H$2:$H$766),"")</f>
        <v/>
      </c>
      <c r="I690" s="16">
        <f>IF(H690&lt;&gt;"",LOOKUP(2,1/('Weekly Tracker'!$E$2:$E$766=$A690)/('Weekly Tracker'!$H$2:$H$766&lt;&gt;""),'Weekly Tracker'!$I$2:$I$766),"")</f>
        <v/>
      </c>
      <c r="J690" s="9">
        <f>IFERROR(LOOKUP(2,1/('Weekly Tracker'!$E$2:$E$766=$A690)/('Weekly Tracker'!$J$2:$J$766&lt;&gt;""),'Weekly Tracker'!$J$2:$J$766),"")</f>
        <v/>
      </c>
      <c r="K690" s="9">
        <f>IFERROR(LOOKUP(2,1/('Weekly Tracker'!$E$2:$E$766=$A690)/('Weekly Tracker'!$N$2:$N$766&lt;&gt;""),'Weekly Tracker'!$N$2:$N$766),"")</f>
        <v/>
      </c>
      <c r="L690" s="9">
        <f>IFERROR(LOOKUP(2,1/('Weekly Tracker'!$E$2:$E$766=$A690)/('Weekly Tracker'!$O$2:$O$766&lt;&gt;""),'Weekly Tracker'!$O$2:$O$766),"")</f>
        <v/>
      </c>
    </row>
    <row r="691">
      <c r="A691" s="9" t="inlineStr">
        <is>
          <t>Govardhahah Meetup</t>
        </is>
      </c>
      <c r="B691" s="9" t="inlineStr">
        <is>
          <t>9176767670</t>
        </is>
      </c>
      <c r="C691" s="9" t="n"/>
      <c r="D691" s="9" t="n"/>
      <c r="E691" s="9" t="n"/>
      <c r="F691" s="9">
        <f>IFERROR(LOOKUP(2,1/('Weekly Tracker'!$E$2:$E$766=$A691)/('Weekly Tracker'!$F$2:$F$766&lt;&gt;""),'Weekly Tracker'!$F$2:$F$766),"")</f>
        <v/>
      </c>
      <c r="G691" s="16">
        <f>IF(F691&lt;&gt;"",LOOKUP(2,1/('Weekly Tracker'!$E$2:$E$766=$A691)/('Weekly Tracker'!$F$2:$F$766&lt;&gt;""),'Weekly Tracker'!$G$2:$G$766),"")</f>
        <v/>
      </c>
      <c r="H691" s="9">
        <f>IFERROR(LOOKUP(2,1/('Weekly Tracker'!$E$2:$E$766=$A691)/('Weekly Tracker'!$H$2:$H$766&lt;&gt;""),'Weekly Tracker'!$H$2:$H$766),"")</f>
        <v/>
      </c>
      <c r="I691" s="16">
        <f>IF(H691&lt;&gt;"",LOOKUP(2,1/('Weekly Tracker'!$E$2:$E$766=$A691)/('Weekly Tracker'!$H$2:$H$766&lt;&gt;""),'Weekly Tracker'!$I$2:$I$766),"")</f>
        <v/>
      </c>
      <c r="J691" s="9">
        <f>IFERROR(LOOKUP(2,1/('Weekly Tracker'!$E$2:$E$766=$A691)/('Weekly Tracker'!$J$2:$J$766&lt;&gt;""),'Weekly Tracker'!$J$2:$J$766),"")</f>
        <v/>
      </c>
      <c r="K691" s="9">
        <f>IFERROR(LOOKUP(2,1/('Weekly Tracker'!$E$2:$E$766=$A691)/('Weekly Tracker'!$N$2:$N$766&lt;&gt;""),'Weekly Tracker'!$N$2:$N$766),"")</f>
        <v/>
      </c>
      <c r="L691" s="9">
        <f>IFERROR(LOOKUP(2,1/('Weekly Tracker'!$E$2:$E$766=$A691)/('Weekly Tracker'!$O$2:$O$766&lt;&gt;""),'Weekly Tracker'!$O$2:$O$766),"")</f>
        <v/>
      </c>
    </row>
    <row r="692">
      <c r="A692" s="9" t="inlineStr">
        <is>
          <t>Jeya Kanth FB</t>
        </is>
      </c>
      <c r="B692" s="9" t="inlineStr">
        <is>
          <t>917639411440</t>
        </is>
      </c>
      <c r="C692" s="9" t="n"/>
      <c r="D692" s="9" t="n"/>
      <c r="E692" s="9" t="n"/>
      <c r="F692" s="9">
        <f>IFERROR(LOOKUP(2,1/('Weekly Tracker'!$E$2:$E$766=$A692)/('Weekly Tracker'!$F$2:$F$766&lt;&gt;""),'Weekly Tracker'!$F$2:$F$766),"")</f>
        <v/>
      </c>
      <c r="G692" s="16">
        <f>IF(F692&lt;&gt;"",LOOKUP(2,1/('Weekly Tracker'!$E$2:$E$766=$A692)/('Weekly Tracker'!$F$2:$F$766&lt;&gt;""),'Weekly Tracker'!$G$2:$G$766),"")</f>
        <v/>
      </c>
      <c r="H692" s="9">
        <f>IFERROR(LOOKUP(2,1/('Weekly Tracker'!$E$2:$E$766=$A692)/('Weekly Tracker'!$H$2:$H$766&lt;&gt;""),'Weekly Tracker'!$H$2:$H$766),"")</f>
        <v/>
      </c>
      <c r="I692" s="16">
        <f>IF(H692&lt;&gt;"",LOOKUP(2,1/('Weekly Tracker'!$E$2:$E$766=$A692)/('Weekly Tracker'!$H$2:$H$766&lt;&gt;""),'Weekly Tracker'!$I$2:$I$766),"")</f>
        <v/>
      </c>
      <c r="J692" s="9">
        <f>IFERROR(LOOKUP(2,1/('Weekly Tracker'!$E$2:$E$766=$A692)/('Weekly Tracker'!$J$2:$J$766&lt;&gt;""),'Weekly Tracker'!$J$2:$J$766),"")</f>
        <v/>
      </c>
      <c r="K692" s="9">
        <f>IFERROR(LOOKUP(2,1/('Weekly Tracker'!$E$2:$E$766=$A692)/('Weekly Tracker'!$N$2:$N$766&lt;&gt;""),'Weekly Tracker'!$N$2:$N$766),"")</f>
        <v/>
      </c>
      <c r="L692" s="9">
        <f>IFERROR(LOOKUP(2,1/('Weekly Tracker'!$E$2:$E$766=$A692)/('Weekly Tracker'!$O$2:$O$766&lt;&gt;""),'Weekly Tracker'!$O$2:$O$766),"")</f>
        <v/>
      </c>
    </row>
    <row r="693">
      <c r="A693" s="9" t="inlineStr">
        <is>
          <t>Venkat Verz</t>
        </is>
      </c>
      <c r="B693" s="9" t="inlineStr">
        <is>
          <t>919176683488, 919502472418</t>
        </is>
      </c>
      <c r="C693" s="9" t="n"/>
      <c r="D693" s="9" t="n"/>
      <c r="E693" s="9" t="n"/>
      <c r="F693" s="9">
        <f>IFERROR(LOOKUP(2,1/('Weekly Tracker'!$E$2:$E$766=$A693)/('Weekly Tracker'!$F$2:$F$766&lt;&gt;""),'Weekly Tracker'!$F$2:$F$766),"")</f>
        <v/>
      </c>
      <c r="G693" s="16">
        <f>IF(F693&lt;&gt;"",LOOKUP(2,1/('Weekly Tracker'!$E$2:$E$766=$A693)/('Weekly Tracker'!$F$2:$F$766&lt;&gt;""),'Weekly Tracker'!$G$2:$G$766),"")</f>
        <v/>
      </c>
      <c r="H693" s="9">
        <f>IFERROR(LOOKUP(2,1/('Weekly Tracker'!$E$2:$E$766=$A693)/('Weekly Tracker'!$H$2:$H$766&lt;&gt;""),'Weekly Tracker'!$H$2:$H$766),"")</f>
        <v/>
      </c>
      <c r="I693" s="16">
        <f>IF(H693&lt;&gt;"",LOOKUP(2,1/('Weekly Tracker'!$E$2:$E$766=$A693)/('Weekly Tracker'!$H$2:$H$766&lt;&gt;""),'Weekly Tracker'!$I$2:$I$766),"")</f>
        <v/>
      </c>
      <c r="J693" s="9">
        <f>IFERROR(LOOKUP(2,1/('Weekly Tracker'!$E$2:$E$766=$A693)/('Weekly Tracker'!$J$2:$J$766&lt;&gt;""),'Weekly Tracker'!$J$2:$J$766),"")</f>
        <v/>
      </c>
      <c r="K693" s="9">
        <f>IFERROR(LOOKUP(2,1/('Weekly Tracker'!$E$2:$E$766=$A693)/('Weekly Tracker'!$N$2:$N$766&lt;&gt;""),'Weekly Tracker'!$N$2:$N$766),"")</f>
        <v/>
      </c>
      <c r="L693" s="9">
        <f>IFERROR(LOOKUP(2,1/('Weekly Tracker'!$E$2:$E$766=$A693)/('Weekly Tracker'!$O$2:$O$766&lt;&gt;""),'Weekly Tracker'!$O$2:$O$766),"")</f>
        <v/>
      </c>
    </row>
    <row r="694">
      <c r="A694" s="9" t="inlineStr">
        <is>
          <t>Ramkimani Manimuthu</t>
        </is>
      </c>
      <c r="B694" s="9" t="inlineStr">
        <is>
          <t>918148053032</t>
        </is>
      </c>
      <c r="C694" s="9" t="n"/>
      <c r="D694" s="9" t="n"/>
      <c r="E694" s="9" t="inlineStr">
        <is>
          <t>Tamil Nadu, India</t>
        </is>
      </c>
      <c r="F694" s="9">
        <f>IFERROR(LOOKUP(2,1/('Weekly Tracker'!$E$2:$E$766=$A694)/('Weekly Tracker'!$F$2:$F$766&lt;&gt;""),'Weekly Tracker'!$F$2:$F$766),"")</f>
        <v/>
      </c>
      <c r="G694" s="16">
        <f>IF(F694&lt;&gt;"",LOOKUP(2,1/('Weekly Tracker'!$E$2:$E$766=$A694)/('Weekly Tracker'!$F$2:$F$766&lt;&gt;""),'Weekly Tracker'!$G$2:$G$766),"")</f>
        <v/>
      </c>
      <c r="H694" s="9">
        <f>IFERROR(LOOKUP(2,1/('Weekly Tracker'!$E$2:$E$766=$A694)/('Weekly Tracker'!$H$2:$H$766&lt;&gt;""),'Weekly Tracker'!$H$2:$H$766),"")</f>
        <v/>
      </c>
      <c r="I694" s="16">
        <f>IF(H694&lt;&gt;"",LOOKUP(2,1/('Weekly Tracker'!$E$2:$E$766=$A694)/('Weekly Tracker'!$H$2:$H$766&lt;&gt;""),'Weekly Tracker'!$I$2:$I$766),"")</f>
        <v/>
      </c>
      <c r="J694" s="9">
        <f>IFERROR(LOOKUP(2,1/('Weekly Tracker'!$E$2:$E$766=$A694)/('Weekly Tracker'!$J$2:$J$766&lt;&gt;""),'Weekly Tracker'!$J$2:$J$766),"")</f>
        <v/>
      </c>
      <c r="K694" s="9">
        <f>IFERROR(LOOKUP(2,1/('Weekly Tracker'!$E$2:$E$766=$A694)/('Weekly Tracker'!$N$2:$N$766&lt;&gt;""),'Weekly Tracker'!$N$2:$N$766),"")</f>
        <v/>
      </c>
      <c r="L694" s="9">
        <f>IFERROR(LOOKUP(2,1/('Weekly Tracker'!$E$2:$E$766=$A694)/('Weekly Tracker'!$O$2:$O$766&lt;&gt;""),'Weekly Tracker'!$O$2:$O$766),"")</f>
        <v/>
      </c>
    </row>
    <row r="695">
      <c r="A695" s="9" t="inlineStr">
        <is>
          <t>Selva Sudhan Scl</t>
        </is>
      </c>
      <c r="B695" s="9" t="inlineStr">
        <is>
          <t>919500495373</t>
        </is>
      </c>
      <c r="C695" s="9" t="n"/>
      <c r="D695" s="9" t="n"/>
      <c r="E695" s="9" t="n"/>
      <c r="F695" s="9">
        <f>IFERROR(LOOKUP(2,1/('Weekly Tracker'!$E$2:$E$766=$A695)/('Weekly Tracker'!$F$2:$F$766&lt;&gt;""),'Weekly Tracker'!$F$2:$F$766),"")</f>
        <v/>
      </c>
      <c r="G695" s="16">
        <f>IF(F695&lt;&gt;"",LOOKUP(2,1/('Weekly Tracker'!$E$2:$E$766=$A695)/('Weekly Tracker'!$F$2:$F$766&lt;&gt;""),'Weekly Tracker'!$G$2:$G$766),"")</f>
        <v/>
      </c>
      <c r="H695" s="9">
        <f>IFERROR(LOOKUP(2,1/('Weekly Tracker'!$E$2:$E$766=$A695)/('Weekly Tracker'!$H$2:$H$766&lt;&gt;""),'Weekly Tracker'!$H$2:$H$766),"")</f>
        <v/>
      </c>
      <c r="I695" s="16">
        <f>IF(H695&lt;&gt;"",LOOKUP(2,1/('Weekly Tracker'!$E$2:$E$766=$A695)/('Weekly Tracker'!$H$2:$H$766&lt;&gt;""),'Weekly Tracker'!$I$2:$I$766),"")</f>
        <v/>
      </c>
      <c r="J695" s="9">
        <f>IFERROR(LOOKUP(2,1/('Weekly Tracker'!$E$2:$E$766=$A695)/('Weekly Tracker'!$J$2:$J$766&lt;&gt;""),'Weekly Tracker'!$J$2:$J$766),"")</f>
        <v/>
      </c>
      <c r="K695" s="9">
        <f>IFERROR(LOOKUP(2,1/('Weekly Tracker'!$E$2:$E$766=$A695)/('Weekly Tracker'!$N$2:$N$766&lt;&gt;""),'Weekly Tracker'!$N$2:$N$766),"")</f>
        <v/>
      </c>
      <c r="L695" s="9">
        <f>IFERROR(LOOKUP(2,1/('Weekly Tracker'!$E$2:$E$766=$A695)/('Weekly Tracker'!$O$2:$O$766&lt;&gt;""),'Weekly Tracker'!$O$2:$O$766),"")</f>
        <v/>
      </c>
    </row>
    <row r="696">
      <c r="A696" s="9" t="inlineStr">
        <is>
          <t>Mukesh Kprm</t>
        </is>
      </c>
      <c r="B696" s="9" t="inlineStr">
        <is>
          <t>918754945332</t>
        </is>
      </c>
      <c r="C696" s="9" t="n"/>
      <c r="D696" s="9" t="n"/>
      <c r="E696" s="9" t="n"/>
      <c r="F696" s="9">
        <f>IFERROR(LOOKUP(2,1/('Weekly Tracker'!$E$2:$E$766=$A696)/('Weekly Tracker'!$F$2:$F$766&lt;&gt;""),'Weekly Tracker'!$F$2:$F$766),"")</f>
        <v/>
      </c>
      <c r="G696" s="16">
        <f>IF(F696&lt;&gt;"",LOOKUP(2,1/('Weekly Tracker'!$E$2:$E$766=$A696)/('Weekly Tracker'!$F$2:$F$766&lt;&gt;""),'Weekly Tracker'!$G$2:$G$766),"")</f>
        <v/>
      </c>
      <c r="H696" s="9">
        <f>IFERROR(LOOKUP(2,1/('Weekly Tracker'!$E$2:$E$766=$A696)/('Weekly Tracker'!$H$2:$H$766&lt;&gt;""),'Weekly Tracker'!$H$2:$H$766),"")</f>
        <v/>
      </c>
      <c r="I696" s="16">
        <f>IF(H696&lt;&gt;"",LOOKUP(2,1/('Weekly Tracker'!$E$2:$E$766=$A696)/('Weekly Tracker'!$H$2:$H$766&lt;&gt;""),'Weekly Tracker'!$I$2:$I$766),"")</f>
        <v/>
      </c>
      <c r="J696" s="9">
        <f>IFERROR(LOOKUP(2,1/('Weekly Tracker'!$E$2:$E$766=$A696)/('Weekly Tracker'!$J$2:$J$766&lt;&gt;""),'Weekly Tracker'!$J$2:$J$766),"")</f>
        <v/>
      </c>
      <c r="K696" s="9">
        <f>IFERROR(LOOKUP(2,1/('Weekly Tracker'!$E$2:$E$766=$A696)/('Weekly Tracker'!$N$2:$N$766&lt;&gt;""),'Weekly Tracker'!$N$2:$N$766),"")</f>
        <v/>
      </c>
      <c r="L696" s="9">
        <f>IFERROR(LOOKUP(2,1/('Weekly Tracker'!$E$2:$E$766=$A696)/('Weekly Tracker'!$O$2:$O$766&lt;&gt;""),'Weekly Tracker'!$O$2:$O$766),"")</f>
        <v/>
      </c>
    </row>
    <row r="697">
      <c r="A697" s="9" t="inlineStr">
        <is>
          <t>Sekar M</t>
        </is>
      </c>
      <c r="B697" s="9" t="inlineStr">
        <is>
          <t>919787020583</t>
        </is>
      </c>
      <c r="C697" s="9" t="n"/>
      <c r="D697" s="9" t="n"/>
      <c r="E697" s="9" t="n"/>
      <c r="F697" s="9">
        <f>IFERROR(LOOKUP(2,1/('Weekly Tracker'!$E$2:$E$766=$A697)/('Weekly Tracker'!$F$2:$F$766&lt;&gt;""),'Weekly Tracker'!$F$2:$F$766),"")</f>
        <v/>
      </c>
      <c r="G697" s="16">
        <f>IF(F697&lt;&gt;"",LOOKUP(2,1/('Weekly Tracker'!$E$2:$E$766=$A697)/('Weekly Tracker'!$F$2:$F$766&lt;&gt;""),'Weekly Tracker'!$G$2:$G$766),"")</f>
        <v/>
      </c>
      <c r="H697" s="9">
        <f>IFERROR(LOOKUP(2,1/('Weekly Tracker'!$E$2:$E$766=$A697)/('Weekly Tracker'!$H$2:$H$766&lt;&gt;""),'Weekly Tracker'!$H$2:$H$766),"")</f>
        <v/>
      </c>
      <c r="I697" s="16">
        <f>IF(H697&lt;&gt;"",LOOKUP(2,1/('Weekly Tracker'!$E$2:$E$766=$A697)/('Weekly Tracker'!$H$2:$H$766&lt;&gt;""),'Weekly Tracker'!$I$2:$I$766),"")</f>
        <v/>
      </c>
      <c r="J697" s="9">
        <f>IFERROR(LOOKUP(2,1/('Weekly Tracker'!$E$2:$E$766=$A697)/('Weekly Tracker'!$J$2:$J$766&lt;&gt;""),'Weekly Tracker'!$J$2:$J$766),"")</f>
        <v/>
      </c>
      <c r="K697" s="9">
        <f>IFERROR(LOOKUP(2,1/('Weekly Tracker'!$E$2:$E$766=$A697)/('Weekly Tracker'!$N$2:$N$766&lt;&gt;""),'Weekly Tracker'!$N$2:$N$766),"")</f>
        <v/>
      </c>
      <c r="L697" s="9">
        <f>IFERROR(LOOKUP(2,1/('Weekly Tracker'!$E$2:$E$766=$A697)/('Weekly Tracker'!$O$2:$O$766&lt;&gt;""),'Weekly Tracker'!$O$2:$O$766),"")</f>
        <v/>
      </c>
    </row>
    <row r="698">
      <c r="A698" s="9" t="inlineStr">
        <is>
          <t>Ramya</t>
        </is>
      </c>
      <c r="B698" s="9" t="inlineStr">
        <is>
          <t>919488513743</t>
        </is>
      </c>
      <c r="C698" s="9" t="n"/>
      <c r="D698" s="9" t="n"/>
      <c r="E698" s="9" t="n"/>
      <c r="F698" s="9">
        <f>IFERROR(LOOKUP(2,1/('Weekly Tracker'!$E$2:$E$766=$A698)/('Weekly Tracker'!$F$2:$F$766&lt;&gt;""),'Weekly Tracker'!$F$2:$F$766),"")</f>
        <v/>
      </c>
      <c r="G698" s="16">
        <f>IF(F698&lt;&gt;"",LOOKUP(2,1/('Weekly Tracker'!$E$2:$E$766=$A698)/('Weekly Tracker'!$F$2:$F$766&lt;&gt;""),'Weekly Tracker'!$G$2:$G$766),"")</f>
        <v/>
      </c>
      <c r="H698" s="9">
        <f>IFERROR(LOOKUP(2,1/('Weekly Tracker'!$E$2:$E$766=$A698)/('Weekly Tracker'!$H$2:$H$766&lt;&gt;""),'Weekly Tracker'!$H$2:$H$766),"")</f>
        <v/>
      </c>
      <c r="I698" s="16">
        <f>IF(H698&lt;&gt;"",LOOKUP(2,1/('Weekly Tracker'!$E$2:$E$766=$A698)/('Weekly Tracker'!$H$2:$H$766&lt;&gt;""),'Weekly Tracker'!$I$2:$I$766),"")</f>
        <v/>
      </c>
      <c r="J698" s="9">
        <f>IFERROR(LOOKUP(2,1/('Weekly Tracker'!$E$2:$E$766=$A698)/('Weekly Tracker'!$J$2:$J$766&lt;&gt;""),'Weekly Tracker'!$J$2:$J$766),"")</f>
        <v/>
      </c>
      <c r="K698" s="9">
        <f>IFERROR(LOOKUP(2,1/('Weekly Tracker'!$E$2:$E$766=$A698)/('Weekly Tracker'!$N$2:$N$766&lt;&gt;""),'Weekly Tracker'!$N$2:$N$766),"")</f>
        <v/>
      </c>
      <c r="L698" s="9">
        <f>IFERROR(LOOKUP(2,1/('Weekly Tracker'!$E$2:$E$766=$A698)/('Weekly Tracker'!$O$2:$O$766&lt;&gt;""),'Weekly Tracker'!$O$2:$O$766),"")</f>
        <v/>
      </c>
    </row>
    <row r="699">
      <c r="A699" s="9" t="inlineStr">
        <is>
          <t>Ponkumar CMDB Verz</t>
        </is>
      </c>
      <c r="B699" s="9" t="inlineStr">
        <is>
          <t>919940843705</t>
        </is>
      </c>
      <c r="C699" s="9" t="n"/>
      <c r="D699" s="9" t="n"/>
      <c r="E699" s="9" t="n"/>
      <c r="F699" s="9">
        <f>IFERROR(LOOKUP(2,1/('Weekly Tracker'!$E$2:$E$766=$A699)/('Weekly Tracker'!$F$2:$F$766&lt;&gt;""),'Weekly Tracker'!$F$2:$F$766),"")</f>
        <v/>
      </c>
      <c r="G699" s="16">
        <f>IF(F699&lt;&gt;"",LOOKUP(2,1/('Weekly Tracker'!$E$2:$E$766=$A699)/('Weekly Tracker'!$F$2:$F$766&lt;&gt;""),'Weekly Tracker'!$G$2:$G$766),"")</f>
        <v/>
      </c>
      <c r="H699" s="9">
        <f>IFERROR(LOOKUP(2,1/('Weekly Tracker'!$E$2:$E$766=$A699)/('Weekly Tracker'!$H$2:$H$766&lt;&gt;""),'Weekly Tracker'!$H$2:$H$766),"")</f>
        <v/>
      </c>
      <c r="I699" s="16">
        <f>IF(H699&lt;&gt;"",LOOKUP(2,1/('Weekly Tracker'!$E$2:$E$766=$A699)/('Weekly Tracker'!$H$2:$H$766&lt;&gt;""),'Weekly Tracker'!$I$2:$I$766),"")</f>
        <v/>
      </c>
      <c r="J699" s="9">
        <f>IFERROR(LOOKUP(2,1/('Weekly Tracker'!$E$2:$E$766=$A699)/('Weekly Tracker'!$J$2:$J$766&lt;&gt;""),'Weekly Tracker'!$J$2:$J$766),"")</f>
        <v/>
      </c>
      <c r="K699" s="9">
        <f>IFERROR(LOOKUP(2,1/('Weekly Tracker'!$E$2:$E$766=$A699)/('Weekly Tracker'!$N$2:$N$766&lt;&gt;""),'Weekly Tracker'!$N$2:$N$766),"")</f>
        <v/>
      </c>
      <c r="L699" s="9">
        <f>IFERROR(LOOKUP(2,1/('Weekly Tracker'!$E$2:$E$766=$A699)/('Weekly Tracker'!$O$2:$O$766&lt;&gt;""),'Weekly Tracker'!$O$2:$O$766),"")</f>
        <v/>
      </c>
    </row>
    <row r="700">
      <c r="A700" s="9" t="inlineStr">
        <is>
          <t>Mariappan S FB</t>
        </is>
      </c>
      <c r="B700" s="9" t="inlineStr">
        <is>
          <t>211925787092</t>
        </is>
      </c>
      <c r="C700" s="9" t="n"/>
      <c r="D700" s="9" t="n"/>
      <c r="E700" s="9" t="n"/>
      <c r="F700" s="9">
        <f>IFERROR(LOOKUP(2,1/('Weekly Tracker'!$E$2:$E$766=$A700)/('Weekly Tracker'!$F$2:$F$766&lt;&gt;""),'Weekly Tracker'!$F$2:$F$766),"")</f>
        <v/>
      </c>
      <c r="G700" s="16">
        <f>IF(F700&lt;&gt;"",LOOKUP(2,1/('Weekly Tracker'!$E$2:$E$766=$A700)/('Weekly Tracker'!$F$2:$F$766&lt;&gt;""),'Weekly Tracker'!$G$2:$G$766),"")</f>
        <v/>
      </c>
      <c r="H700" s="9">
        <f>IFERROR(LOOKUP(2,1/('Weekly Tracker'!$E$2:$E$766=$A700)/('Weekly Tracker'!$H$2:$H$766&lt;&gt;""),'Weekly Tracker'!$H$2:$H$766),"")</f>
        <v/>
      </c>
      <c r="I700" s="16">
        <f>IF(H700&lt;&gt;"",LOOKUP(2,1/('Weekly Tracker'!$E$2:$E$766=$A700)/('Weekly Tracker'!$H$2:$H$766&lt;&gt;""),'Weekly Tracker'!$I$2:$I$766),"")</f>
        <v/>
      </c>
      <c r="J700" s="9">
        <f>IFERROR(LOOKUP(2,1/('Weekly Tracker'!$E$2:$E$766=$A700)/('Weekly Tracker'!$J$2:$J$766&lt;&gt;""),'Weekly Tracker'!$J$2:$J$766),"")</f>
        <v/>
      </c>
      <c r="K700" s="9">
        <f>IFERROR(LOOKUP(2,1/('Weekly Tracker'!$E$2:$E$766=$A700)/('Weekly Tracker'!$N$2:$N$766&lt;&gt;""),'Weekly Tracker'!$N$2:$N$766),"")</f>
        <v/>
      </c>
      <c r="L700" s="9">
        <f>IFERROR(LOOKUP(2,1/('Weekly Tracker'!$E$2:$E$766=$A700)/('Weekly Tracker'!$O$2:$O$766&lt;&gt;""),'Weekly Tracker'!$O$2:$O$766),"")</f>
        <v/>
      </c>
    </row>
    <row r="701">
      <c r="A701" s="9" t="inlineStr">
        <is>
          <t>Naren Milton FB</t>
        </is>
      </c>
      <c r="B701" s="9" t="inlineStr">
        <is>
          <t>+91 90433 86343, 9566695830</t>
        </is>
      </c>
      <c r="C701" s="9" t="n"/>
      <c r="D701" s="9" t="n"/>
      <c r="E701" s="9" t="n"/>
      <c r="F701" s="9">
        <f>IFERROR(LOOKUP(2,1/('Weekly Tracker'!$E$2:$E$766=$A701)/('Weekly Tracker'!$F$2:$F$766&lt;&gt;""),'Weekly Tracker'!$F$2:$F$766),"")</f>
        <v/>
      </c>
      <c r="G701" s="16">
        <f>IF(F701&lt;&gt;"",LOOKUP(2,1/('Weekly Tracker'!$E$2:$E$766=$A701)/('Weekly Tracker'!$F$2:$F$766&lt;&gt;""),'Weekly Tracker'!$G$2:$G$766),"")</f>
        <v/>
      </c>
      <c r="H701" s="9">
        <f>IFERROR(LOOKUP(2,1/('Weekly Tracker'!$E$2:$E$766=$A701)/('Weekly Tracker'!$H$2:$H$766&lt;&gt;""),'Weekly Tracker'!$H$2:$H$766),"")</f>
        <v/>
      </c>
      <c r="I701" s="16">
        <f>IF(H701&lt;&gt;"",LOOKUP(2,1/('Weekly Tracker'!$E$2:$E$766=$A701)/('Weekly Tracker'!$H$2:$H$766&lt;&gt;""),'Weekly Tracker'!$I$2:$I$766),"")</f>
        <v/>
      </c>
      <c r="J701" s="9">
        <f>IFERROR(LOOKUP(2,1/('Weekly Tracker'!$E$2:$E$766=$A701)/('Weekly Tracker'!$J$2:$J$766&lt;&gt;""),'Weekly Tracker'!$J$2:$J$766),"")</f>
        <v/>
      </c>
      <c r="K701" s="9">
        <f>IFERROR(LOOKUP(2,1/('Weekly Tracker'!$E$2:$E$766=$A701)/('Weekly Tracker'!$N$2:$N$766&lt;&gt;""),'Weekly Tracker'!$N$2:$N$766),"")</f>
        <v/>
      </c>
      <c r="L701" s="9">
        <f>IFERROR(LOOKUP(2,1/('Weekly Tracker'!$E$2:$E$766=$A701)/('Weekly Tracker'!$O$2:$O$766&lt;&gt;""),'Weekly Tracker'!$O$2:$O$766),"")</f>
        <v/>
      </c>
    </row>
    <row r="702">
      <c r="A702" s="9" t="inlineStr">
        <is>
          <t>DS Sachin FB</t>
        </is>
      </c>
      <c r="B702" s="9" t="inlineStr">
        <is>
          <t>919384732916</t>
        </is>
      </c>
      <c r="C702" s="9" t="n"/>
      <c r="D702" s="9" t="n"/>
      <c r="E702" s="9" t="n"/>
      <c r="F702" s="9">
        <f>IFERROR(LOOKUP(2,1/('Weekly Tracker'!$E$2:$E$766=$A702)/('Weekly Tracker'!$F$2:$F$766&lt;&gt;""),'Weekly Tracker'!$F$2:$F$766),"")</f>
        <v/>
      </c>
      <c r="G702" s="16">
        <f>IF(F702&lt;&gt;"",LOOKUP(2,1/('Weekly Tracker'!$E$2:$E$766=$A702)/('Weekly Tracker'!$F$2:$F$766&lt;&gt;""),'Weekly Tracker'!$G$2:$G$766),"")</f>
        <v/>
      </c>
      <c r="H702" s="9">
        <f>IFERROR(LOOKUP(2,1/('Weekly Tracker'!$E$2:$E$766=$A702)/('Weekly Tracker'!$H$2:$H$766&lt;&gt;""),'Weekly Tracker'!$H$2:$H$766),"")</f>
        <v/>
      </c>
      <c r="I702" s="16">
        <f>IF(H702&lt;&gt;"",LOOKUP(2,1/('Weekly Tracker'!$E$2:$E$766=$A702)/('Weekly Tracker'!$H$2:$H$766&lt;&gt;""),'Weekly Tracker'!$I$2:$I$766),"")</f>
        <v/>
      </c>
      <c r="J702" s="9">
        <f>IFERROR(LOOKUP(2,1/('Weekly Tracker'!$E$2:$E$766=$A702)/('Weekly Tracker'!$J$2:$J$766&lt;&gt;""),'Weekly Tracker'!$J$2:$J$766),"")</f>
        <v/>
      </c>
      <c r="K702" s="9">
        <f>IFERROR(LOOKUP(2,1/('Weekly Tracker'!$E$2:$E$766=$A702)/('Weekly Tracker'!$N$2:$N$766&lt;&gt;""),'Weekly Tracker'!$N$2:$N$766),"")</f>
        <v/>
      </c>
      <c r="L702" s="9">
        <f>IFERROR(LOOKUP(2,1/('Weekly Tracker'!$E$2:$E$766=$A702)/('Weekly Tracker'!$O$2:$O$766&lt;&gt;""),'Weekly Tracker'!$O$2:$O$766),"")</f>
        <v/>
      </c>
    </row>
    <row r="703">
      <c r="A703" s="9" t="inlineStr">
        <is>
          <t>Aruvi Raj FB</t>
        </is>
      </c>
      <c r="B703" s="9" t="inlineStr">
        <is>
          <t>9791496429</t>
        </is>
      </c>
      <c r="C703" s="9" t="n"/>
      <c r="D703" s="9" t="n"/>
      <c r="E703" s="9" t="n"/>
      <c r="F703" s="9">
        <f>IFERROR(LOOKUP(2,1/('Weekly Tracker'!$E$2:$E$766=$A703)/('Weekly Tracker'!$F$2:$F$766&lt;&gt;""),'Weekly Tracker'!$F$2:$F$766),"")</f>
        <v/>
      </c>
      <c r="G703" s="16">
        <f>IF(F703&lt;&gt;"",LOOKUP(2,1/('Weekly Tracker'!$E$2:$E$766=$A703)/('Weekly Tracker'!$F$2:$F$766&lt;&gt;""),'Weekly Tracker'!$G$2:$G$766),"")</f>
        <v/>
      </c>
      <c r="H703" s="9">
        <f>IFERROR(LOOKUP(2,1/('Weekly Tracker'!$E$2:$E$766=$A703)/('Weekly Tracker'!$H$2:$H$766&lt;&gt;""),'Weekly Tracker'!$H$2:$H$766),"")</f>
        <v/>
      </c>
      <c r="I703" s="16">
        <f>IF(H703&lt;&gt;"",LOOKUP(2,1/('Weekly Tracker'!$E$2:$E$766=$A703)/('Weekly Tracker'!$H$2:$H$766&lt;&gt;""),'Weekly Tracker'!$I$2:$I$766),"")</f>
        <v/>
      </c>
      <c r="J703" s="9">
        <f>IFERROR(LOOKUP(2,1/('Weekly Tracker'!$E$2:$E$766=$A703)/('Weekly Tracker'!$J$2:$J$766&lt;&gt;""),'Weekly Tracker'!$J$2:$J$766),"")</f>
        <v/>
      </c>
      <c r="K703" s="9">
        <f>IFERROR(LOOKUP(2,1/('Weekly Tracker'!$E$2:$E$766=$A703)/('Weekly Tracker'!$N$2:$N$766&lt;&gt;""),'Weekly Tracker'!$N$2:$N$766),"")</f>
        <v/>
      </c>
      <c r="L703" s="9">
        <f>IFERROR(LOOKUP(2,1/('Weekly Tracker'!$E$2:$E$766=$A703)/('Weekly Tracker'!$O$2:$O$766&lt;&gt;""),'Weekly Tracker'!$O$2:$O$766),"")</f>
        <v/>
      </c>
    </row>
    <row r="704">
      <c r="A704" s="9" t="inlineStr">
        <is>
          <t>LakshmiPriya LOA</t>
        </is>
      </c>
      <c r="B704" s="9" t="inlineStr">
        <is>
          <t>919150767775</t>
        </is>
      </c>
      <c r="C704" s="9" t="n"/>
      <c r="D704" s="9" t="n"/>
      <c r="E704" s="9" t="n"/>
      <c r="F704" s="9">
        <f>IFERROR(LOOKUP(2,1/('Weekly Tracker'!$E$2:$E$766=$A704)/('Weekly Tracker'!$F$2:$F$766&lt;&gt;""),'Weekly Tracker'!$F$2:$F$766),"")</f>
        <v/>
      </c>
      <c r="G704" s="16">
        <f>IF(F704&lt;&gt;"",LOOKUP(2,1/('Weekly Tracker'!$E$2:$E$766=$A704)/('Weekly Tracker'!$F$2:$F$766&lt;&gt;""),'Weekly Tracker'!$G$2:$G$766),"")</f>
        <v/>
      </c>
      <c r="H704" s="9">
        <f>IFERROR(LOOKUP(2,1/('Weekly Tracker'!$E$2:$E$766=$A704)/('Weekly Tracker'!$H$2:$H$766&lt;&gt;""),'Weekly Tracker'!$H$2:$H$766),"")</f>
        <v/>
      </c>
      <c r="I704" s="16">
        <f>IF(H704&lt;&gt;"",LOOKUP(2,1/('Weekly Tracker'!$E$2:$E$766=$A704)/('Weekly Tracker'!$H$2:$H$766&lt;&gt;""),'Weekly Tracker'!$I$2:$I$766),"")</f>
        <v/>
      </c>
      <c r="J704" s="9">
        <f>IFERROR(LOOKUP(2,1/('Weekly Tracker'!$E$2:$E$766=$A704)/('Weekly Tracker'!$J$2:$J$766&lt;&gt;""),'Weekly Tracker'!$J$2:$J$766),"")</f>
        <v/>
      </c>
      <c r="K704" s="9">
        <f>IFERROR(LOOKUP(2,1/('Weekly Tracker'!$E$2:$E$766=$A704)/('Weekly Tracker'!$N$2:$N$766&lt;&gt;""),'Weekly Tracker'!$N$2:$N$766),"")</f>
        <v/>
      </c>
      <c r="L704" s="9">
        <f>IFERROR(LOOKUP(2,1/('Weekly Tracker'!$E$2:$E$766=$A704)/('Weekly Tracker'!$O$2:$O$766&lt;&gt;""),'Weekly Tracker'!$O$2:$O$766),"")</f>
        <v/>
      </c>
    </row>
    <row r="705">
      <c r="A705" s="9" t="inlineStr">
        <is>
          <t>Rishi Sulthan Grp Ucen</t>
        </is>
      </c>
      <c r="B705" s="9" t="inlineStr">
        <is>
          <t>918973163525</t>
        </is>
      </c>
      <c r="C705" s="9" t="n"/>
      <c r="D705" s="9" t="n"/>
      <c r="E705" s="9" t="n"/>
      <c r="F705" s="9">
        <f>IFERROR(LOOKUP(2,1/('Weekly Tracker'!$E$2:$E$766=$A705)/('Weekly Tracker'!$F$2:$F$766&lt;&gt;""),'Weekly Tracker'!$F$2:$F$766),"")</f>
        <v/>
      </c>
      <c r="G705" s="16">
        <f>IF(F705&lt;&gt;"",LOOKUP(2,1/('Weekly Tracker'!$E$2:$E$766=$A705)/('Weekly Tracker'!$F$2:$F$766&lt;&gt;""),'Weekly Tracker'!$G$2:$G$766),"")</f>
        <v/>
      </c>
      <c r="H705" s="9">
        <f>IFERROR(LOOKUP(2,1/('Weekly Tracker'!$E$2:$E$766=$A705)/('Weekly Tracker'!$H$2:$H$766&lt;&gt;""),'Weekly Tracker'!$H$2:$H$766),"")</f>
        <v/>
      </c>
      <c r="I705" s="16">
        <f>IF(H705&lt;&gt;"",LOOKUP(2,1/('Weekly Tracker'!$E$2:$E$766=$A705)/('Weekly Tracker'!$H$2:$H$766&lt;&gt;""),'Weekly Tracker'!$I$2:$I$766),"")</f>
        <v/>
      </c>
      <c r="J705" s="9">
        <f>IFERROR(LOOKUP(2,1/('Weekly Tracker'!$E$2:$E$766=$A705)/('Weekly Tracker'!$J$2:$J$766&lt;&gt;""),'Weekly Tracker'!$J$2:$J$766),"")</f>
        <v/>
      </c>
      <c r="K705" s="9">
        <f>IFERROR(LOOKUP(2,1/('Weekly Tracker'!$E$2:$E$766=$A705)/('Weekly Tracker'!$N$2:$N$766&lt;&gt;""),'Weekly Tracker'!$N$2:$N$766),"")</f>
        <v/>
      </c>
      <c r="L705" s="9">
        <f>IFERROR(LOOKUP(2,1/('Weekly Tracker'!$E$2:$E$766=$A705)/('Weekly Tracker'!$O$2:$O$766&lt;&gt;""),'Weekly Tracker'!$O$2:$O$766),"")</f>
        <v/>
      </c>
    </row>
    <row r="706">
      <c r="A706" s="9" t="inlineStr">
        <is>
          <t>Jade Sha FB</t>
        </is>
      </c>
      <c r="B706" s="9" t="inlineStr">
        <is>
          <t>919047828501</t>
        </is>
      </c>
      <c r="C706" s="9" t="n"/>
      <c r="D706" s="9" t="n"/>
      <c r="E706" s="9" t="n"/>
      <c r="F706" s="9">
        <f>IFERROR(LOOKUP(2,1/('Weekly Tracker'!$E$2:$E$766=$A706)/('Weekly Tracker'!$F$2:$F$766&lt;&gt;""),'Weekly Tracker'!$F$2:$F$766),"")</f>
        <v/>
      </c>
      <c r="G706" s="16">
        <f>IF(F706&lt;&gt;"",LOOKUP(2,1/('Weekly Tracker'!$E$2:$E$766=$A706)/('Weekly Tracker'!$F$2:$F$766&lt;&gt;""),'Weekly Tracker'!$G$2:$G$766),"")</f>
        <v/>
      </c>
      <c r="H706" s="9">
        <f>IFERROR(LOOKUP(2,1/('Weekly Tracker'!$E$2:$E$766=$A706)/('Weekly Tracker'!$H$2:$H$766&lt;&gt;""),'Weekly Tracker'!$H$2:$H$766),"")</f>
        <v/>
      </c>
      <c r="I706" s="16">
        <f>IF(H706&lt;&gt;"",LOOKUP(2,1/('Weekly Tracker'!$E$2:$E$766=$A706)/('Weekly Tracker'!$H$2:$H$766&lt;&gt;""),'Weekly Tracker'!$I$2:$I$766),"")</f>
        <v/>
      </c>
      <c r="J706" s="9">
        <f>IFERROR(LOOKUP(2,1/('Weekly Tracker'!$E$2:$E$766=$A706)/('Weekly Tracker'!$J$2:$J$766&lt;&gt;""),'Weekly Tracker'!$J$2:$J$766),"")</f>
        <v/>
      </c>
      <c r="K706" s="9">
        <f>IFERROR(LOOKUP(2,1/('Weekly Tracker'!$E$2:$E$766=$A706)/('Weekly Tracker'!$N$2:$N$766&lt;&gt;""),'Weekly Tracker'!$N$2:$N$766),"")</f>
        <v/>
      </c>
      <c r="L706" s="9">
        <f>IFERROR(LOOKUP(2,1/('Weekly Tracker'!$E$2:$E$766=$A706)/('Weekly Tracker'!$O$2:$O$766&lt;&gt;""),'Weekly Tracker'!$O$2:$O$766),"")</f>
        <v/>
      </c>
    </row>
    <row r="707">
      <c r="A707" s="9" t="inlineStr">
        <is>
          <t>Nandhini PD Verz</t>
        </is>
      </c>
      <c r="B707" s="9" t="inlineStr">
        <is>
          <t>919962742048, 919840543063</t>
        </is>
      </c>
      <c r="C707" s="9" t="n"/>
      <c r="D707" s="9" t="n"/>
      <c r="E707" s="9" t="n"/>
      <c r="F707" s="9">
        <f>IFERROR(LOOKUP(2,1/('Weekly Tracker'!$E$2:$E$766=$A707)/('Weekly Tracker'!$F$2:$F$766&lt;&gt;""),'Weekly Tracker'!$F$2:$F$766),"")</f>
        <v/>
      </c>
      <c r="G707" s="16">
        <f>IF(F707&lt;&gt;"",LOOKUP(2,1/('Weekly Tracker'!$E$2:$E$766=$A707)/('Weekly Tracker'!$F$2:$F$766&lt;&gt;""),'Weekly Tracker'!$G$2:$G$766),"")</f>
        <v/>
      </c>
      <c r="H707" s="9">
        <f>IFERROR(LOOKUP(2,1/('Weekly Tracker'!$E$2:$E$766=$A707)/('Weekly Tracker'!$H$2:$H$766&lt;&gt;""),'Weekly Tracker'!$H$2:$H$766),"")</f>
        <v/>
      </c>
      <c r="I707" s="16">
        <f>IF(H707&lt;&gt;"",LOOKUP(2,1/('Weekly Tracker'!$E$2:$E$766=$A707)/('Weekly Tracker'!$H$2:$H$766&lt;&gt;""),'Weekly Tracker'!$I$2:$I$766),"")</f>
        <v/>
      </c>
      <c r="J707" s="9">
        <f>IFERROR(LOOKUP(2,1/('Weekly Tracker'!$E$2:$E$766=$A707)/('Weekly Tracker'!$J$2:$J$766&lt;&gt;""),'Weekly Tracker'!$J$2:$J$766),"")</f>
        <v/>
      </c>
      <c r="K707" s="9">
        <f>IFERROR(LOOKUP(2,1/('Weekly Tracker'!$E$2:$E$766=$A707)/('Weekly Tracker'!$N$2:$N$766&lt;&gt;""),'Weekly Tracker'!$N$2:$N$766),"")</f>
        <v/>
      </c>
      <c r="L707" s="9">
        <f>IFERROR(LOOKUP(2,1/('Weekly Tracker'!$E$2:$E$766=$A707)/('Weekly Tracker'!$O$2:$O$766&lt;&gt;""),'Weekly Tracker'!$O$2:$O$766),"")</f>
        <v/>
      </c>
    </row>
    <row r="708">
      <c r="A708" s="9" t="inlineStr">
        <is>
          <t>Prasanth Urja</t>
        </is>
      </c>
      <c r="B708" s="9" t="inlineStr">
        <is>
          <t>918825555245</t>
        </is>
      </c>
      <c r="C708" s="9" t="n"/>
      <c r="D708" s="9" t="n"/>
      <c r="E708" s="9" t="n"/>
      <c r="F708" s="9">
        <f>IFERROR(LOOKUP(2,1/('Weekly Tracker'!$E$2:$E$766=$A708)/('Weekly Tracker'!$F$2:$F$766&lt;&gt;""),'Weekly Tracker'!$F$2:$F$766),"")</f>
        <v/>
      </c>
      <c r="G708" s="16">
        <f>IF(F708&lt;&gt;"",LOOKUP(2,1/('Weekly Tracker'!$E$2:$E$766=$A708)/('Weekly Tracker'!$F$2:$F$766&lt;&gt;""),'Weekly Tracker'!$G$2:$G$766),"")</f>
        <v/>
      </c>
      <c r="H708" s="9">
        <f>IFERROR(LOOKUP(2,1/('Weekly Tracker'!$E$2:$E$766=$A708)/('Weekly Tracker'!$H$2:$H$766&lt;&gt;""),'Weekly Tracker'!$H$2:$H$766),"")</f>
        <v/>
      </c>
      <c r="I708" s="16">
        <f>IF(H708&lt;&gt;"",LOOKUP(2,1/('Weekly Tracker'!$E$2:$E$766=$A708)/('Weekly Tracker'!$H$2:$H$766&lt;&gt;""),'Weekly Tracker'!$I$2:$I$766),"")</f>
        <v/>
      </c>
      <c r="J708" s="9">
        <f>IFERROR(LOOKUP(2,1/('Weekly Tracker'!$E$2:$E$766=$A708)/('Weekly Tracker'!$J$2:$J$766&lt;&gt;""),'Weekly Tracker'!$J$2:$J$766),"")</f>
        <v/>
      </c>
      <c r="K708" s="9">
        <f>IFERROR(LOOKUP(2,1/('Weekly Tracker'!$E$2:$E$766=$A708)/('Weekly Tracker'!$N$2:$N$766&lt;&gt;""),'Weekly Tracker'!$N$2:$N$766),"")</f>
        <v/>
      </c>
      <c r="L708" s="9">
        <f>IFERROR(LOOKUP(2,1/('Weekly Tracker'!$E$2:$E$766=$A708)/('Weekly Tracker'!$O$2:$O$766&lt;&gt;""),'Weekly Tracker'!$O$2:$O$766),"")</f>
        <v/>
      </c>
    </row>
    <row r="709">
      <c r="A709" s="9" t="inlineStr">
        <is>
          <t>Sathurakiri Yammer</t>
        </is>
      </c>
      <c r="B709" s="9" t="inlineStr">
        <is>
          <t>9566029447</t>
        </is>
      </c>
      <c r="C709" s="9" t="n"/>
      <c r="D709" s="9" t="n"/>
      <c r="E709" s="9" t="n"/>
      <c r="F709" s="9">
        <f>IFERROR(LOOKUP(2,1/('Weekly Tracker'!$E$2:$E$766=$A709)/('Weekly Tracker'!$F$2:$F$766&lt;&gt;""),'Weekly Tracker'!$F$2:$F$766),"")</f>
        <v/>
      </c>
      <c r="G709" s="16">
        <f>IF(F709&lt;&gt;"",LOOKUP(2,1/('Weekly Tracker'!$E$2:$E$766=$A709)/('Weekly Tracker'!$F$2:$F$766&lt;&gt;""),'Weekly Tracker'!$G$2:$G$766),"")</f>
        <v/>
      </c>
      <c r="H709" s="9">
        <f>IFERROR(LOOKUP(2,1/('Weekly Tracker'!$E$2:$E$766=$A709)/('Weekly Tracker'!$H$2:$H$766&lt;&gt;""),'Weekly Tracker'!$H$2:$H$766),"")</f>
        <v/>
      </c>
      <c r="I709" s="16">
        <f>IF(H709&lt;&gt;"",LOOKUP(2,1/('Weekly Tracker'!$E$2:$E$766=$A709)/('Weekly Tracker'!$H$2:$H$766&lt;&gt;""),'Weekly Tracker'!$I$2:$I$766),"")</f>
        <v/>
      </c>
      <c r="J709" s="9">
        <f>IFERROR(LOOKUP(2,1/('Weekly Tracker'!$E$2:$E$766=$A709)/('Weekly Tracker'!$J$2:$J$766&lt;&gt;""),'Weekly Tracker'!$J$2:$J$766),"")</f>
        <v/>
      </c>
      <c r="K709" s="9">
        <f>IFERROR(LOOKUP(2,1/('Weekly Tracker'!$E$2:$E$766=$A709)/('Weekly Tracker'!$N$2:$N$766&lt;&gt;""),'Weekly Tracker'!$N$2:$N$766),"")</f>
        <v/>
      </c>
      <c r="L709" s="9">
        <f>IFERROR(LOOKUP(2,1/('Weekly Tracker'!$E$2:$E$766=$A709)/('Weekly Tracker'!$O$2:$O$766&lt;&gt;""),'Weekly Tracker'!$O$2:$O$766),"")</f>
        <v/>
      </c>
    </row>
    <row r="710">
      <c r="A710" s="9" t="inlineStr">
        <is>
          <t>Dhivya Kumari Urja</t>
        </is>
      </c>
      <c r="B710" s="9" t="inlineStr">
        <is>
          <t>8885286538</t>
        </is>
      </c>
      <c r="C710" s="9" t="n"/>
      <c r="D710" s="9" t="n"/>
      <c r="E710" s="9" t="n"/>
      <c r="F710" s="9">
        <f>IFERROR(LOOKUP(2,1/('Weekly Tracker'!$E$2:$E$766=$A710)/('Weekly Tracker'!$F$2:$F$766&lt;&gt;""),'Weekly Tracker'!$F$2:$F$766),"")</f>
        <v/>
      </c>
      <c r="G710" s="16">
        <f>IF(F710&lt;&gt;"",LOOKUP(2,1/('Weekly Tracker'!$E$2:$E$766=$A710)/('Weekly Tracker'!$F$2:$F$766&lt;&gt;""),'Weekly Tracker'!$G$2:$G$766),"")</f>
        <v/>
      </c>
      <c r="H710" s="9">
        <f>IFERROR(LOOKUP(2,1/('Weekly Tracker'!$E$2:$E$766=$A710)/('Weekly Tracker'!$H$2:$H$766&lt;&gt;""),'Weekly Tracker'!$H$2:$H$766),"")</f>
        <v/>
      </c>
      <c r="I710" s="16">
        <f>IF(H710&lt;&gt;"",LOOKUP(2,1/('Weekly Tracker'!$E$2:$E$766=$A710)/('Weekly Tracker'!$H$2:$H$766&lt;&gt;""),'Weekly Tracker'!$I$2:$I$766),"")</f>
        <v/>
      </c>
      <c r="J710" s="9">
        <f>IFERROR(LOOKUP(2,1/('Weekly Tracker'!$E$2:$E$766=$A710)/('Weekly Tracker'!$J$2:$J$766&lt;&gt;""),'Weekly Tracker'!$J$2:$J$766),"")</f>
        <v/>
      </c>
      <c r="K710" s="9">
        <f>IFERROR(LOOKUP(2,1/('Weekly Tracker'!$E$2:$E$766=$A710)/('Weekly Tracker'!$N$2:$N$766&lt;&gt;""),'Weekly Tracker'!$N$2:$N$766),"")</f>
        <v/>
      </c>
      <c r="L710" s="9">
        <f>IFERROR(LOOKUP(2,1/('Weekly Tracker'!$E$2:$E$766=$A710)/('Weekly Tracker'!$O$2:$O$766&lt;&gt;""),'Weekly Tracker'!$O$2:$O$766),"")</f>
        <v/>
      </c>
    </row>
    <row r="711">
      <c r="A711" s="9" t="inlineStr">
        <is>
          <t>MUNISH Loan</t>
        </is>
      </c>
      <c r="B711" s="9" t="inlineStr">
        <is>
          <t>919176199864</t>
        </is>
      </c>
      <c r="C711" s="9" t="n"/>
      <c r="D711" s="9" t="n"/>
      <c r="E711" s="9" t="n"/>
      <c r="F711" s="9">
        <f>IFERROR(LOOKUP(2,1/('Weekly Tracker'!$E$2:$E$766=$A711)/('Weekly Tracker'!$F$2:$F$766&lt;&gt;""),'Weekly Tracker'!$F$2:$F$766),"")</f>
        <v/>
      </c>
      <c r="G711" s="16">
        <f>IF(F711&lt;&gt;"",LOOKUP(2,1/('Weekly Tracker'!$E$2:$E$766=$A711)/('Weekly Tracker'!$F$2:$F$766&lt;&gt;""),'Weekly Tracker'!$G$2:$G$766),"")</f>
        <v/>
      </c>
      <c r="H711" s="9">
        <f>IFERROR(LOOKUP(2,1/('Weekly Tracker'!$E$2:$E$766=$A711)/('Weekly Tracker'!$H$2:$H$766&lt;&gt;""),'Weekly Tracker'!$H$2:$H$766),"")</f>
        <v/>
      </c>
      <c r="I711" s="16">
        <f>IF(H711&lt;&gt;"",LOOKUP(2,1/('Weekly Tracker'!$E$2:$E$766=$A711)/('Weekly Tracker'!$H$2:$H$766&lt;&gt;""),'Weekly Tracker'!$I$2:$I$766),"")</f>
        <v/>
      </c>
      <c r="J711" s="9">
        <f>IFERROR(LOOKUP(2,1/('Weekly Tracker'!$E$2:$E$766=$A711)/('Weekly Tracker'!$J$2:$J$766&lt;&gt;""),'Weekly Tracker'!$J$2:$J$766),"")</f>
        <v/>
      </c>
      <c r="K711" s="9">
        <f>IFERROR(LOOKUP(2,1/('Weekly Tracker'!$E$2:$E$766=$A711)/('Weekly Tracker'!$N$2:$N$766&lt;&gt;""),'Weekly Tracker'!$N$2:$N$766),"")</f>
        <v/>
      </c>
      <c r="L711" s="9">
        <f>IFERROR(LOOKUP(2,1/('Weekly Tracker'!$E$2:$E$766=$A711)/('Weekly Tracker'!$O$2:$O$766&lt;&gt;""),'Weekly Tracker'!$O$2:$O$766),"")</f>
        <v/>
      </c>
    </row>
    <row r="712">
      <c r="A712" s="9" t="inlineStr">
        <is>
          <t>Salim malik Grp</t>
        </is>
      </c>
      <c r="B712" s="9" t="inlineStr">
        <is>
          <t>919843073139</t>
        </is>
      </c>
      <c r="C712" s="9" t="n"/>
      <c r="D712" s="9" t="n"/>
      <c r="E712" s="9" t="n"/>
      <c r="F712" s="9">
        <f>IFERROR(LOOKUP(2,1/('Weekly Tracker'!$E$2:$E$766=$A712)/('Weekly Tracker'!$F$2:$F$766&lt;&gt;""),'Weekly Tracker'!$F$2:$F$766),"")</f>
        <v/>
      </c>
      <c r="G712" s="16">
        <f>IF(F712&lt;&gt;"",LOOKUP(2,1/('Weekly Tracker'!$E$2:$E$766=$A712)/('Weekly Tracker'!$F$2:$F$766&lt;&gt;""),'Weekly Tracker'!$G$2:$G$766),"")</f>
        <v/>
      </c>
      <c r="H712" s="9">
        <f>IFERROR(LOOKUP(2,1/('Weekly Tracker'!$E$2:$E$766=$A712)/('Weekly Tracker'!$H$2:$H$766&lt;&gt;""),'Weekly Tracker'!$H$2:$H$766),"")</f>
        <v/>
      </c>
      <c r="I712" s="16">
        <f>IF(H712&lt;&gt;"",LOOKUP(2,1/('Weekly Tracker'!$E$2:$E$766=$A712)/('Weekly Tracker'!$H$2:$H$766&lt;&gt;""),'Weekly Tracker'!$I$2:$I$766),"")</f>
        <v/>
      </c>
      <c r="J712" s="9">
        <f>IFERROR(LOOKUP(2,1/('Weekly Tracker'!$E$2:$E$766=$A712)/('Weekly Tracker'!$J$2:$J$766&lt;&gt;""),'Weekly Tracker'!$J$2:$J$766),"")</f>
        <v/>
      </c>
      <c r="K712" s="9">
        <f>IFERROR(LOOKUP(2,1/('Weekly Tracker'!$E$2:$E$766=$A712)/('Weekly Tracker'!$N$2:$N$766&lt;&gt;""),'Weekly Tracker'!$N$2:$N$766),"")</f>
        <v/>
      </c>
      <c r="L712" s="9">
        <f>IFERROR(LOOKUP(2,1/('Weekly Tracker'!$E$2:$E$766=$A712)/('Weekly Tracker'!$O$2:$O$766&lt;&gt;""),'Weekly Tracker'!$O$2:$O$766),"")</f>
        <v/>
      </c>
    </row>
    <row r="713">
      <c r="A713" s="9" t="inlineStr">
        <is>
          <t>Ramjith Grp UCEN</t>
        </is>
      </c>
      <c r="B713" s="9" t="inlineStr">
        <is>
          <t>917092365383</t>
        </is>
      </c>
      <c r="C713" s="9" t="n"/>
      <c r="D713" s="9" t="n"/>
      <c r="E713" s="9" t="n"/>
      <c r="F713" s="9">
        <f>IFERROR(LOOKUP(2,1/('Weekly Tracker'!$E$2:$E$766=$A713)/('Weekly Tracker'!$F$2:$F$766&lt;&gt;""),'Weekly Tracker'!$F$2:$F$766),"")</f>
        <v/>
      </c>
      <c r="G713" s="16">
        <f>IF(F713&lt;&gt;"",LOOKUP(2,1/('Weekly Tracker'!$E$2:$E$766=$A713)/('Weekly Tracker'!$F$2:$F$766&lt;&gt;""),'Weekly Tracker'!$G$2:$G$766),"")</f>
        <v/>
      </c>
      <c r="H713" s="9">
        <f>IFERROR(LOOKUP(2,1/('Weekly Tracker'!$E$2:$E$766=$A713)/('Weekly Tracker'!$H$2:$H$766&lt;&gt;""),'Weekly Tracker'!$H$2:$H$766),"")</f>
        <v/>
      </c>
      <c r="I713" s="16">
        <f>IF(H713&lt;&gt;"",LOOKUP(2,1/('Weekly Tracker'!$E$2:$E$766=$A713)/('Weekly Tracker'!$H$2:$H$766&lt;&gt;""),'Weekly Tracker'!$I$2:$I$766),"")</f>
        <v/>
      </c>
      <c r="J713" s="9">
        <f>IFERROR(LOOKUP(2,1/('Weekly Tracker'!$E$2:$E$766=$A713)/('Weekly Tracker'!$J$2:$J$766&lt;&gt;""),'Weekly Tracker'!$J$2:$J$766),"")</f>
        <v/>
      </c>
      <c r="K713" s="9">
        <f>IFERROR(LOOKUP(2,1/('Weekly Tracker'!$E$2:$E$766=$A713)/('Weekly Tracker'!$N$2:$N$766&lt;&gt;""),'Weekly Tracker'!$N$2:$N$766),"")</f>
        <v/>
      </c>
      <c r="L713" s="9">
        <f>IFERROR(LOOKUP(2,1/('Weekly Tracker'!$E$2:$E$766=$A713)/('Weekly Tracker'!$O$2:$O$766&lt;&gt;""),'Weekly Tracker'!$O$2:$O$766),"")</f>
        <v/>
      </c>
    </row>
    <row r="714">
      <c r="A714" s="9" t="inlineStr">
        <is>
          <t>Mukesh Pavithran FB</t>
        </is>
      </c>
      <c r="B714" s="9" t="inlineStr">
        <is>
          <t>971509066950</t>
        </is>
      </c>
      <c r="C714" s="9" t="n"/>
      <c r="D714" s="9" t="n"/>
      <c r="E714" s="9" t="n"/>
      <c r="F714" s="9">
        <f>IFERROR(LOOKUP(2,1/('Weekly Tracker'!$E$2:$E$766=$A714)/('Weekly Tracker'!$F$2:$F$766&lt;&gt;""),'Weekly Tracker'!$F$2:$F$766),"")</f>
        <v/>
      </c>
      <c r="G714" s="16">
        <f>IF(F714&lt;&gt;"",LOOKUP(2,1/('Weekly Tracker'!$E$2:$E$766=$A714)/('Weekly Tracker'!$F$2:$F$766&lt;&gt;""),'Weekly Tracker'!$G$2:$G$766),"")</f>
        <v/>
      </c>
      <c r="H714" s="9">
        <f>IFERROR(LOOKUP(2,1/('Weekly Tracker'!$E$2:$E$766=$A714)/('Weekly Tracker'!$H$2:$H$766&lt;&gt;""),'Weekly Tracker'!$H$2:$H$766),"")</f>
        <v/>
      </c>
      <c r="I714" s="16">
        <f>IF(H714&lt;&gt;"",LOOKUP(2,1/('Weekly Tracker'!$E$2:$E$766=$A714)/('Weekly Tracker'!$H$2:$H$766&lt;&gt;""),'Weekly Tracker'!$I$2:$I$766),"")</f>
        <v/>
      </c>
      <c r="J714" s="9">
        <f>IFERROR(LOOKUP(2,1/('Weekly Tracker'!$E$2:$E$766=$A714)/('Weekly Tracker'!$J$2:$J$766&lt;&gt;""),'Weekly Tracker'!$J$2:$J$766),"")</f>
        <v/>
      </c>
      <c r="K714" s="9">
        <f>IFERROR(LOOKUP(2,1/('Weekly Tracker'!$E$2:$E$766=$A714)/('Weekly Tracker'!$N$2:$N$766&lt;&gt;""),'Weekly Tracker'!$N$2:$N$766),"")</f>
        <v/>
      </c>
      <c r="L714" s="9">
        <f>IFERROR(LOOKUP(2,1/('Weekly Tracker'!$E$2:$E$766=$A714)/('Weekly Tracker'!$O$2:$O$766&lt;&gt;""),'Weekly Tracker'!$O$2:$O$766),"")</f>
        <v/>
      </c>
    </row>
    <row r="715">
      <c r="A715" s="9" t="inlineStr">
        <is>
          <t>VijaySaravanan Ford</t>
        </is>
      </c>
      <c r="B715" s="9" t="inlineStr">
        <is>
          <t>919840834633</t>
        </is>
      </c>
      <c r="C715" s="9" t="n"/>
      <c r="D715" s="9" t="n"/>
      <c r="E715" s="9" t="n"/>
      <c r="F715" s="9">
        <f>IFERROR(LOOKUP(2,1/('Weekly Tracker'!$E$2:$E$766=$A715)/('Weekly Tracker'!$F$2:$F$766&lt;&gt;""),'Weekly Tracker'!$F$2:$F$766),"")</f>
        <v/>
      </c>
      <c r="G715" s="16">
        <f>IF(F715&lt;&gt;"",LOOKUP(2,1/('Weekly Tracker'!$E$2:$E$766=$A715)/('Weekly Tracker'!$F$2:$F$766&lt;&gt;""),'Weekly Tracker'!$G$2:$G$766),"")</f>
        <v/>
      </c>
      <c r="H715" s="9">
        <f>IFERROR(LOOKUP(2,1/('Weekly Tracker'!$E$2:$E$766=$A715)/('Weekly Tracker'!$H$2:$H$766&lt;&gt;""),'Weekly Tracker'!$H$2:$H$766),"")</f>
        <v/>
      </c>
      <c r="I715" s="16">
        <f>IF(H715&lt;&gt;"",LOOKUP(2,1/('Weekly Tracker'!$E$2:$E$766=$A715)/('Weekly Tracker'!$H$2:$H$766&lt;&gt;""),'Weekly Tracker'!$I$2:$I$766),"")</f>
        <v/>
      </c>
      <c r="J715" s="9">
        <f>IFERROR(LOOKUP(2,1/('Weekly Tracker'!$E$2:$E$766=$A715)/('Weekly Tracker'!$J$2:$J$766&lt;&gt;""),'Weekly Tracker'!$J$2:$J$766),"")</f>
        <v/>
      </c>
      <c r="K715" s="9">
        <f>IFERROR(LOOKUP(2,1/('Weekly Tracker'!$E$2:$E$766=$A715)/('Weekly Tracker'!$N$2:$N$766&lt;&gt;""),'Weekly Tracker'!$N$2:$N$766),"")</f>
        <v/>
      </c>
      <c r="L715" s="9">
        <f>IFERROR(LOOKUP(2,1/('Weekly Tracker'!$E$2:$E$766=$A715)/('Weekly Tracker'!$O$2:$O$766&lt;&gt;""),'Weekly Tracker'!$O$2:$O$766),"")</f>
        <v/>
      </c>
    </row>
    <row r="716">
      <c r="A716" s="9" t="inlineStr">
        <is>
          <t>Aneesh Sherlin LI</t>
        </is>
      </c>
      <c r="B716" s="9" t="inlineStr">
        <is>
          <t>+91 6381-885525</t>
        </is>
      </c>
      <c r="C716" s="9" t="n"/>
      <c r="D716" s="9" t="n"/>
      <c r="E716" s="9" t="n"/>
      <c r="F716" s="9">
        <f>IFERROR(LOOKUP(2,1/('Weekly Tracker'!$E$2:$E$766=$A716)/('Weekly Tracker'!$F$2:$F$766&lt;&gt;""),'Weekly Tracker'!$F$2:$F$766),"")</f>
        <v/>
      </c>
      <c r="G716" s="16">
        <f>IF(F716&lt;&gt;"",LOOKUP(2,1/('Weekly Tracker'!$E$2:$E$766=$A716)/('Weekly Tracker'!$F$2:$F$766&lt;&gt;""),'Weekly Tracker'!$G$2:$G$766),"")</f>
        <v/>
      </c>
      <c r="H716" s="9">
        <f>IFERROR(LOOKUP(2,1/('Weekly Tracker'!$E$2:$E$766=$A716)/('Weekly Tracker'!$H$2:$H$766&lt;&gt;""),'Weekly Tracker'!$H$2:$H$766),"")</f>
        <v/>
      </c>
      <c r="I716" s="16">
        <f>IF(H716&lt;&gt;"",LOOKUP(2,1/('Weekly Tracker'!$E$2:$E$766=$A716)/('Weekly Tracker'!$H$2:$H$766&lt;&gt;""),'Weekly Tracker'!$I$2:$I$766),"")</f>
        <v/>
      </c>
      <c r="J716" s="9">
        <f>IFERROR(LOOKUP(2,1/('Weekly Tracker'!$E$2:$E$766=$A716)/('Weekly Tracker'!$J$2:$J$766&lt;&gt;""),'Weekly Tracker'!$J$2:$J$766),"")</f>
        <v/>
      </c>
      <c r="K716" s="9">
        <f>IFERROR(LOOKUP(2,1/('Weekly Tracker'!$E$2:$E$766=$A716)/('Weekly Tracker'!$N$2:$N$766&lt;&gt;""),'Weekly Tracker'!$N$2:$N$766),"")</f>
        <v/>
      </c>
      <c r="L716" s="9">
        <f>IFERROR(LOOKUP(2,1/('Weekly Tracker'!$E$2:$E$766=$A716)/('Weekly Tracker'!$O$2:$O$766&lt;&gt;""),'Weekly Tracker'!$O$2:$O$766),"")</f>
        <v/>
      </c>
    </row>
    <row r="717">
      <c r="A717" s="9" t="inlineStr">
        <is>
          <t>Aravind PS</t>
        </is>
      </c>
      <c r="B717" s="9" t="inlineStr">
        <is>
          <t>90422 26567</t>
        </is>
      </c>
      <c r="C717" s="9" t="n"/>
      <c r="D717" s="9" t="n"/>
      <c r="E717" s="9" t="n"/>
      <c r="F717" s="9">
        <f>IFERROR(LOOKUP(2,1/('Weekly Tracker'!$E$2:$E$766=$A717)/('Weekly Tracker'!$F$2:$F$766&lt;&gt;""),'Weekly Tracker'!$F$2:$F$766),"")</f>
        <v/>
      </c>
      <c r="G717" s="16">
        <f>IF(F717&lt;&gt;"",LOOKUP(2,1/('Weekly Tracker'!$E$2:$E$766=$A717)/('Weekly Tracker'!$F$2:$F$766&lt;&gt;""),'Weekly Tracker'!$G$2:$G$766),"")</f>
        <v/>
      </c>
      <c r="H717" s="9">
        <f>IFERROR(LOOKUP(2,1/('Weekly Tracker'!$E$2:$E$766=$A717)/('Weekly Tracker'!$H$2:$H$766&lt;&gt;""),'Weekly Tracker'!$H$2:$H$766),"")</f>
        <v/>
      </c>
      <c r="I717" s="16">
        <f>IF(H717&lt;&gt;"",LOOKUP(2,1/('Weekly Tracker'!$E$2:$E$766=$A717)/('Weekly Tracker'!$H$2:$H$766&lt;&gt;""),'Weekly Tracker'!$I$2:$I$766),"")</f>
        <v/>
      </c>
      <c r="J717" s="9">
        <f>IFERROR(LOOKUP(2,1/('Weekly Tracker'!$E$2:$E$766=$A717)/('Weekly Tracker'!$J$2:$J$766&lt;&gt;""),'Weekly Tracker'!$J$2:$J$766),"")</f>
        <v/>
      </c>
      <c r="K717" s="9">
        <f>IFERROR(LOOKUP(2,1/('Weekly Tracker'!$E$2:$E$766=$A717)/('Weekly Tracker'!$N$2:$N$766&lt;&gt;""),'Weekly Tracker'!$N$2:$N$766),"")</f>
        <v/>
      </c>
      <c r="L717" s="9">
        <f>IFERROR(LOOKUP(2,1/('Weekly Tracker'!$E$2:$E$766=$A717)/('Weekly Tracker'!$O$2:$O$766&lt;&gt;""),'Weekly Tracker'!$O$2:$O$766),"")</f>
        <v/>
      </c>
    </row>
    <row r="718">
      <c r="A718" s="9" t="inlineStr">
        <is>
          <t>Raja Mani Varman Hnuc Scl</t>
        </is>
      </c>
      <c r="B718" s="9" t="inlineStr">
        <is>
          <t>919487685709</t>
        </is>
      </c>
      <c r="C718" s="9" t="n"/>
      <c r="D718" s="9" t="n"/>
      <c r="E718" s="9" t="n"/>
      <c r="F718" s="9">
        <f>IFERROR(LOOKUP(2,1/('Weekly Tracker'!$E$2:$E$766=$A718)/('Weekly Tracker'!$F$2:$F$766&lt;&gt;""),'Weekly Tracker'!$F$2:$F$766),"")</f>
        <v/>
      </c>
      <c r="G718" s="16">
        <f>IF(F718&lt;&gt;"",LOOKUP(2,1/('Weekly Tracker'!$E$2:$E$766=$A718)/('Weekly Tracker'!$F$2:$F$766&lt;&gt;""),'Weekly Tracker'!$G$2:$G$766),"")</f>
        <v/>
      </c>
      <c r="H718" s="9">
        <f>IFERROR(LOOKUP(2,1/('Weekly Tracker'!$E$2:$E$766=$A718)/('Weekly Tracker'!$H$2:$H$766&lt;&gt;""),'Weekly Tracker'!$H$2:$H$766),"")</f>
        <v/>
      </c>
      <c r="I718" s="16">
        <f>IF(H718&lt;&gt;"",LOOKUP(2,1/('Weekly Tracker'!$E$2:$E$766=$A718)/('Weekly Tracker'!$H$2:$H$766&lt;&gt;""),'Weekly Tracker'!$I$2:$I$766),"")</f>
        <v/>
      </c>
      <c r="J718" s="9">
        <f>IFERROR(LOOKUP(2,1/('Weekly Tracker'!$E$2:$E$766=$A718)/('Weekly Tracker'!$J$2:$J$766&lt;&gt;""),'Weekly Tracker'!$J$2:$J$766),"")</f>
        <v/>
      </c>
      <c r="K718" s="9">
        <f>IFERROR(LOOKUP(2,1/('Weekly Tracker'!$E$2:$E$766=$A718)/('Weekly Tracker'!$N$2:$N$766&lt;&gt;""),'Weekly Tracker'!$N$2:$N$766),"")</f>
        <v/>
      </c>
      <c r="L718" s="9">
        <f>IFERROR(LOOKUP(2,1/('Weekly Tracker'!$E$2:$E$766=$A718)/('Weekly Tracker'!$O$2:$O$766&lt;&gt;""),'Weekly Tracker'!$O$2:$O$766),"")</f>
        <v/>
      </c>
    </row>
    <row r="719">
      <c r="A719" s="9" t="inlineStr">
        <is>
          <t>Balamurugan bala FB</t>
        </is>
      </c>
      <c r="B719" s="9" t="inlineStr">
        <is>
          <t>9677880338</t>
        </is>
      </c>
      <c r="C719" s="9" t="n"/>
      <c r="D719" s="9" t="n"/>
      <c r="E719" s="9" t="n"/>
      <c r="F719" s="9">
        <f>IFERROR(LOOKUP(2,1/('Weekly Tracker'!$E$2:$E$766=$A719)/('Weekly Tracker'!$F$2:$F$766&lt;&gt;""),'Weekly Tracker'!$F$2:$F$766),"")</f>
        <v/>
      </c>
      <c r="G719" s="16">
        <f>IF(F719&lt;&gt;"",LOOKUP(2,1/('Weekly Tracker'!$E$2:$E$766=$A719)/('Weekly Tracker'!$F$2:$F$766&lt;&gt;""),'Weekly Tracker'!$G$2:$G$766),"")</f>
        <v/>
      </c>
      <c r="H719" s="9">
        <f>IFERROR(LOOKUP(2,1/('Weekly Tracker'!$E$2:$E$766=$A719)/('Weekly Tracker'!$H$2:$H$766&lt;&gt;""),'Weekly Tracker'!$H$2:$H$766),"")</f>
        <v/>
      </c>
      <c r="I719" s="16">
        <f>IF(H719&lt;&gt;"",LOOKUP(2,1/('Weekly Tracker'!$E$2:$E$766=$A719)/('Weekly Tracker'!$H$2:$H$766&lt;&gt;""),'Weekly Tracker'!$I$2:$I$766),"")</f>
        <v/>
      </c>
      <c r="J719" s="9">
        <f>IFERROR(LOOKUP(2,1/('Weekly Tracker'!$E$2:$E$766=$A719)/('Weekly Tracker'!$J$2:$J$766&lt;&gt;""),'Weekly Tracker'!$J$2:$J$766),"")</f>
        <v/>
      </c>
      <c r="K719" s="9">
        <f>IFERROR(LOOKUP(2,1/('Weekly Tracker'!$E$2:$E$766=$A719)/('Weekly Tracker'!$N$2:$N$766&lt;&gt;""),'Weekly Tracker'!$N$2:$N$766),"")</f>
        <v/>
      </c>
      <c r="L719" s="9">
        <f>IFERROR(LOOKUP(2,1/('Weekly Tracker'!$E$2:$E$766=$A719)/('Weekly Tracker'!$O$2:$O$766&lt;&gt;""),'Weekly Tracker'!$O$2:$O$766),"")</f>
        <v/>
      </c>
    </row>
    <row r="720">
      <c r="A720" s="9" t="inlineStr">
        <is>
          <t>Chanthru FB</t>
        </is>
      </c>
      <c r="B720" s="9" t="inlineStr">
        <is>
          <t>918778450959</t>
        </is>
      </c>
      <c r="C720" s="9" t="n"/>
      <c r="D720" s="9" t="n"/>
      <c r="E720" s="9" t="n"/>
      <c r="F720" s="9">
        <f>IFERROR(LOOKUP(2,1/('Weekly Tracker'!$E$2:$E$766=$A720)/('Weekly Tracker'!$F$2:$F$766&lt;&gt;""),'Weekly Tracker'!$F$2:$F$766),"")</f>
        <v/>
      </c>
      <c r="G720" s="16">
        <f>IF(F720&lt;&gt;"",LOOKUP(2,1/('Weekly Tracker'!$E$2:$E$766=$A720)/('Weekly Tracker'!$F$2:$F$766&lt;&gt;""),'Weekly Tracker'!$G$2:$G$766),"")</f>
        <v/>
      </c>
      <c r="H720" s="9">
        <f>IFERROR(LOOKUP(2,1/('Weekly Tracker'!$E$2:$E$766=$A720)/('Weekly Tracker'!$H$2:$H$766&lt;&gt;""),'Weekly Tracker'!$H$2:$H$766),"")</f>
        <v/>
      </c>
      <c r="I720" s="16">
        <f>IF(H720&lt;&gt;"",LOOKUP(2,1/('Weekly Tracker'!$E$2:$E$766=$A720)/('Weekly Tracker'!$H$2:$H$766&lt;&gt;""),'Weekly Tracker'!$I$2:$I$766),"")</f>
        <v/>
      </c>
      <c r="J720" s="9">
        <f>IFERROR(LOOKUP(2,1/('Weekly Tracker'!$E$2:$E$766=$A720)/('Weekly Tracker'!$J$2:$J$766&lt;&gt;""),'Weekly Tracker'!$J$2:$J$766),"")</f>
        <v/>
      </c>
      <c r="K720" s="9">
        <f>IFERROR(LOOKUP(2,1/('Weekly Tracker'!$E$2:$E$766=$A720)/('Weekly Tracker'!$N$2:$N$766&lt;&gt;""),'Weekly Tracker'!$N$2:$N$766),"")</f>
        <v/>
      </c>
      <c r="L720" s="9">
        <f>IFERROR(LOOKUP(2,1/('Weekly Tracker'!$E$2:$E$766=$A720)/('Weekly Tracker'!$O$2:$O$766&lt;&gt;""),'Weekly Tracker'!$O$2:$O$766),"")</f>
        <v/>
      </c>
    </row>
    <row r="721">
      <c r="A721" s="9" t="inlineStr">
        <is>
          <t>Varshitha Balaji PDC</t>
        </is>
      </c>
      <c r="B721" s="9" t="inlineStr">
        <is>
          <t>919884087743</t>
        </is>
      </c>
      <c r="C721" s="9" t="n"/>
      <c r="D721" s="9" t="n"/>
      <c r="E721" s="9" t="n"/>
      <c r="F721" s="9">
        <f>IFERROR(LOOKUP(2,1/('Weekly Tracker'!$E$2:$E$766=$A721)/('Weekly Tracker'!$F$2:$F$766&lt;&gt;""),'Weekly Tracker'!$F$2:$F$766),"")</f>
        <v/>
      </c>
      <c r="G721" s="16">
        <f>IF(F721&lt;&gt;"",LOOKUP(2,1/('Weekly Tracker'!$E$2:$E$766=$A721)/('Weekly Tracker'!$F$2:$F$766&lt;&gt;""),'Weekly Tracker'!$G$2:$G$766),"")</f>
        <v/>
      </c>
      <c r="H721" s="9">
        <f>IFERROR(LOOKUP(2,1/('Weekly Tracker'!$E$2:$E$766=$A721)/('Weekly Tracker'!$H$2:$H$766&lt;&gt;""),'Weekly Tracker'!$H$2:$H$766),"")</f>
        <v/>
      </c>
      <c r="I721" s="16">
        <f>IF(H721&lt;&gt;"",LOOKUP(2,1/('Weekly Tracker'!$E$2:$E$766=$A721)/('Weekly Tracker'!$H$2:$H$766&lt;&gt;""),'Weekly Tracker'!$I$2:$I$766),"")</f>
        <v/>
      </c>
      <c r="J721" s="9">
        <f>IFERROR(LOOKUP(2,1/('Weekly Tracker'!$E$2:$E$766=$A721)/('Weekly Tracker'!$J$2:$J$766&lt;&gt;""),'Weekly Tracker'!$J$2:$J$766),"")</f>
        <v/>
      </c>
      <c r="K721" s="9">
        <f>IFERROR(LOOKUP(2,1/('Weekly Tracker'!$E$2:$E$766=$A721)/('Weekly Tracker'!$N$2:$N$766&lt;&gt;""),'Weekly Tracker'!$N$2:$N$766),"")</f>
        <v/>
      </c>
      <c r="L721" s="9">
        <f>IFERROR(LOOKUP(2,1/('Weekly Tracker'!$E$2:$E$766=$A721)/('Weekly Tracker'!$O$2:$O$766&lt;&gt;""),'Weekly Tracker'!$O$2:$O$766),"")</f>
        <v/>
      </c>
    </row>
    <row r="722">
      <c r="A722" s="9" t="inlineStr">
        <is>
          <t>Prabhu Muthukumar HCL</t>
        </is>
      </c>
      <c r="B722" s="9" t="inlineStr">
        <is>
          <t>9786849351</t>
        </is>
      </c>
      <c r="C722" s="9" t="n"/>
      <c r="D722" s="9" t="n"/>
      <c r="E722" s="9" t="n"/>
      <c r="F722" s="9">
        <f>IFERROR(LOOKUP(2,1/('Weekly Tracker'!$E$2:$E$766=$A722)/('Weekly Tracker'!$F$2:$F$766&lt;&gt;""),'Weekly Tracker'!$F$2:$F$766),"")</f>
        <v/>
      </c>
      <c r="G722" s="16">
        <f>IF(F722&lt;&gt;"",LOOKUP(2,1/('Weekly Tracker'!$E$2:$E$766=$A722)/('Weekly Tracker'!$F$2:$F$766&lt;&gt;""),'Weekly Tracker'!$G$2:$G$766),"")</f>
        <v/>
      </c>
      <c r="H722" s="9">
        <f>IFERROR(LOOKUP(2,1/('Weekly Tracker'!$E$2:$E$766=$A722)/('Weekly Tracker'!$H$2:$H$766&lt;&gt;""),'Weekly Tracker'!$H$2:$H$766),"")</f>
        <v/>
      </c>
      <c r="I722" s="16">
        <f>IF(H722&lt;&gt;"",LOOKUP(2,1/('Weekly Tracker'!$E$2:$E$766=$A722)/('Weekly Tracker'!$H$2:$H$766&lt;&gt;""),'Weekly Tracker'!$I$2:$I$766),"")</f>
        <v/>
      </c>
      <c r="J722" s="9">
        <f>IFERROR(LOOKUP(2,1/('Weekly Tracker'!$E$2:$E$766=$A722)/('Weekly Tracker'!$J$2:$J$766&lt;&gt;""),'Weekly Tracker'!$J$2:$J$766),"")</f>
        <v/>
      </c>
      <c r="K722" s="9">
        <f>IFERROR(LOOKUP(2,1/('Weekly Tracker'!$E$2:$E$766=$A722)/('Weekly Tracker'!$N$2:$N$766&lt;&gt;""),'Weekly Tracker'!$N$2:$N$766),"")</f>
        <v/>
      </c>
      <c r="L722" s="9">
        <f>IFERROR(LOOKUP(2,1/('Weekly Tracker'!$E$2:$E$766=$A722)/('Weekly Tracker'!$O$2:$O$766&lt;&gt;""),'Weekly Tracker'!$O$2:$O$766),"")</f>
        <v/>
      </c>
    </row>
    <row r="723">
      <c r="A723" s="9" t="inlineStr">
        <is>
          <t>Ganapathy Ravikumar LOA</t>
        </is>
      </c>
      <c r="B723" s="9" t="inlineStr">
        <is>
          <t>917402132561</t>
        </is>
      </c>
      <c r="C723" s="9" t="n"/>
      <c r="D723" s="9" t="n"/>
      <c r="E723" s="9" t="n"/>
      <c r="F723" s="9">
        <f>IFERROR(LOOKUP(2,1/('Weekly Tracker'!$E$2:$E$766=$A723)/('Weekly Tracker'!$F$2:$F$766&lt;&gt;""),'Weekly Tracker'!$F$2:$F$766),"")</f>
        <v/>
      </c>
      <c r="G723" s="16">
        <f>IF(F723&lt;&gt;"",LOOKUP(2,1/('Weekly Tracker'!$E$2:$E$766=$A723)/('Weekly Tracker'!$F$2:$F$766&lt;&gt;""),'Weekly Tracker'!$G$2:$G$766),"")</f>
        <v/>
      </c>
      <c r="H723" s="9">
        <f>IFERROR(LOOKUP(2,1/('Weekly Tracker'!$E$2:$E$766=$A723)/('Weekly Tracker'!$H$2:$H$766&lt;&gt;""),'Weekly Tracker'!$H$2:$H$766),"")</f>
        <v/>
      </c>
      <c r="I723" s="16">
        <f>IF(H723&lt;&gt;"",LOOKUP(2,1/('Weekly Tracker'!$E$2:$E$766=$A723)/('Weekly Tracker'!$H$2:$H$766&lt;&gt;""),'Weekly Tracker'!$I$2:$I$766),"")</f>
        <v/>
      </c>
      <c r="J723" s="9">
        <f>IFERROR(LOOKUP(2,1/('Weekly Tracker'!$E$2:$E$766=$A723)/('Weekly Tracker'!$J$2:$J$766&lt;&gt;""),'Weekly Tracker'!$J$2:$J$766),"")</f>
        <v/>
      </c>
      <c r="K723" s="9">
        <f>IFERROR(LOOKUP(2,1/('Weekly Tracker'!$E$2:$E$766=$A723)/('Weekly Tracker'!$N$2:$N$766&lt;&gt;""),'Weekly Tracker'!$N$2:$N$766),"")</f>
        <v/>
      </c>
      <c r="L723" s="9">
        <f>IFERROR(LOOKUP(2,1/('Weekly Tracker'!$E$2:$E$766=$A723)/('Weekly Tracker'!$O$2:$O$766&lt;&gt;""),'Weekly Tracker'!$O$2:$O$766),"")</f>
        <v/>
      </c>
    </row>
    <row r="724">
      <c r="A724" s="9" t="inlineStr">
        <is>
          <t>Vickee LOA</t>
        </is>
      </c>
      <c r="B724" s="9" t="inlineStr">
        <is>
          <t>919789429403</t>
        </is>
      </c>
      <c r="C724" s="9" t="n"/>
      <c r="D724" s="9" t="n"/>
      <c r="E724" s="9" t="n"/>
      <c r="F724" s="9">
        <f>IFERROR(LOOKUP(2,1/('Weekly Tracker'!$E$2:$E$766=$A724)/('Weekly Tracker'!$F$2:$F$766&lt;&gt;""),'Weekly Tracker'!$F$2:$F$766),"")</f>
        <v/>
      </c>
      <c r="G724" s="16">
        <f>IF(F724&lt;&gt;"",LOOKUP(2,1/('Weekly Tracker'!$E$2:$E$766=$A724)/('Weekly Tracker'!$F$2:$F$766&lt;&gt;""),'Weekly Tracker'!$G$2:$G$766),"")</f>
        <v/>
      </c>
      <c r="H724" s="9">
        <f>IFERROR(LOOKUP(2,1/('Weekly Tracker'!$E$2:$E$766=$A724)/('Weekly Tracker'!$H$2:$H$766&lt;&gt;""),'Weekly Tracker'!$H$2:$H$766),"")</f>
        <v/>
      </c>
      <c r="I724" s="16">
        <f>IF(H724&lt;&gt;"",LOOKUP(2,1/('Weekly Tracker'!$E$2:$E$766=$A724)/('Weekly Tracker'!$H$2:$H$766&lt;&gt;""),'Weekly Tracker'!$I$2:$I$766),"")</f>
        <v/>
      </c>
      <c r="J724" s="9">
        <f>IFERROR(LOOKUP(2,1/('Weekly Tracker'!$E$2:$E$766=$A724)/('Weekly Tracker'!$J$2:$J$766&lt;&gt;""),'Weekly Tracker'!$J$2:$J$766),"")</f>
        <v/>
      </c>
      <c r="K724" s="9">
        <f>IFERROR(LOOKUP(2,1/('Weekly Tracker'!$E$2:$E$766=$A724)/('Weekly Tracker'!$N$2:$N$766&lt;&gt;""),'Weekly Tracker'!$N$2:$N$766),"")</f>
        <v/>
      </c>
      <c r="L724" s="9">
        <f>IFERROR(LOOKUP(2,1/('Weekly Tracker'!$E$2:$E$766=$A724)/('Weekly Tracker'!$O$2:$O$766&lt;&gt;""),'Weekly Tracker'!$O$2:$O$766),"")</f>
        <v/>
      </c>
    </row>
    <row r="725">
      <c r="A725" s="9" t="inlineStr">
        <is>
          <t>Siva Karthick FB</t>
        </is>
      </c>
      <c r="B725" s="9" t="inlineStr">
        <is>
          <t>9791224853</t>
        </is>
      </c>
      <c r="C725" s="9" t="n"/>
      <c r="D725" s="9" t="n"/>
      <c r="E725" s="9" t="n"/>
      <c r="F725" s="9">
        <f>IFERROR(LOOKUP(2,1/('Weekly Tracker'!$E$2:$E$766=$A725)/('Weekly Tracker'!$F$2:$F$766&lt;&gt;""),'Weekly Tracker'!$F$2:$F$766),"")</f>
        <v/>
      </c>
      <c r="G725" s="16">
        <f>IF(F725&lt;&gt;"",LOOKUP(2,1/('Weekly Tracker'!$E$2:$E$766=$A725)/('Weekly Tracker'!$F$2:$F$766&lt;&gt;""),'Weekly Tracker'!$G$2:$G$766),"")</f>
        <v/>
      </c>
      <c r="H725" s="9">
        <f>IFERROR(LOOKUP(2,1/('Weekly Tracker'!$E$2:$E$766=$A725)/('Weekly Tracker'!$H$2:$H$766&lt;&gt;""),'Weekly Tracker'!$H$2:$H$766),"")</f>
        <v/>
      </c>
      <c r="I725" s="16">
        <f>IF(H725&lt;&gt;"",LOOKUP(2,1/('Weekly Tracker'!$E$2:$E$766=$A725)/('Weekly Tracker'!$H$2:$H$766&lt;&gt;""),'Weekly Tracker'!$I$2:$I$766),"")</f>
        <v/>
      </c>
      <c r="J725" s="9">
        <f>IFERROR(LOOKUP(2,1/('Weekly Tracker'!$E$2:$E$766=$A725)/('Weekly Tracker'!$J$2:$J$766&lt;&gt;""),'Weekly Tracker'!$J$2:$J$766),"")</f>
        <v/>
      </c>
      <c r="K725" s="9">
        <f>IFERROR(LOOKUP(2,1/('Weekly Tracker'!$E$2:$E$766=$A725)/('Weekly Tracker'!$N$2:$N$766&lt;&gt;""),'Weekly Tracker'!$N$2:$N$766),"")</f>
        <v/>
      </c>
      <c r="L725" s="9">
        <f>IFERROR(LOOKUP(2,1/('Weekly Tracker'!$E$2:$E$766=$A725)/('Weekly Tracker'!$O$2:$O$766&lt;&gt;""),'Weekly Tracker'!$O$2:$O$766),"")</f>
        <v/>
      </c>
    </row>
    <row r="726">
      <c r="A726" s="9" t="inlineStr">
        <is>
          <t>Poriyan FB</t>
        </is>
      </c>
      <c r="B726" s="9" t="inlineStr">
        <is>
          <t>8072806512</t>
        </is>
      </c>
      <c r="C726" s="9" t="n"/>
      <c r="D726" s="9" t="n"/>
      <c r="E726" s="9" t="n"/>
      <c r="F726" s="9">
        <f>IFERROR(LOOKUP(2,1/('Weekly Tracker'!$E$2:$E$766=$A726)/('Weekly Tracker'!$F$2:$F$766&lt;&gt;""),'Weekly Tracker'!$F$2:$F$766),"")</f>
        <v/>
      </c>
      <c r="G726" s="16">
        <f>IF(F726&lt;&gt;"",LOOKUP(2,1/('Weekly Tracker'!$E$2:$E$766=$A726)/('Weekly Tracker'!$F$2:$F$766&lt;&gt;""),'Weekly Tracker'!$G$2:$G$766),"")</f>
        <v/>
      </c>
      <c r="H726" s="9">
        <f>IFERROR(LOOKUP(2,1/('Weekly Tracker'!$E$2:$E$766=$A726)/('Weekly Tracker'!$H$2:$H$766&lt;&gt;""),'Weekly Tracker'!$H$2:$H$766),"")</f>
        <v/>
      </c>
      <c r="I726" s="16">
        <f>IF(H726&lt;&gt;"",LOOKUP(2,1/('Weekly Tracker'!$E$2:$E$766=$A726)/('Weekly Tracker'!$H$2:$H$766&lt;&gt;""),'Weekly Tracker'!$I$2:$I$766),"")</f>
        <v/>
      </c>
      <c r="J726" s="9">
        <f>IFERROR(LOOKUP(2,1/('Weekly Tracker'!$E$2:$E$766=$A726)/('Weekly Tracker'!$J$2:$J$766&lt;&gt;""),'Weekly Tracker'!$J$2:$J$766),"")</f>
        <v/>
      </c>
      <c r="K726" s="9">
        <f>IFERROR(LOOKUP(2,1/('Weekly Tracker'!$E$2:$E$766=$A726)/('Weekly Tracker'!$N$2:$N$766&lt;&gt;""),'Weekly Tracker'!$N$2:$N$766),"")</f>
        <v/>
      </c>
      <c r="L726" s="9">
        <f>IFERROR(LOOKUP(2,1/('Weekly Tracker'!$E$2:$E$766=$A726)/('Weekly Tracker'!$O$2:$O$766&lt;&gt;""),'Weekly Tracker'!$O$2:$O$766),"")</f>
        <v/>
      </c>
    </row>
    <row r="727">
      <c r="A727" s="9" t="inlineStr">
        <is>
          <t>Maaja Lallu FB</t>
        </is>
      </c>
      <c r="B727" s="9" t="inlineStr">
        <is>
          <t>97335466090</t>
        </is>
      </c>
      <c r="C727" s="9" t="n"/>
      <c r="D727" s="9" t="n"/>
      <c r="E727" s="9" t="n"/>
      <c r="F727" s="9">
        <f>IFERROR(LOOKUP(2,1/('Weekly Tracker'!$E$2:$E$766=$A727)/('Weekly Tracker'!$F$2:$F$766&lt;&gt;""),'Weekly Tracker'!$F$2:$F$766),"")</f>
        <v/>
      </c>
      <c r="G727" s="16">
        <f>IF(F727&lt;&gt;"",LOOKUP(2,1/('Weekly Tracker'!$E$2:$E$766=$A727)/('Weekly Tracker'!$F$2:$F$766&lt;&gt;""),'Weekly Tracker'!$G$2:$G$766),"")</f>
        <v/>
      </c>
      <c r="H727" s="9">
        <f>IFERROR(LOOKUP(2,1/('Weekly Tracker'!$E$2:$E$766=$A727)/('Weekly Tracker'!$H$2:$H$766&lt;&gt;""),'Weekly Tracker'!$H$2:$H$766),"")</f>
        <v/>
      </c>
      <c r="I727" s="16">
        <f>IF(H727&lt;&gt;"",LOOKUP(2,1/('Weekly Tracker'!$E$2:$E$766=$A727)/('Weekly Tracker'!$H$2:$H$766&lt;&gt;""),'Weekly Tracker'!$I$2:$I$766),"")</f>
        <v/>
      </c>
      <c r="J727" s="9">
        <f>IFERROR(LOOKUP(2,1/('Weekly Tracker'!$E$2:$E$766=$A727)/('Weekly Tracker'!$J$2:$J$766&lt;&gt;""),'Weekly Tracker'!$J$2:$J$766),"")</f>
        <v/>
      </c>
      <c r="K727" s="9">
        <f>IFERROR(LOOKUP(2,1/('Weekly Tracker'!$E$2:$E$766=$A727)/('Weekly Tracker'!$N$2:$N$766&lt;&gt;""),'Weekly Tracker'!$N$2:$N$766),"")</f>
        <v/>
      </c>
      <c r="L727" s="9">
        <f>IFERROR(LOOKUP(2,1/('Weekly Tracker'!$E$2:$E$766=$A727)/('Weekly Tracker'!$O$2:$O$766&lt;&gt;""),'Weekly Tracker'!$O$2:$O$766),"")</f>
        <v/>
      </c>
    </row>
    <row r="728">
      <c r="A728" s="9" t="inlineStr">
        <is>
          <t>Shee Nu FB</t>
        </is>
      </c>
      <c r="B728" s="9" t="inlineStr">
        <is>
          <t>9788545393</t>
        </is>
      </c>
      <c r="C728" s="9" t="n"/>
      <c r="D728" s="9" t="n"/>
      <c r="E728" s="9" t="n"/>
      <c r="F728" s="9">
        <f>IFERROR(LOOKUP(2,1/('Weekly Tracker'!$E$2:$E$766=$A728)/('Weekly Tracker'!$F$2:$F$766&lt;&gt;""),'Weekly Tracker'!$F$2:$F$766),"")</f>
        <v/>
      </c>
      <c r="G728" s="16">
        <f>IF(F728&lt;&gt;"",LOOKUP(2,1/('Weekly Tracker'!$E$2:$E$766=$A728)/('Weekly Tracker'!$F$2:$F$766&lt;&gt;""),'Weekly Tracker'!$G$2:$G$766),"")</f>
        <v/>
      </c>
      <c r="H728" s="9">
        <f>IFERROR(LOOKUP(2,1/('Weekly Tracker'!$E$2:$E$766=$A728)/('Weekly Tracker'!$H$2:$H$766&lt;&gt;""),'Weekly Tracker'!$H$2:$H$766),"")</f>
        <v/>
      </c>
      <c r="I728" s="16">
        <f>IF(H728&lt;&gt;"",LOOKUP(2,1/('Weekly Tracker'!$E$2:$E$766=$A728)/('Weekly Tracker'!$H$2:$H$766&lt;&gt;""),'Weekly Tracker'!$I$2:$I$766),"")</f>
        <v/>
      </c>
      <c r="J728" s="9">
        <f>IFERROR(LOOKUP(2,1/('Weekly Tracker'!$E$2:$E$766=$A728)/('Weekly Tracker'!$J$2:$J$766&lt;&gt;""),'Weekly Tracker'!$J$2:$J$766),"")</f>
        <v/>
      </c>
      <c r="K728" s="9">
        <f>IFERROR(LOOKUP(2,1/('Weekly Tracker'!$E$2:$E$766=$A728)/('Weekly Tracker'!$N$2:$N$766&lt;&gt;""),'Weekly Tracker'!$N$2:$N$766),"")</f>
        <v/>
      </c>
      <c r="L728" s="9">
        <f>IFERROR(LOOKUP(2,1/('Weekly Tracker'!$E$2:$E$766=$A728)/('Weekly Tracker'!$O$2:$O$766&lt;&gt;""),'Weekly Tracker'!$O$2:$O$766),"")</f>
        <v/>
      </c>
    </row>
    <row r="729">
      <c r="A729" s="9" t="inlineStr">
        <is>
          <t>Jeya Urja</t>
        </is>
      </c>
      <c r="B729" s="9" t="inlineStr">
        <is>
          <t>919884942459</t>
        </is>
      </c>
      <c r="C729" s="9" t="n"/>
      <c r="D729" s="9" t="n"/>
      <c r="E729" s="9" t="n"/>
      <c r="F729" s="9">
        <f>IFERROR(LOOKUP(2,1/('Weekly Tracker'!$E$2:$E$766=$A729)/('Weekly Tracker'!$F$2:$F$766&lt;&gt;""),'Weekly Tracker'!$F$2:$F$766),"")</f>
        <v/>
      </c>
      <c r="G729" s="16">
        <f>IF(F729&lt;&gt;"",LOOKUP(2,1/('Weekly Tracker'!$E$2:$E$766=$A729)/('Weekly Tracker'!$F$2:$F$766&lt;&gt;""),'Weekly Tracker'!$G$2:$G$766),"")</f>
        <v/>
      </c>
      <c r="H729" s="9">
        <f>IFERROR(LOOKUP(2,1/('Weekly Tracker'!$E$2:$E$766=$A729)/('Weekly Tracker'!$H$2:$H$766&lt;&gt;""),'Weekly Tracker'!$H$2:$H$766),"")</f>
        <v/>
      </c>
      <c r="I729" s="16">
        <f>IF(H729&lt;&gt;"",LOOKUP(2,1/('Weekly Tracker'!$E$2:$E$766=$A729)/('Weekly Tracker'!$H$2:$H$766&lt;&gt;""),'Weekly Tracker'!$I$2:$I$766),"")</f>
        <v/>
      </c>
      <c r="J729" s="9">
        <f>IFERROR(LOOKUP(2,1/('Weekly Tracker'!$E$2:$E$766=$A729)/('Weekly Tracker'!$J$2:$J$766&lt;&gt;""),'Weekly Tracker'!$J$2:$J$766),"")</f>
        <v/>
      </c>
      <c r="K729" s="9">
        <f>IFERROR(LOOKUP(2,1/('Weekly Tracker'!$E$2:$E$766=$A729)/('Weekly Tracker'!$N$2:$N$766&lt;&gt;""),'Weekly Tracker'!$N$2:$N$766),"")</f>
        <v/>
      </c>
      <c r="L729" s="9">
        <f>IFERROR(LOOKUP(2,1/('Weekly Tracker'!$E$2:$E$766=$A729)/('Weekly Tracker'!$O$2:$O$766&lt;&gt;""),'Weekly Tracker'!$O$2:$O$766),"")</f>
        <v/>
      </c>
    </row>
    <row r="730">
      <c r="A730" s="9" t="inlineStr">
        <is>
          <t>Anilkumar</t>
        </is>
      </c>
      <c r="B730" s="9" t="inlineStr">
        <is>
          <t>919884231451</t>
        </is>
      </c>
      <c r="C730" s="9" t="n"/>
      <c r="D730" s="9" t="n"/>
      <c r="E730" s="9" t="n"/>
      <c r="F730" s="9">
        <f>IFERROR(LOOKUP(2,1/('Weekly Tracker'!$E$2:$E$766=$A730)/('Weekly Tracker'!$F$2:$F$766&lt;&gt;""),'Weekly Tracker'!$F$2:$F$766),"")</f>
        <v/>
      </c>
      <c r="G730" s="16">
        <f>IF(F730&lt;&gt;"",LOOKUP(2,1/('Weekly Tracker'!$E$2:$E$766=$A730)/('Weekly Tracker'!$F$2:$F$766&lt;&gt;""),'Weekly Tracker'!$G$2:$G$766),"")</f>
        <v/>
      </c>
      <c r="H730" s="9">
        <f>IFERROR(LOOKUP(2,1/('Weekly Tracker'!$E$2:$E$766=$A730)/('Weekly Tracker'!$H$2:$H$766&lt;&gt;""),'Weekly Tracker'!$H$2:$H$766),"")</f>
        <v/>
      </c>
      <c r="I730" s="16">
        <f>IF(H730&lt;&gt;"",LOOKUP(2,1/('Weekly Tracker'!$E$2:$E$766=$A730)/('Weekly Tracker'!$H$2:$H$766&lt;&gt;""),'Weekly Tracker'!$I$2:$I$766),"")</f>
        <v/>
      </c>
      <c r="J730" s="9">
        <f>IFERROR(LOOKUP(2,1/('Weekly Tracker'!$E$2:$E$766=$A730)/('Weekly Tracker'!$J$2:$J$766&lt;&gt;""),'Weekly Tracker'!$J$2:$J$766),"")</f>
        <v/>
      </c>
      <c r="K730" s="9">
        <f>IFERROR(LOOKUP(2,1/('Weekly Tracker'!$E$2:$E$766=$A730)/('Weekly Tracker'!$N$2:$N$766&lt;&gt;""),'Weekly Tracker'!$N$2:$N$766),"")</f>
        <v/>
      </c>
      <c r="L730" s="9">
        <f>IFERROR(LOOKUP(2,1/('Weekly Tracker'!$E$2:$E$766=$A730)/('Weekly Tracker'!$O$2:$O$766&lt;&gt;""),'Weekly Tracker'!$O$2:$O$766),"")</f>
        <v/>
      </c>
    </row>
    <row r="731">
      <c r="A731" s="9" t="inlineStr">
        <is>
          <t>Vasantha Prakash Scl</t>
        </is>
      </c>
      <c r="B731" s="9" t="inlineStr">
        <is>
          <t>919003207671</t>
        </is>
      </c>
      <c r="C731" s="9" t="n"/>
      <c r="D731" s="9" t="n"/>
      <c r="E731" s="9" t="n"/>
      <c r="F731" s="9">
        <f>IFERROR(LOOKUP(2,1/('Weekly Tracker'!$E$2:$E$766=$A731)/('Weekly Tracker'!$F$2:$F$766&lt;&gt;""),'Weekly Tracker'!$F$2:$F$766),"")</f>
        <v/>
      </c>
      <c r="G731" s="16">
        <f>IF(F731&lt;&gt;"",LOOKUP(2,1/('Weekly Tracker'!$E$2:$E$766=$A731)/('Weekly Tracker'!$F$2:$F$766&lt;&gt;""),'Weekly Tracker'!$G$2:$G$766),"")</f>
        <v/>
      </c>
      <c r="H731" s="9">
        <f>IFERROR(LOOKUP(2,1/('Weekly Tracker'!$E$2:$E$766=$A731)/('Weekly Tracker'!$H$2:$H$766&lt;&gt;""),'Weekly Tracker'!$H$2:$H$766),"")</f>
        <v/>
      </c>
      <c r="I731" s="16">
        <f>IF(H731&lt;&gt;"",LOOKUP(2,1/('Weekly Tracker'!$E$2:$E$766=$A731)/('Weekly Tracker'!$H$2:$H$766&lt;&gt;""),'Weekly Tracker'!$I$2:$I$766),"")</f>
        <v/>
      </c>
      <c r="J731" s="9">
        <f>IFERROR(LOOKUP(2,1/('Weekly Tracker'!$E$2:$E$766=$A731)/('Weekly Tracker'!$J$2:$J$766&lt;&gt;""),'Weekly Tracker'!$J$2:$J$766),"")</f>
        <v/>
      </c>
      <c r="K731" s="9">
        <f>IFERROR(LOOKUP(2,1/('Weekly Tracker'!$E$2:$E$766=$A731)/('Weekly Tracker'!$N$2:$N$766&lt;&gt;""),'Weekly Tracker'!$N$2:$N$766),"")</f>
        <v/>
      </c>
      <c r="L731" s="9">
        <f>IFERROR(LOOKUP(2,1/('Weekly Tracker'!$E$2:$E$766=$A731)/('Weekly Tracker'!$O$2:$O$766&lt;&gt;""),'Weekly Tracker'!$O$2:$O$766),"")</f>
        <v/>
      </c>
    </row>
    <row r="732">
      <c r="A732" s="9" t="inlineStr">
        <is>
          <t>Winston Praveen Scl</t>
        </is>
      </c>
      <c r="B732" s="9" t="inlineStr">
        <is>
          <t>919488501212</t>
        </is>
      </c>
      <c r="C732" s="9" t="n"/>
      <c r="D732" s="9" t="n"/>
      <c r="E732" s="9" t="n"/>
      <c r="F732" s="9">
        <f>IFERROR(LOOKUP(2,1/('Weekly Tracker'!$E$2:$E$766=$A732)/('Weekly Tracker'!$F$2:$F$766&lt;&gt;""),'Weekly Tracker'!$F$2:$F$766),"")</f>
        <v/>
      </c>
      <c r="G732" s="16">
        <f>IF(F732&lt;&gt;"",LOOKUP(2,1/('Weekly Tracker'!$E$2:$E$766=$A732)/('Weekly Tracker'!$F$2:$F$766&lt;&gt;""),'Weekly Tracker'!$G$2:$G$766),"")</f>
        <v/>
      </c>
      <c r="H732" s="9">
        <f>IFERROR(LOOKUP(2,1/('Weekly Tracker'!$E$2:$E$766=$A732)/('Weekly Tracker'!$H$2:$H$766&lt;&gt;""),'Weekly Tracker'!$H$2:$H$766),"")</f>
        <v/>
      </c>
      <c r="I732" s="16">
        <f>IF(H732&lt;&gt;"",LOOKUP(2,1/('Weekly Tracker'!$E$2:$E$766=$A732)/('Weekly Tracker'!$H$2:$H$766&lt;&gt;""),'Weekly Tracker'!$I$2:$I$766),"")</f>
        <v/>
      </c>
      <c r="J732" s="9">
        <f>IFERROR(LOOKUP(2,1/('Weekly Tracker'!$E$2:$E$766=$A732)/('Weekly Tracker'!$J$2:$J$766&lt;&gt;""),'Weekly Tracker'!$J$2:$J$766),"")</f>
        <v/>
      </c>
      <c r="K732" s="9">
        <f>IFERROR(LOOKUP(2,1/('Weekly Tracker'!$E$2:$E$766=$A732)/('Weekly Tracker'!$N$2:$N$766&lt;&gt;""),'Weekly Tracker'!$N$2:$N$766),"")</f>
        <v/>
      </c>
      <c r="L732" s="9">
        <f>IFERROR(LOOKUP(2,1/('Weekly Tracker'!$E$2:$E$766=$A732)/('Weekly Tracker'!$O$2:$O$766&lt;&gt;""),'Weekly Tracker'!$O$2:$O$766),"")</f>
        <v/>
      </c>
    </row>
    <row r="733">
      <c r="A733" s="9" t="inlineStr">
        <is>
          <t>Siva Murugan Grp Ucen</t>
        </is>
      </c>
      <c r="B733" s="9" t="inlineStr">
        <is>
          <t>919003421954</t>
        </is>
      </c>
      <c r="C733" s="9" t="n"/>
      <c r="D733" s="9" t="n"/>
      <c r="E733" s="9" t="n"/>
      <c r="F733" s="9">
        <f>IFERROR(LOOKUP(2,1/('Weekly Tracker'!$E$2:$E$766=$A733)/('Weekly Tracker'!$F$2:$F$766&lt;&gt;""),'Weekly Tracker'!$F$2:$F$766),"")</f>
        <v/>
      </c>
      <c r="G733" s="16">
        <f>IF(F733&lt;&gt;"",LOOKUP(2,1/('Weekly Tracker'!$E$2:$E$766=$A733)/('Weekly Tracker'!$F$2:$F$766&lt;&gt;""),'Weekly Tracker'!$G$2:$G$766),"")</f>
        <v/>
      </c>
      <c r="H733" s="9">
        <f>IFERROR(LOOKUP(2,1/('Weekly Tracker'!$E$2:$E$766=$A733)/('Weekly Tracker'!$H$2:$H$766&lt;&gt;""),'Weekly Tracker'!$H$2:$H$766),"")</f>
        <v/>
      </c>
      <c r="I733" s="16">
        <f>IF(H733&lt;&gt;"",LOOKUP(2,1/('Weekly Tracker'!$E$2:$E$766=$A733)/('Weekly Tracker'!$H$2:$H$766&lt;&gt;""),'Weekly Tracker'!$I$2:$I$766),"")</f>
        <v/>
      </c>
      <c r="J733" s="9">
        <f>IFERROR(LOOKUP(2,1/('Weekly Tracker'!$E$2:$E$766=$A733)/('Weekly Tracker'!$J$2:$J$766&lt;&gt;""),'Weekly Tracker'!$J$2:$J$766),"")</f>
        <v/>
      </c>
      <c r="K733" s="9">
        <f>IFERROR(LOOKUP(2,1/('Weekly Tracker'!$E$2:$E$766=$A733)/('Weekly Tracker'!$N$2:$N$766&lt;&gt;""),'Weekly Tracker'!$N$2:$N$766),"")</f>
        <v/>
      </c>
      <c r="L733" s="9">
        <f>IFERROR(LOOKUP(2,1/('Weekly Tracker'!$E$2:$E$766=$A733)/('Weekly Tracker'!$O$2:$O$766&lt;&gt;""),'Weekly Tracker'!$O$2:$O$766),"")</f>
        <v/>
      </c>
    </row>
    <row r="734">
      <c r="A734" s="9" t="inlineStr">
        <is>
          <t>Gnanasambantham Anbazhagan NDLF</t>
        </is>
      </c>
      <c r="B734" s="9" t="inlineStr">
        <is>
          <t>919840860639</t>
        </is>
      </c>
      <c r="C734" s="9" t="n"/>
      <c r="D734" s="9" t="n"/>
      <c r="E734" s="9" t="n"/>
      <c r="F734" s="9">
        <f>IFERROR(LOOKUP(2,1/('Weekly Tracker'!$E$2:$E$766=$A734)/('Weekly Tracker'!$F$2:$F$766&lt;&gt;""),'Weekly Tracker'!$F$2:$F$766),"")</f>
        <v/>
      </c>
      <c r="G734" s="16">
        <f>IF(F734&lt;&gt;"",LOOKUP(2,1/('Weekly Tracker'!$E$2:$E$766=$A734)/('Weekly Tracker'!$F$2:$F$766&lt;&gt;""),'Weekly Tracker'!$G$2:$G$766),"")</f>
        <v/>
      </c>
      <c r="H734" s="9">
        <f>IFERROR(LOOKUP(2,1/('Weekly Tracker'!$E$2:$E$766=$A734)/('Weekly Tracker'!$H$2:$H$766&lt;&gt;""),'Weekly Tracker'!$H$2:$H$766),"")</f>
        <v/>
      </c>
      <c r="I734" s="16">
        <f>IF(H734&lt;&gt;"",LOOKUP(2,1/('Weekly Tracker'!$E$2:$E$766=$A734)/('Weekly Tracker'!$H$2:$H$766&lt;&gt;""),'Weekly Tracker'!$I$2:$I$766),"")</f>
        <v/>
      </c>
      <c r="J734" s="9">
        <f>IFERROR(LOOKUP(2,1/('Weekly Tracker'!$E$2:$E$766=$A734)/('Weekly Tracker'!$J$2:$J$766&lt;&gt;""),'Weekly Tracker'!$J$2:$J$766),"")</f>
        <v/>
      </c>
      <c r="K734" s="9">
        <f>IFERROR(LOOKUP(2,1/('Weekly Tracker'!$E$2:$E$766=$A734)/('Weekly Tracker'!$N$2:$N$766&lt;&gt;""),'Weekly Tracker'!$N$2:$N$766),"")</f>
        <v/>
      </c>
      <c r="L734" s="9">
        <f>IFERROR(LOOKUP(2,1/('Weekly Tracker'!$E$2:$E$766=$A734)/('Weekly Tracker'!$O$2:$O$766&lt;&gt;""),'Weekly Tracker'!$O$2:$O$766),"")</f>
        <v/>
      </c>
    </row>
    <row r="735">
      <c r="A735" s="9" t="inlineStr">
        <is>
          <t>Pushparaj FB</t>
        </is>
      </c>
      <c r="B735" s="9" t="inlineStr">
        <is>
          <t>9698562806</t>
        </is>
      </c>
      <c r="C735" s="9" t="n"/>
      <c r="D735" s="9" t="n"/>
      <c r="E735" s="9" t="n"/>
      <c r="F735" s="9">
        <f>IFERROR(LOOKUP(2,1/('Weekly Tracker'!$E$2:$E$766=$A735)/('Weekly Tracker'!$F$2:$F$766&lt;&gt;""),'Weekly Tracker'!$F$2:$F$766),"")</f>
        <v/>
      </c>
      <c r="G735" s="16">
        <f>IF(F735&lt;&gt;"",LOOKUP(2,1/('Weekly Tracker'!$E$2:$E$766=$A735)/('Weekly Tracker'!$F$2:$F$766&lt;&gt;""),'Weekly Tracker'!$G$2:$G$766),"")</f>
        <v/>
      </c>
      <c r="H735" s="9">
        <f>IFERROR(LOOKUP(2,1/('Weekly Tracker'!$E$2:$E$766=$A735)/('Weekly Tracker'!$H$2:$H$766&lt;&gt;""),'Weekly Tracker'!$H$2:$H$766),"")</f>
        <v/>
      </c>
      <c r="I735" s="16">
        <f>IF(H735&lt;&gt;"",LOOKUP(2,1/('Weekly Tracker'!$E$2:$E$766=$A735)/('Weekly Tracker'!$H$2:$H$766&lt;&gt;""),'Weekly Tracker'!$I$2:$I$766),"")</f>
        <v/>
      </c>
      <c r="J735" s="9">
        <f>IFERROR(LOOKUP(2,1/('Weekly Tracker'!$E$2:$E$766=$A735)/('Weekly Tracker'!$J$2:$J$766&lt;&gt;""),'Weekly Tracker'!$J$2:$J$766),"")</f>
        <v/>
      </c>
      <c r="K735" s="9">
        <f>IFERROR(LOOKUP(2,1/('Weekly Tracker'!$E$2:$E$766=$A735)/('Weekly Tracker'!$N$2:$N$766&lt;&gt;""),'Weekly Tracker'!$N$2:$N$766),"")</f>
        <v/>
      </c>
      <c r="L735" s="9">
        <f>IFERROR(LOOKUP(2,1/('Weekly Tracker'!$E$2:$E$766=$A735)/('Weekly Tracker'!$O$2:$O$766&lt;&gt;""),'Weekly Tracker'!$O$2:$O$766),"")</f>
        <v/>
      </c>
    </row>
    <row r="736">
      <c r="A736" s="9" t="inlineStr">
        <is>
          <t>Talib FB</t>
        </is>
      </c>
      <c r="B736" s="9" t="inlineStr">
        <is>
          <t>8667693837</t>
        </is>
      </c>
      <c r="C736" s="9" t="n"/>
      <c r="D736" s="9" t="n"/>
      <c r="E736" s="9" t="n"/>
      <c r="F736" s="9">
        <f>IFERROR(LOOKUP(2,1/('Weekly Tracker'!$E$2:$E$766=$A736)/('Weekly Tracker'!$F$2:$F$766&lt;&gt;""),'Weekly Tracker'!$F$2:$F$766),"")</f>
        <v/>
      </c>
      <c r="G736" s="16">
        <f>IF(F736&lt;&gt;"",LOOKUP(2,1/('Weekly Tracker'!$E$2:$E$766=$A736)/('Weekly Tracker'!$F$2:$F$766&lt;&gt;""),'Weekly Tracker'!$G$2:$G$766),"")</f>
        <v/>
      </c>
      <c r="H736" s="9">
        <f>IFERROR(LOOKUP(2,1/('Weekly Tracker'!$E$2:$E$766=$A736)/('Weekly Tracker'!$H$2:$H$766&lt;&gt;""),'Weekly Tracker'!$H$2:$H$766),"")</f>
        <v/>
      </c>
      <c r="I736" s="16">
        <f>IF(H736&lt;&gt;"",LOOKUP(2,1/('Weekly Tracker'!$E$2:$E$766=$A736)/('Weekly Tracker'!$H$2:$H$766&lt;&gt;""),'Weekly Tracker'!$I$2:$I$766),"")</f>
        <v/>
      </c>
      <c r="J736" s="9">
        <f>IFERROR(LOOKUP(2,1/('Weekly Tracker'!$E$2:$E$766=$A736)/('Weekly Tracker'!$J$2:$J$766&lt;&gt;""),'Weekly Tracker'!$J$2:$J$766),"")</f>
        <v/>
      </c>
      <c r="K736" s="9">
        <f>IFERROR(LOOKUP(2,1/('Weekly Tracker'!$E$2:$E$766=$A736)/('Weekly Tracker'!$N$2:$N$766&lt;&gt;""),'Weekly Tracker'!$N$2:$N$766),"")</f>
        <v/>
      </c>
      <c r="L736" s="9">
        <f>IFERROR(LOOKUP(2,1/('Weekly Tracker'!$E$2:$E$766=$A736)/('Weekly Tracker'!$O$2:$O$766&lt;&gt;""),'Weekly Tracker'!$O$2:$O$766),"")</f>
        <v/>
      </c>
    </row>
    <row r="737">
      <c r="A737" s="9" t="inlineStr">
        <is>
          <t>Sai Krishna Reddy Infy</t>
        </is>
      </c>
      <c r="B737" s="9" t="inlineStr">
        <is>
          <t>9515593020</t>
        </is>
      </c>
      <c r="C737" s="9" t="n"/>
      <c r="D737" s="9" t="n"/>
      <c r="E737" s="9" t="n"/>
      <c r="F737" s="9">
        <f>IFERROR(LOOKUP(2,1/('Weekly Tracker'!$E$2:$E$766=$A737)/('Weekly Tracker'!$F$2:$F$766&lt;&gt;""),'Weekly Tracker'!$F$2:$F$766),"")</f>
        <v/>
      </c>
      <c r="G737" s="16">
        <f>IF(F737&lt;&gt;"",LOOKUP(2,1/('Weekly Tracker'!$E$2:$E$766=$A737)/('Weekly Tracker'!$F$2:$F$766&lt;&gt;""),'Weekly Tracker'!$G$2:$G$766),"")</f>
        <v/>
      </c>
      <c r="H737" s="9">
        <f>IFERROR(LOOKUP(2,1/('Weekly Tracker'!$E$2:$E$766=$A737)/('Weekly Tracker'!$H$2:$H$766&lt;&gt;""),'Weekly Tracker'!$H$2:$H$766),"")</f>
        <v/>
      </c>
      <c r="I737" s="16">
        <f>IF(H737&lt;&gt;"",LOOKUP(2,1/('Weekly Tracker'!$E$2:$E$766=$A737)/('Weekly Tracker'!$H$2:$H$766&lt;&gt;""),'Weekly Tracker'!$I$2:$I$766),"")</f>
        <v/>
      </c>
      <c r="J737" s="9">
        <f>IFERROR(LOOKUP(2,1/('Weekly Tracker'!$E$2:$E$766=$A737)/('Weekly Tracker'!$J$2:$J$766&lt;&gt;""),'Weekly Tracker'!$J$2:$J$766),"")</f>
        <v/>
      </c>
      <c r="K737" s="9">
        <f>IFERROR(LOOKUP(2,1/('Weekly Tracker'!$E$2:$E$766=$A737)/('Weekly Tracker'!$N$2:$N$766&lt;&gt;""),'Weekly Tracker'!$N$2:$N$766),"")</f>
        <v/>
      </c>
      <c r="L737" s="9">
        <f>IFERROR(LOOKUP(2,1/('Weekly Tracker'!$E$2:$E$766=$A737)/('Weekly Tracker'!$O$2:$O$766&lt;&gt;""),'Weekly Tracker'!$O$2:$O$766),"")</f>
        <v/>
      </c>
    </row>
    <row r="738">
      <c r="A738" s="9" t="inlineStr">
        <is>
          <t>Mukeshmon FB</t>
        </is>
      </c>
      <c r="B738" s="9" t="inlineStr">
        <is>
          <t>9597010027</t>
        </is>
      </c>
      <c r="C738" s="9" t="n"/>
      <c r="D738" s="9" t="n"/>
      <c r="E738" s="9" t="n"/>
      <c r="F738" s="9">
        <f>IFERROR(LOOKUP(2,1/('Weekly Tracker'!$E$2:$E$766=$A738)/('Weekly Tracker'!$F$2:$F$766&lt;&gt;""),'Weekly Tracker'!$F$2:$F$766),"")</f>
        <v/>
      </c>
      <c r="G738" s="16">
        <f>IF(F738&lt;&gt;"",LOOKUP(2,1/('Weekly Tracker'!$E$2:$E$766=$A738)/('Weekly Tracker'!$F$2:$F$766&lt;&gt;""),'Weekly Tracker'!$G$2:$G$766),"")</f>
        <v/>
      </c>
      <c r="H738" s="9">
        <f>IFERROR(LOOKUP(2,1/('Weekly Tracker'!$E$2:$E$766=$A738)/('Weekly Tracker'!$H$2:$H$766&lt;&gt;""),'Weekly Tracker'!$H$2:$H$766),"")</f>
        <v/>
      </c>
      <c r="I738" s="16">
        <f>IF(H738&lt;&gt;"",LOOKUP(2,1/('Weekly Tracker'!$E$2:$E$766=$A738)/('Weekly Tracker'!$H$2:$H$766&lt;&gt;""),'Weekly Tracker'!$I$2:$I$766),"")</f>
        <v/>
      </c>
      <c r="J738" s="9">
        <f>IFERROR(LOOKUP(2,1/('Weekly Tracker'!$E$2:$E$766=$A738)/('Weekly Tracker'!$J$2:$J$766&lt;&gt;""),'Weekly Tracker'!$J$2:$J$766),"")</f>
        <v/>
      </c>
      <c r="K738" s="9">
        <f>IFERROR(LOOKUP(2,1/('Weekly Tracker'!$E$2:$E$766=$A738)/('Weekly Tracker'!$N$2:$N$766&lt;&gt;""),'Weekly Tracker'!$N$2:$N$766),"")</f>
        <v/>
      </c>
      <c r="L738" s="9">
        <f>IFERROR(LOOKUP(2,1/('Weekly Tracker'!$E$2:$E$766=$A738)/('Weekly Tracker'!$O$2:$O$766&lt;&gt;""),'Weekly Tracker'!$O$2:$O$766),"")</f>
        <v/>
      </c>
    </row>
    <row r="739">
      <c r="A739" s="9" t="inlineStr">
        <is>
          <t>bala Samy Fb</t>
        </is>
      </c>
      <c r="B739" s="9" t="inlineStr">
        <is>
          <t>+91 93440 45514, 919159663589</t>
        </is>
      </c>
      <c r="C739" s="9" t="n"/>
      <c r="D739" s="9" t="n"/>
      <c r="E739" s="9" t="n"/>
      <c r="F739" s="9">
        <f>IFERROR(LOOKUP(2,1/('Weekly Tracker'!$E$2:$E$766=$A739)/('Weekly Tracker'!$F$2:$F$766&lt;&gt;""),'Weekly Tracker'!$F$2:$F$766),"")</f>
        <v/>
      </c>
      <c r="G739" s="16">
        <f>IF(F739&lt;&gt;"",LOOKUP(2,1/('Weekly Tracker'!$E$2:$E$766=$A739)/('Weekly Tracker'!$F$2:$F$766&lt;&gt;""),'Weekly Tracker'!$G$2:$G$766),"")</f>
        <v/>
      </c>
      <c r="H739" s="9">
        <f>IFERROR(LOOKUP(2,1/('Weekly Tracker'!$E$2:$E$766=$A739)/('Weekly Tracker'!$H$2:$H$766&lt;&gt;""),'Weekly Tracker'!$H$2:$H$766),"")</f>
        <v/>
      </c>
      <c r="I739" s="16">
        <f>IF(H739&lt;&gt;"",LOOKUP(2,1/('Weekly Tracker'!$E$2:$E$766=$A739)/('Weekly Tracker'!$H$2:$H$766&lt;&gt;""),'Weekly Tracker'!$I$2:$I$766),"")</f>
        <v/>
      </c>
      <c r="J739" s="9">
        <f>IFERROR(LOOKUP(2,1/('Weekly Tracker'!$E$2:$E$766=$A739)/('Weekly Tracker'!$J$2:$J$766&lt;&gt;""),'Weekly Tracker'!$J$2:$J$766),"")</f>
        <v/>
      </c>
      <c r="K739" s="9">
        <f>IFERROR(LOOKUP(2,1/('Weekly Tracker'!$E$2:$E$766=$A739)/('Weekly Tracker'!$N$2:$N$766&lt;&gt;""),'Weekly Tracker'!$N$2:$N$766),"")</f>
        <v/>
      </c>
      <c r="L739" s="9">
        <f>IFERROR(LOOKUP(2,1/('Weekly Tracker'!$E$2:$E$766=$A739)/('Weekly Tracker'!$O$2:$O$766&lt;&gt;""),'Weekly Tracker'!$O$2:$O$766),"")</f>
        <v/>
      </c>
    </row>
    <row r="740">
      <c r="A740" s="9" t="inlineStr">
        <is>
          <t>Kishore Laptop HCL</t>
        </is>
      </c>
      <c r="B740" s="9" t="inlineStr">
        <is>
          <t>9008483956</t>
        </is>
      </c>
      <c r="C740" s="9" t="n"/>
      <c r="D740" s="9" t="n"/>
      <c r="E740" s="9" t="n"/>
      <c r="F740" s="9">
        <f>IFERROR(LOOKUP(2,1/('Weekly Tracker'!$E$2:$E$766=$A740)/('Weekly Tracker'!$F$2:$F$766&lt;&gt;""),'Weekly Tracker'!$F$2:$F$766),"")</f>
        <v/>
      </c>
      <c r="G740" s="16">
        <f>IF(F740&lt;&gt;"",LOOKUP(2,1/('Weekly Tracker'!$E$2:$E$766=$A740)/('Weekly Tracker'!$F$2:$F$766&lt;&gt;""),'Weekly Tracker'!$G$2:$G$766),"")</f>
        <v/>
      </c>
      <c r="H740" s="9">
        <f>IFERROR(LOOKUP(2,1/('Weekly Tracker'!$E$2:$E$766=$A740)/('Weekly Tracker'!$H$2:$H$766&lt;&gt;""),'Weekly Tracker'!$H$2:$H$766),"")</f>
        <v/>
      </c>
      <c r="I740" s="16">
        <f>IF(H740&lt;&gt;"",LOOKUP(2,1/('Weekly Tracker'!$E$2:$E$766=$A740)/('Weekly Tracker'!$H$2:$H$766&lt;&gt;""),'Weekly Tracker'!$I$2:$I$766),"")</f>
        <v/>
      </c>
      <c r="J740" s="9">
        <f>IFERROR(LOOKUP(2,1/('Weekly Tracker'!$E$2:$E$766=$A740)/('Weekly Tracker'!$J$2:$J$766&lt;&gt;""),'Weekly Tracker'!$J$2:$J$766),"")</f>
        <v/>
      </c>
      <c r="K740" s="9">
        <f>IFERROR(LOOKUP(2,1/('Weekly Tracker'!$E$2:$E$766=$A740)/('Weekly Tracker'!$N$2:$N$766&lt;&gt;""),'Weekly Tracker'!$N$2:$N$766),"")</f>
        <v/>
      </c>
      <c r="L740" s="9">
        <f>IFERROR(LOOKUP(2,1/('Weekly Tracker'!$E$2:$E$766=$A740)/('Weekly Tracker'!$O$2:$O$766&lt;&gt;""),'Weekly Tracker'!$O$2:$O$766),"")</f>
        <v/>
      </c>
    </row>
    <row r="741">
      <c r="A741" s="9" t="inlineStr">
        <is>
          <t>Rejo ECE</t>
        </is>
      </c>
      <c r="B741" s="9" t="inlineStr">
        <is>
          <t>918973670507</t>
        </is>
      </c>
      <c r="C741" s="9" t="n"/>
      <c r="D741" s="9" t="n"/>
      <c r="E741" s="9" t="n"/>
      <c r="F741" s="9">
        <f>IFERROR(LOOKUP(2,1/('Weekly Tracker'!$E$2:$E$766=$A741)/('Weekly Tracker'!$F$2:$F$766&lt;&gt;""),'Weekly Tracker'!$F$2:$F$766),"")</f>
        <v/>
      </c>
      <c r="G741" s="16">
        <f>IF(F741&lt;&gt;"",LOOKUP(2,1/('Weekly Tracker'!$E$2:$E$766=$A741)/('Weekly Tracker'!$F$2:$F$766&lt;&gt;""),'Weekly Tracker'!$G$2:$G$766),"")</f>
        <v/>
      </c>
      <c r="H741" s="9">
        <f>IFERROR(LOOKUP(2,1/('Weekly Tracker'!$E$2:$E$766=$A741)/('Weekly Tracker'!$H$2:$H$766&lt;&gt;""),'Weekly Tracker'!$H$2:$H$766),"")</f>
        <v/>
      </c>
      <c r="I741" s="16">
        <f>IF(H741&lt;&gt;"",LOOKUP(2,1/('Weekly Tracker'!$E$2:$E$766=$A741)/('Weekly Tracker'!$H$2:$H$766&lt;&gt;""),'Weekly Tracker'!$I$2:$I$766),"")</f>
        <v/>
      </c>
      <c r="J741" s="9">
        <f>IFERROR(LOOKUP(2,1/('Weekly Tracker'!$E$2:$E$766=$A741)/('Weekly Tracker'!$J$2:$J$766&lt;&gt;""),'Weekly Tracker'!$J$2:$J$766),"")</f>
        <v/>
      </c>
      <c r="K741" s="9">
        <f>IFERROR(LOOKUP(2,1/('Weekly Tracker'!$E$2:$E$766=$A741)/('Weekly Tracker'!$N$2:$N$766&lt;&gt;""),'Weekly Tracker'!$N$2:$N$766),"")</f>
        <v/>
      </c>
      <c r="L741" s="9">
        <f>IFERROR(LOOKUP(2,1/('Weekly Tracker'!$E$2:$E$766=$A741)/('Weekly Tracker'!$O$2:$O$766&lt;&gt;""),'Weekly Tracker'!$O$2:$O$766),"")</f>
        <v/>
      </c>
    </row>
    <row r="742">
      <c r="A742" s="9" t="inlineStr">
        <is>
          <t>Seeni Driver FB</t>
        </is>
      </c>
      <c r="B742" s="9" t="inlineStr">
        <is>
          <t>7540077528</t>
        </is>
      </c>
      <c r="C742" s="9" t="n"/>
      <c r="D742" s="9" t="n"/>
      <c r="E742" s="9" t="n"/>
      <c r="F742" s="9">
        <f>IFERROR(LOOKUP(2,1/('Weekly Tracker'!$E$2:$E$766=$A742)/('Weekly Tracker'!$F$2:$F$766&lt;&gt;""),'Weekly Tracker'!$F$2:$F$766),"")</f>
        <v/>
      </c>
      <c r="G742" s="16">
        <f>IF(F742&lt;&gt;"",LOOKUP(2,1/('Weekly Tracker'!$E$2:$E$766=$A742)/('Weekly Tracker'!$F$2:$F$766&lt;&gt;""),'Weekly Tracker'!$G$2:$G$766),"")</f>
        <v/>
      </c>
      <c r="H742" s="9">
        <f>IFERROR(LOOKUP(2,1/('Weekly Tracker'!$E$2:$E$766=$A742)/('Weekly Tracker'!$H$2:$H$766&lt;&gt;""),'Weekly Tracker'!$H$2:$H$766),"")</f>
        <v/>
      </c>
      <c r="I742" s="16">
        <f>IF(H742&lt;&gt;"",LOOKUP(2,1/('Weekly Tracker'!$E$2:$E$766=$A742)/('Weekly Tracker'!$H$2:$H$766&lt;&gt;""),'Weekly Tracker'!$I$2:$I$766),"")</f>
        <v/>
      </c>
      <c r="J742" s="9">
        <f>IFERROR(LOOKUP(2,1/('Weekly Tracker'!$E$2:$E$766=$A742)/('Weekly Tracker'!$J$2:$J$766&lt;&gt;""),'Weekly Tracker'!$J$2:$J$766),"")</f>
        <v/>
      </c>
      <c r="K742" s="9">
        <f>IFERROR(LOOKUP(2,1/('Weekly Tracker'!$E$2:$E$766=$A742)/('Weekly Tracker'!$N$2:$N$766&lt;&gt;""),'Weekly Tracker'!$N$2:$N$766),"")</f>
        <v/>
      </c>
      <c r="L742" s="9">
        <f>IFERROR(LOOKUP(2,1/('Weekly Tracker'!$E$2:$E$766=$A742)/('Weekly Tracker'!$O$2:$O$766&lt;&gt;""),'Weekly Tracker'!$O$2:$O$766),"")</f>
        <v/>
      </c>
    </row>
    <row r="743">
      <c r="A743" s="9" t="inlineStr">
        <is>
          <t>Vijaykumar Urja</t>
        </is>
      </c>
      <c r="B743" s="9" t="inlineStr">
        <is>
          <t>919597015405</t>
        </is>
      </c>
      <c r="C743" s="9" t="n"/>
      <c r="D743" s="9" t="n"/>
      <c r="E743" s="9" t="n"/>
      <c r="F743" s="9">
        <f>IFERROR(LOOKUP(2,1/('Weekly Tracker'!$E$2:$E$766=$A743)/('Weekly Tracker'!$F$2:$F$766&lt;&gt;""),'Weekly Tracker'!$F$2:$F$766),"")</f>
        <v/>
      </c>
      <c r="G743" s="16">
        <f>IF(F743&lt;&gt;"",LOOKUP(2,1/('Weekly Tracker'!$E$2:$E$766=$A743)/('Weekly Tracker'!$F$2:$F$766&lt;&gt;""),'Weekly Tracker'!$G$2:$G$766),"")</f>
        <v/>
      </c>
      <c r="H743" s="9">
        <f>IFERROR(LOOKUP(2,1/('Weekly Tracker'!$E$2:$E$766=$A743)/('Weekly Tracker'!$H$2:$H$766&lt;&gt;""),'Weekly Tracker'!$H$2:$H$766),"")</f>
        <v/>
      </c>
      <c r="I743" s="16">
        <f>IF(H743&lt;&gt;"",LOOKUP(2,1/('Weekly Tracker'!$E$2:$E$766=$A743)/('Weekly Tracker'!$H$2:$H$766&lt;&gt;""),'Weekly Tracker'!$I$2:$I$766),"")</f>
        <v/>
      </c>
      <c r="J743" s="9">
        <f>IFERROR(LOOKUP(2,1/('Weekly Tracker'!$E$2:$E$766=$A743)/('Weekly Tracker'!$J$2:$J$766&lt;&gt;""),'Weekly Tracker'!$J$2:$J$766),"")</f>
        <v/>
      </c>
      <c r="K743" s="9">
        <f>IFERROR(LOOKUP(2,1/('Weekly Tracker'!$E$2:$E$766=$A743)/('Weekly Tracker'!$N$2:$N$766&lt;&gt;""),'Weekly Tracker'!$N$2:$N$766),"")</f>
        <v/>
      </c>
      <c r="L743" s="9">
        <f>IFERROR(LOOKUP(2,1/('Weekly Tracker'!$E$2:$E$766=$A743)/('Weekly Tracker'!$O$2:$O$766&lt;&gt;""),'Weekly Tracker'!$O$2:$O$766),"")</f>
        <v/>
      </c>
    </row>
    <row r="744">
      <c r="A744" s="9" t="inlineStr">
        <is>
          <t>Kalapadam Check</t>
        </is>
      </c>
      <c r="B744" s="9" t="inlineStr">
        <is>
          <t>9444042322</t>
        </is>
      </c>
      <c r="C744" s="9" t="n"/>
      <c r="D744" s="9" t="n"/>
      <c r="E744" s="9" t="n"/>
      <c r="F744" s="9">
        <f>IFERROR(LOOKUP(2,1/('Weekly Tracker'!$E$2:$E$766=$A744)/('Weekly Tracker'!$F$2:$F$766&lt;&gt;""),'Weekly Tracker'!$F$2:$F$766),"")</f>
        <v/>
      </c>
      <c r="G744" s="16">
        <f>IF(F744&lt;&gt;"",LOOKUP(2,1/('Weekly Tracker'!$E$2:$E$766=$A744)/('Weekly Tracker'!$F$2:$F$766&lt;&gt;""),'Weekly Tracker'!$G$2:$G$766),"")</f>
        <v/>
      </c>
      <c r="H744" s="9">
        <f>IFERROR(LOOKUP(2,1/('Weekly Tracker'!$E$2:$E$766=$A744)/('Weekly Tracker'!$H$2:$H$766&lt;&gt;""),'Weekly Tracker'!$H$2:$H$766),"")</f>
        <v/>
      </c>
      <c r="I744" s="16">
        <f>IF(H744&lt;&gt;"",LOOKUP(2,1/('Weekly Tracker'!$E$2:$E$766=$A744)/('Weekly Tracker'!$H$2:$H$766&lt;&gt;""),'Weekly Tracker'!$I$2:$I$766),"")</f>
        <v/>
      </c>
      <c r="J744" s="9">
        <f>IFERROR(LOOKUP(2,1/('Weekly Tracker'!$E$2:$E$766=$A744)/('Weekly Tracker'!$J$2:$J$766&lt;&gt;""),'Weekly Tracker'!$J$2:$J$766),"")</f>
        <v/>
      </c>
      <c r="K744" s="9">
        <f>IFERROR(LOOKUP(2,1/('Weekly Tracker'!$E$2:$E$766=$A744)/('Weekly Tracker'!$N$2:$N$766&lt;&gt;""),'Weekly Tracker'!$N$2:$N$766),"")</f>
        <v/>
      </c>
      <c r="L744" s="9">
        <f>IFERROR(LOOKUP(2,1/('Weekly Tracker'!$E$2:$E$766=$A744)/('Weekly Tracker'!$O$2:$O$766&lt;&gt;""),'Weekly Tracker'!$O$2:$O$766),"")</f>
        <v/>
      </c>
    </row>
    <row r="745">
      <c r="A745" s="9" t="inlineStr">
        <is>
          <t>Kongu Urja</t>
        </is>
      </c>
      <c r="B745" s="9" t="inlineStr">
        <is>
          <t>919487501824</t>
        </is>
      </c>
      <c r="C745" s="9" t="n"/>
      <c r="D745" s="9" t="n"/>
      <c r="E745" s="9" t="n"/>
      <c r="F745" s="9">
        <f>IFERROR(LOOKUP(2,1/('Weekly Tracker'!$E$2:$E$766=$A745)/('Weekly Tracker'!$F$2:$F$766&lt;&gt;""),'Weekly Tracker'!$F$2:$F$766),"")</f>
        <v/>
      </c>
      <c r="G745" s="16">
        <f>IF(F745&lt;&gt;"",LOOKUP(2,1/('Weekly Tracker'!$E$2:$E$766=$A745)/('Weekly Tracker'!$F$2:$F$766&lt;&gt;""),'Weekly Tracker'!$G$2:$G$766),"")</f>
        <v/>
      </c>
      <c r="H745" s="9">
        <f>IFERROR(LOOKUP(2,1/('Weekly Tracker'!$E$2:$E$766=$A745)/('Weekly Tracker'!$H$2:$H$766&lt;&gt;""),'Weekly Tracker'!$H$2:$H$766),"")</f>
        <v/>
      </c>
      <c r="I745" s="16">
        <f>IF(H745&lt;&gt;"",LOOKUP(2,1/('Weekly Tracker'!$E$2:$E$766=$A745)/('Weekly Tracker'!$H$2:$H$766&lt;&gt;""),'Weekly Tracker'!$I$2:$I$766),"")</f>
        <v/>
      </c>
      <c r="J745" s="9">
        <f>IFERROR(LOOKUP(2,1/('Weekly Tracker'!$E$2:$E$766=$A745)/('Weekly Tracker'!$J$2:$J$766&lt;&gt;""),'Weekly Tracker'!$J$2:$J$766),"")</f>
        <v/>
      </c>
      <c r="K745" s="9">
        <f>IFERROR(LOOKUP(2,1/('Weekly Tracker'!$E$2:$E$766=$A745)/('Weekly Tracker'!$N$2:$N$766&lt;&gt;""),'Weekly Tracker'!$N$2:$N$766),"")</f>
        <v/>
      </c>
      <c r="L745" s="9">
        <f>IFERROR(LOOKUP(2,1/('Weekly Tracker'!$E$2:$E$766=$A745)/('Weekly Tracker'!$O$2:$O$766&lt;&gt;""),'Weekly Tracker'!$O$2:$O$766),"")</f>
        <v/>
      </c>
    </row>
    <row r="746">
      <c r="A746" s="9" t="inlineStr">
        <is>
          <t>Udaya Kumar FB</t>
        </is>
      </c>
      <c r="B746" s="9" t="inlineStr">
        <is>
          <t>9942742822</t>
        </is>
      </c>
      <c r="C746" s="9" t="n"/>
      <c r="D746" s="9" t="n"/>
      <c r="E746" s="9" t="n"/>
      <c r="F746" s="9">
        <f>IFERROR(LOOKUP(2,1/('Weekly Tracker'!$E$2:$E$766=$A746)/('Weekly Tracker'!$F$2:$F$766&lt;&gt;""),'Weekly Tracker'!$F$2:$F$766),"")</f>
        <v/>
      </c>
      <c r="G746" s="16">
        <f>IF(F746&lt;&gt;"",LOOKUP(2,1/('Weekly Tracker'!$E$2:$E$766=$A746)/('Weekly Tracker'!$F$2:$F$766&lt;&gt;""),'Weekly Tracker'!$G$2:$G$766),"")</f>
        <v/>
      </c>
      <c r="H746" s="9">
        <f>IFERROR(LOOKUP(2,1/('Weekly Tracker'!$E$2:$E$766=$A746)/('Weekly Tracker'!$H$2:$H$766&lt;&gt;""),'Weekly Tracker'!$H$2:$H$766),"")</f>
        <v/>
      </c>
      <c r="I746" s="16">
        <f>IF(H746&lt;&gt;"",LOOKUP(2,1/('Weekly Tracker'!$E$2:$E$766=$A746)/('Weekly Tracker'!$H$2:$H$766&lt;&gt;""),'Weekly Tracker'!$I$2:$I$766),"")</f>
        <v/>
      </c>
      <c r="J746" s="9">
        <f>IFERROR(LOOKUP(2,1/('Weekly Tracker'!$E$2:$E$766=$A746)/('Weekly Tracker'!$J$2:$J$766&lt;&gt;""),'Weekly Tracker'!$J$2:$J$766),"")</f>
        <v/>
      </c>
      <c r="K746" s="9">
        <f>IFERROR(LOOKUP(2,1/('Weekly Tracker'!$E$2:$E$766=$A746)/('Weekly Tracker'!$N$2:$N$766&lt;&gt;""),'Weekly Tracker'!$N$2:$N$766),"")</f>
        <v/>
      </c>
      <c r="L746" s="9">
        <f>IFERROR(LOOKUP(2,1/('Weekly Tracker'!$E$2:$E$766=$A746)/('Weekly Tracker'!$O$2:$O$766&lt;&gt;""),'Weekly Tracker'!$O$2:$O$766),"")</f>
        <v/>
      </c>
    </row>
    <row r="747">
      <c r="A747" s="9" t="inlineStr">
        <is>
          <t>Merlon Joseph Urja</t>
        </is>
      </c>
      <c r="B747" s="9" t="inlineStr">
        <is>
          <t>919710223428</t>
        </is>
      </c>
      <c r="C747" s="9" t="n"/>
      <c r="D747" s="9" t="n"/>
      <c r="E747" s="9" t="n"/>
      <c r="F747" s="9">
        <f>IFERROR(LOOKUP(2,1/('Weekly Tracker'!$E$2:$E$766=$A747)/('Weekly Tracker'!$F$2:$F$766&lt;&gt;""),'Weekly Tracker'!$F$2:$F$766),"")</f>
        <v/>
      </c>
      <c r="G747" s="16">
        <f>IF(F747&lt;&gt;"",LOOKUP(2,1/('Weekly Tracker'!$E$2:$E$766=$A747)/('Weekly Tracker'!$F$2:$F$766&lt;&gt;""),'Weekly Tracker'!$G$2:$G$766),"")</f>
        <v/>
      </c>
      <c r="H747" s="9">
        <f>IFERROR(LOOKUP(2,1/('Weekly Tracker'!$E$2:$E$766=$A747)/('Weekly Tracker'!$H$2:$H$766&lt;&gt;""),'Weekly Tracker'!$H$2:$H$766),"")</f>
        <v/>
      </c>
      <c r="I747" s="16">
        <f>IF(H747&lt;&gt;"",LOOKUP(2,1/('Weekly Tracker'!$E$2:$E$766=$A747)/('Weekly Tracker'!$H$2:$H$766&lt;&gt;""),'Weekly Tracker'!$I$2:$I$766),"")</f>
        <v/>
      </c>
      <c r="J747" s="9">
        <f>IFERROR(LOOKUP(2,1/('Weekly Tracker'!$E$2:$E$766=$A747)/('Weekly Tracker'!$J$2:$J$766&lt;&gt;""),'Weekly Tracker'!$J$2:$J$766),"")</f>
        <v/>
      </c>
      <c r="K747" s="9">
        <f>IFERROR(LOOKUP(2,1/('Weekly Tracker'!$E$2:$E$766=$A747)/('Weekly Tracker'!$N$2:$N$766&lt;&gt;""),'Weekly Tracker'!$N$2:$N$766),"")</f>
        <v/>
      </c>
      <c r="L747" s="9">
        <f>IFERROR(LOOKUP(2,1/('Weekly Tracker'!$E$2:$E$766=$A747)/('Weekly Tracker'!$O$2:$O$766&lt;&gt;""),'Weekly Tracker'!$O$2:$O$766),"")</f>
        <v/>
      </c>
    </row>
    <row r="748">
      <c r="A748" s="9" t="inlineStr">
        <is>
          <t>Niranjanan Urj</t>
        </is>
      </c>
      <c r="B748" s="9" t="inlineStr">
        <is>
          <t>919566478282</t>
        </is>
      </c>
      <c r="C748" s="9" t="n"/>
      <c r="D748" s="9" t="n"/>
      <c r="E748" s="9" t="n"/>
      <c r="F748" s="9">
        <f>IFERROR(LOOKUP(2,1/('Weekly Tracker'!$E$2:$E$766=$A748)/('Weekly Tracker'!$F$2:$F$766&lt;&gt;""),'Weekly Tracker'!$F$2:$F$766),"")</f>
        <v/>
      </c>
      <c r="G748" s="16">
        <f>IF(F748&lt;&gt;"",LOOKUP(2,1/('Weekly Tracker'!$E$2:$E$766=$A748)/('Weekly Tracker'!$F$2:$F$766&lt;&gt;""),'Weekly Tracker'!$G$2:$G$766),"")</f>
        <v/>
      </c>
      <c r="H748" s="9">
        <f>IFERROR(LOOKUP(2,1/('Weekly Tracker'!$E$2:$E$766=$A748)/('Weekly Tracker'!$H$2:$H$766&lt;&gt;""),'Weekly Tracker'!$H$2:$H$766),"")</f>
        <v/>
      </c>
      <c r="I748" s="16">
        <f>IF(H748&lt;&gt;"",LOOKUP(2,1/('Weekly Tracker'!$E$2:$E$766=$A748)/('Weekly Tracker'!$H$2:$H$766&lt;&gt;""),'Weekly Tracker'!$I$2:$I$766),"")</f>
        <v/>
      </c>
      <c r="J748" s="9">
        <f>IFERROR(LOOKUP(2,1/('Weekly Tracker'!$E$2:$E$766=$A748)/('Weekly Tracker'!$J$2:$J$766&lt;&gt;""),'Weekly Tracker'!$J$2:$J$766),"")</f>
        <v/>
      </c>
      <c r="K748" s="9">
        <f>IFERROR(LOOKUP(2,1/('Weekly Tracker'!$E$2:$E$766=$A748)/('Weekly Tracker'!$N$2:$N$766&lt;&gt;""),'Weekly Tracker'!$N$2:$N$766),"")</f>
        <v/>
      </c>
      <c r="L748" s="9">
        <f>IFERROR(LOOKUP(2,1/('Weekly Tracker'!$E$2:$E$766=$A748)/('Weekly Tracker'!$O$2:$O$766&lt;&gt;""),'Weekly Tracker'!$O$2:$O$766),"")</f>
        <v/>
      </c>
    </row>
    <row r="749">
      <c r="A749" s="9" t="inlineStr">
        <is>
          <t>Nishanth Urja</t>
        </is>
      </c>
      <c r="B749" s="9" t="inlineStr">
        <is>
          <t>8870233903</t>
        </is>
      </c>
      <c r="C749" s="9" t="n"/>
      <c r="D749" s="9" t="n"/>
      <c r="E749" s="9" t="n"/>
      <c r="F749" s="9">
        <f>IFERROR(LOOKUP(2,1/('Weekly Tracker'!$E$2:$E$766=$A749)/('Weekly Tracker'!$F$2:$F$766&lt;&gt;""),'Weekly Tracker'!$F$2:$F$766),"")</f>
        <v/>
      </c>
      <c r="G749" s="16">
        <f>IF(F749&lt;&gt;"",LOOKUP(2,1/('Weekly Tracker'!$E$2:$E$766=$A749)/('Weekly Tracker'!$F$2:$F$766&lt;&gt;""),'Weekly Tracker'!$G$2:$G$766),"")</f>
        <v/>
      </c>
      <c r="H749" s="9">
        <f>IFERROR(LOOKUP(2,1/('Weekly Tracker'!$E$2:$E$766=$A749)/('Weekly Tracker'!$H$2:$H$766&lt;&gt;""),'Weekly Tracker'!$H$2:$H$766),"")</f>
        <v/>
      </c>
      <c r="I749" s="16">
        <f>IF(H749&lt;&gt;"",LOOKUP(2,1/('Weekly Tracker'!$E$2:$E$766=$A749)/('Weekly Tracker'!$H$2:$H$766&lt;&gt;""),'Weekly Tracker'!$I$2:$I$766),"")</f>
        <v/>
      </c>
      <c r="J749" s="9">
        <f>IFERROR(LOOKUP(2,1/('Weekly Tracker'!$E$2:$E$766=$A749)/('Weekly Tracker'!$J$2:$J$766&lt;&gt;""),'Weekly Tracker'!$J$2:$J$766),"")</f>
        <v/>
      </c>
      <c r="K749" s="9">
        <f>IFERROR(LOOKUP(2,1/('Weekly Tracker'!$E$2:$E$766=$A749)/('Weekly Tracker'!$N$2:$N$766&lt;&gt;""),'Weekly Tracker'!$N$2:$N$766),"")</f>
        <v/>
      </c>
      <c r="L749" s="9">
        <f>IFERROR(LOOKUP(2,1/('Weekly Tracker'!$E$2:$E$766=$A749)/('Weekly Tracker'!$O$2:$O$766&lt;&gt;""),'Weekly Tracker'!$O$2:$O$766),"")</f>
        <v/>
      </c>
    </row>
    <row r="750">
      <c r="A750" s="9" t="inlineStr">
        <is>
          <t>Ranjith TG</t>
        </is>
      </c>
      <c r="B750" s="9" t="inlineStr">
        <is>
          <t>919094568047</t>
        </is>
      </c>
      <c r="C750" s="9" t="n"/>
      <c r="D750" s="9" t="n"/>
      <c r="E750" s="9" t="n"/>
      <c r="F750" s="9">
        <f>IFERROR(LOOKUP(2,1/('Weekly Tracker'!$E$2:$E$766=$A750)/('Weekly Tracker'!$F$2:$F$766&lt;&gt;""),'Weekly Tracker'!$F$2:$F$766),"")</f>
        <v/>
      </c>
      <c r="G750" s="16">
        <f>IF(F750&lt;&gt;"",LOOKUP(2,1/('Weekly Tracker'!$E$2:$E$766=$A750)/('Weekly Tracker'!$F$2:$F$766&lt;&gt;""),'Weekly Tracker'!$G$2:$G$766),"")</f>
        <v/>
      </c>
      <c r="H750" s="9">
        <f>IFERROR(LOOKUP(2,1/('Weekly Tracker'!$E$2:$E$766=$A750)/('Weekly Tracker'!$H$2:$H$766&lt;&gt;""),'Weekly Tracker'!$H$2:$H$766),"")</f>
        <v/>
      </c>
      <c r="I750" s="16">
        <f>IF(H750&lt;&gt;"",LOOKUP(2,1/('Weekly Tracker'!$E$2:$E$766=$A750)/('Weekly Tracker'!$H$2:$H$766&lt;&gt;""),'Weekly Tracker'!$I$2:$I$766),"")</f>
        <v/>
      </c>
      <c r="J750" s="9">
        <f>IFERROR(LOOKUP(2,1/('Weekly Tracker'!$E$2:$E$766=$A750)/('Weekly Tracker'!$J$2:$J$766&lt;&gt;""),'Weekly Tracker'!$J$2:$J$766),"")</f>
        <v/>
      </c>
      <c r="K750" s="9">
        <f>IFERROR(LOOKUP(2,1/('Weekly Tracker'!$E$2:$E$766=$A750)/('Weekly Tracker'!$N$2:$N$766&lt;&gt;""),'Weekly Tracker'!$N$2:$N$766),"")</f>
        <v/>
      </c>
      <c r="L750" s="9">
        <f>IFERROR(LOOKUP(2,1/('Weekly Tracker'!$E$2:$E$766=$A750)/('Weekly Tracker'!$O$2:$O$766&lt;&gt;""),'Weekly Tracker'!$O$2:$O$766),"")</f>
        <v/>
      </c>
    </row>
    <row r="751">
      <c r="A751" s="9" t="inlineStr">
        <is>
          <t>Sivachandran Vaithinathan Infosys</t>
        </is>
      </c>
      <c r="B751" s="9" t="inlineStr">
        <is>
          <t>9677929479, 919042004905</t>
        </is>
      </c>
      <c r="C751" s="9" t="n"/>
      <c r="D751" s="9" t="n"/>
      <c r="E751" s="9" t="n"/>
      <c r="F751" s="9">
        <f>IFERROR(LOOKUP(2,1/('Weekly Tracker'!$E$2:$E$766=$A751)/('Weekly Tracker'!$F$2:$F$766&lt;&gt;""),'Weekly Tracker'!$F$2:$F$766),"")</f>
        <v/>
      </c>
      <c r="G751" s="16">
        <f>IF(F751&lt;&gt;"",LOOKUP(2,1/('Weekly Tracker'!$E$2:$E$766=$A751)/('Weekly Tracker'!$F$2:$F$766&lt;&gt;""),'Weekly Tracker'!$G$2:$G$766),"")</f>
        <v/>
      </c>
      <c r="H751" s="9">
        <f>IFERROR(LOOKUP(2,1/('Weekly Tracker'!$E$2:$E$766=$A751)/('Weekly Tracker'!$H$2:$H$766&lt;&gt;""),'Weekly Tracker'!$H$2:$H$766),"")</f>
        <v/>
      </c>
      <c r="I751" s="16">
        <f>IF(H751&lt;&gt;"",LOOKUP(2,1/('Weekly Tracker'!$E$2:$E$766=$A751)/('Weekly Tracker'!$H$2:$H$766&lt;&gt;""),'Weekly Tracker'!$I$2:$I$766),"")</f>
        <v/>
      </c>
      <c r="J751" s="9">
        <f>IFERROR(LOOKUP(2,1/('Weekly Tracker'!$E$2:$E$766=$A751)/('Weekly Tracker'!$J$2:$J$766&lt;&gt;""),'Weekly Tracker'!$J$2:$J$766),"")</f>
        <v/>
      </c>
      <c r="K751" s="9">
        <f>IFERROR(LOOKUP(2,1/('Weekly Tracker'!$E$2:$E$766=$A751)/('Weekly Tracker'!$N$2:$N$766&lt;&gt;""),'Weekly Tracker'!$N$2:$N$766),"")</f>
        <v/>
      </c>
      <c r="L751" s="9">
        <f>IFERROR(LOOKUP(2,1/('Weekly Tracker'!$E$2:$E$766=$A751)/('Weekly Tracker'!$O$2:$O$766&lt;&gt;""),'Weekly Tracker'!$O$2:$O$766),"")</f>
        <v/>
      </c>
    </row>
    <row r="752">
      <c r="A752" s="9" t="inlineStr">
        <is>
          <t>Ramesh GP</t>
        </is>
      </c>
      <c r="B752" s="9" t="inlineStr">
        <is>
          <t>97336218307</t>
        </is>
      </c>
      <c r="C752" s="9" t="n"/>
      <c r="D752" s="9" t="n"/>
      <c r="E752" s="9" t="n"/>
      <c r="F752" s="9">
        <f>IFERROR(LOOKUP(2,1/('Weekly Tracker'!$E$2:$E$766=$A752)/('Weekly Tracker'!$F$2:$F$766&lt;&gt;""),'Weekly Tracker'!$F$2:$F$766),"")</f>
        <v/>
      </c>
      <c r="G752" s="16">
        <f>IF(F752&lt;&gt;"",LOOKUP(2,1/('Weekly Tracker'!$E$2:$E$766=$A752)/('Weekly Tracker'!$F$2:$F$766&lt;&gt;""),'Weekly Tracker'!$G$2:$G$766),"")</f>
        <v/>
      </c>
      <c r="H752" s="9">
        <f>IFERROR(LOOKUP(2,1/('Weekly Tracker'!$E$2:$E$766=$A752)/('Weekly Tracker'!$H$2:$H$766&lt;&gt;""),'Weekly Tracker'!$H$2:$H$766),"")</f>
        <v/>
      </c>
      <c r="I752" s="16">
        <f>IF(H752&lt;&gt;"",LOOKUP(2,1/('Weekly Tracker'!$E$2:$E$766=$A752)/('Weekly Tracker'!$H$2:$H$766&lt;&gt;""),'Weekly Tracker'!$I$2:$I$766),"")</f>
        <v/>
      </c>
      <c r="J752" s="9">
        <f>IFERROR(LOOKUP(2,1/('Weekly Tracker'!$E$2:$E$766=$A752)/('Weekly Tracker'!$J$2:$J$766&lt;&gt;""),'Weekly Tracker'!$J$2:$J$766),"")</f>
        <v/>
      </c>
      <c r="K752" s="9">
        <f>IFERROR(LOOKUP(2,1/('Weekly Tracker'!$E$2:$E$766=$A752)/('Weekly Tracker'!$N$2:$N$766&lt;&gt;""),'Weekly Tracker'!$N$2:$N$766),"")</f>
        <v/>
      </c>
      <c r="L752" s="9">
        <f>IFERROR(LOOKUP(2,1/('Weekly Tracker'!$E$2:$E$766=$A752)/('Weekly Tracker'!$O$2:$O$766&lt;&gt;""),'Weekly Tracker'!$O$2:$O$766),"")</f>
        <v/>
      </c>
    </row>
    <row r="753">
      <c r="A753" s="9" t="inlineStr">
        <is>
          <t>Saravanan Saravanan Grp Ucen</t>
        </is>
      </c>
      <c r="B753" s="9" t="inlineStr">
        <is>
          <t>919080677317</t>
        </is>
      </c>
      <c r="C753" s="9" t="n"/>
      <c r="D753" s="9" t="n"/>
      <c r="E753" s="9" t="n"/>
      <c r="F753" s="9">
        <f>IFERROR(LOOKUP(2,1/('Weekly Tracker'!$E$2:$E$766=$A753)/('Weekly Tracker'!$F$2:$F$766&lt;&gt;""),'Weekly Tracker'!$F$2:$F$766),"")</f>
        <v/>
      </c>
      <c r="G753" s="16">
        <f>IF(F753&lt;&gt;"",LOOKUP(2,1/('Weekly Tracker'!$E$2:$E$766=$A753)/('Weekly Tracker'!$F$2:$F$766&lt;&gt;""),'Weekly Tracker'!$G$2:$G$766),"")</f>
        <v/>
      </c>
      <c r="H753" s="9">
        <f>IFERROR(LOOKUP(2,1/('Weekly Tracker'!$E$2:$E$766=$A753)/('Weekly Tracker'!$H$2:$H$766&lt;&gt;""),'Weekly Tracker'!$H$2:$H$766),"")</f>
        <v/>
      </c>
      <c r="I753" s="16">
        <f>IF(H753&lt;&gt;"",LOOKUP(2,1/('Weekly Tracker'!$E$2:$E$766=$A753)/('Weekly Tracker'!$H$2:$H$766&lt;&gt;""),'Weekly Tracker'!$I$2:$I$766),"")</f>
        <v/>
      </c>
      <c r="J753" s="9">
        <f>IFERROR(LOOKUP(2,1/('Weekly Tracker'!$E$2:$E$766=$A753)/('Weekly Tracker'!$J$2:$J$766&lt;&gt;""),'Weekly Tracker'!$J$2:$J$766),"")</f>
        <v/>
      </c>
      <c r="K753" s="9">
        <f>IFERROR(LOOKUP(2,1/('Weekly Tracker'!$E$2:$E$766=$A753)/('Weekly Tracker'!$N$2:$N$766&lt;&gt;""),'Weekly Tracker'!$N$2:$N$766),"")</f>
        <v/>
      </c>
      <c r="L753" s="9">
        <f>IFERROR(LOOKUP(2,1/('Weekly Tracker'!$E$2:$E$766=$A753)/('Weekly Tracker'!$O$2:$O$766&lt;&gt;""),'Weekly Tracker'!$O$2:$O$766),"")</f>
        <v/>
      </c>
    </row>
    <row r="754">
      <c r="A754" s="9" t="inlineStr">
        <is>
          <t>Prakash IV TCS</t>
        </is>
      </c>
      <c r="B754" s="9" t="inlineStr">
        <is>
          <t>9751019925</t>
        </is>
      </c>
      <c r="C754" s="9" t="n"/>
      <c r="D754" s="9" t="n"/>
      <c r="E754" s="9" t="n"/>
      <c r="F754" s="9">
        <f>IFERROR(LOOKUP(2,1/('Weekly Tracker'!$E$2:$E$766=$A754)/('Weekly Tracker'!$F$2:$F$766&lt;&gt;""),'Weekly Tracker'!$F$2:$F$766),"")</f>
        <v/>
      </c>
      <c r="G754" s="16">
        <f>IF(F754&lt;&gt;"",LOOKUP(2,1/('Weekly Tracker'!$E$2:$E$766=$A754)/('Weekly Tracker'!$F$2:$F$766&lt;&gt;""),'Weekly Tracker'!$G$2:$G$766),"")</f>
        <v/>
      </c>
      <c r="H754" s="9">
        <f>IFERROR(LOOKUP(2,1/('Weekly Tracker'!$E$2:$E$766=$A754)/('Weekly Tracker'!$H$2:$H$766&lt;&gt;""),'Weekly Tracker'!$H$2:$H$766),"")</f>
        <v/>
      </c>
      <c r="I754" s="16">
        <f>IF(H754&lt;&gt;"",LOOKUP(2,1/('Weekly Tracker'!$E$2:$E$766=$A754)/('Weekly Tracker'!$H$2:$H$766&lt;&gt;""),'Weekly Tracker'!$I$2:$I$766),"")</f>
        <v/>
      </c>
      <c r="J754" s="9">
        <f>IFERROR(LOOKUP(2,1/('Weekly Tracker'!$E$2:$E$766=$A754)/('Weekly Tracker'!$J$2:$J$766&lt;&gt;""),'Weekly Tracker'!$J$2:$J$766),"")</f>
        <v/>
      </c>
      <c r="K754" s="9">
        <f>IFERROR(LOOKUP(2,1/('Weekly Tracker'!$E$2:$E$766=$A754)/('Weekly Tracker'!$N$2:$N$766&lt;&gt;""),'Weekly Tracker'!$N$2:$N$766),"")</f>
        <v/>
      </c>
      <c r="L754" s="9">
        <f>IFERROR(LOOKUP(2,1/('Weekly Tracker'!$E$2:$E$766=$A754)/('Weekly Tracker'!$O$2:$O$766&lt;&gt;""),'Weekly Tracker'!$O$2:$O$766),"")</f>
        <v/>
      </c>
    </row>
    <row r="755">
      <c r="A755" s="9" t="inlineStr">
        <is>
          <t>Ratheesh Kumar Grp Ucen</t>
        </is>
      </c>
      <c r="B755" s="9" t="inlineStr">
        <is>
          <t>918098412572</t>
        </is>
      </c>
      <c r="C755" s="9" t="n"/>
      <c r="D755" s="9" t="n"/>
      <c r="E755" s="9" t="n"/>
      <c r="F755" s="9">
        <f>IFERROR(LOOKUP(2,1/('Weekly Tracker'!$E$2:$E$766=$A755)/('Weekly Tracker'!$F$2:$F$766&lt;&gt;""),'Weekly Tracker'!$F$2:$F$766),"")</f>
        <v/>
      </c>
      <c r="G755" s="16">
        <f>IF(F755&lt;&gt;"",LOOKUP(2,1/('Weekly Tracker'!$E$2:$E$766=$A755)/('Weekly Tracker'!$F$2:$F$766&lt;&gt;""),'Weekly Tracker'!$G$2:$G$766),"")</f>
        <v/>
      </c>
      <c r="H755" s="9">
        <f>IFERROR(LOOKUP(2,1/('Weekly Tracker'!$E$2:$E$766=$A755)/('Weekly Tracker'!$H$2:$H$766&lt;&gt;""),'Weekly Tracker'!$H$2:$H$766),"")</f>
        <v/>
      </c>
      <c r="I755" s="16">
        <f>IF(H755&lt;&gt;"",LOOKUP(2,1/('Weekly Tracker'!$E$2:$E$766=$A755)/('Weekly Tracker'!$H$2:$H$766&lt;&gt;""),'Weekly Tracker'!$I$2:$I$766),"")</f>
        <v/>
      </c>
      <c r="J755" s="9">
        <f>IFERROR(LOOKUP(2,1/('Weekly Tracker'!$E$2:$E$766=$A755)/('Weekly Tracker'!$J$2:$J$766&lt;&gt;""),'Weekly Tracker'!$J$2:$J$766),"")</f>
        <v/>
      </c>
      <c r="K755" s="9">
        <f>IFERROR(LOOKUP(2,1/('Weekly Tracker'!$E$2:$E$766=$A755)/('Weekly Tracker'!$N$2:$N$766&lt;&gt;""),'Weekly Tracker'!$N$2:$N$766),"")</f>
        <v/>
      </c>
      <c r="L755" s="9">
        <f>IFERROR(LOOKUP(2,1/('Weekly Tracker'!$E$2:$E$766=$A755)/('Weekly Tracker'!$O$2:$O$766&lt;&gt;""),'Weekly Tracker'!$O$2:$O$766),"")</f>
        <v/>
      </c>
    </row>
    <row r="756">
      <c r="A756" s="9" t="inlineStr">
        <is>
          <t>Shan Predson FB</t>
        </is>
      </c>
      <c r="B756" s="9" t="inlineStr">
        <is>
          <t>918428455208</t>
        </is>
      </c>
      <c r="C756" s="9" t="n"/>
      <c r="D756" s="9" t="n"/>
      <c r="E756" s="9" t="n"/>
      <c r="F756" s="9">
        <f>IFERROR(LOOKUP(2,1/('Weekly Tracker'!$E$2:$E$766=$A756)/('Weekly Tracker'!$F$2:$F$766&lt;&gt;""),'Weekly Tracker'!$F$2:$F$766),"")</f>
        <v/>
      </c>
      <c r="G756" s="16">
        <f>IF(F756&lt;&gt;"",LOOKUP(2,1/('Weekly Tracker'!$E$2:$E$766=$A756)/('Weekly Tracker'!$F$2:$F$766&lt;&gt;""),'Weekly Tracker'!$G$2:$G$766),"")</f>
        <v/>
      </c>
      <c r="H756" s="9">
        <f>IFERROR(LOOKUP(2,1/('Weekly Tracker'!$E$2:$E$766=$A756)/('Weekly Tracker'!$H$2:$H$766&lt;&gt;""),'Weekly Tracker'!$H$2:$H$766),"")</f>
        <v/>
      </c>
      <c r="I756" s="16">
        <f>IF(H756&lt;&gt;"",LOOKUP(2,1/('Weekly Tracker'!$E$2:$E$766=$A756)/('Weekly Tracker'!$H$2:$H$766&lt;&gt;""),'Weekly Tracker'!$I$2:$I$766),"")</f>
        <v/>
      </c>
      <c r="J756" s="9">
        <f>IFERROR(LOOKUP(2,1/('Weekly Tracker'!$E$2:$E$766=$A756)/('Weekly Tracker'!$J$2:$J$766&lt;&gt;""),'Weekly Tracker'!$J$2:$J$766),"")</f>
        <v/>
      </c>
      <c r="K756" s="9">
        <f>IFERROR(LOOKUP(2,1/('Weekly Tracker'!$E$2:$E$766=$A756)/('Weekly Tracker'!$N$2:$N$766&lt;&gt;""),'Weekly Tracker'!$N$2:$N$766),"")</f>
        <v/>
      </c>
      <c r="L756" s="9">
        <f>IFERROR(LOOKUP(2,1/('Weekly Tracker'!$E$2:$E$766=$A756)/('Weekly Tracker'!$O$2:$O$766&lt;&gt;""),'Weekly Tracker'!$O$2:$O$766),"")</f>
        <v/>
      </c>
    </row>
    <row r="757">
      <c r="A757" s="9" t="inlineStr">
        <is>
          <t>Ramesh Surandai Civil</t>
        </is>
      </c>
      <c r="B757" s="9" t="inlineStr">
        <is>
          <t>918050159965</t>
        </is>
      </c>
      <c r="C757" s="9" t="n"/>
      <c r="D757" s="9" t="n"/>
      <c r="E757" s="9" t="n"/>
      <c r="F757" s="9">
        <f>IFERROR(LOOKUP(2,1/('Weekly Tracker'!$E$2:$E$766=$A757)/('Weekly Tracker'!$F$2:$F$766&lt;&gt;""),'Weekly Tracker'!$F$2:$F$766),"")</f>
        <v/>
      </c>
      <c r="G757" s="16">
        <f>IF(F757&lt;&gt;"",LOOKUP(2,1/('Weekly Tracker'!$E$2:$E$766=$A757)/('Weekly Tracker'!$F$2:$F$766&lt;&gt;""),'Weekly Tracker'!$G$2:$G$766),"")</f>
        <v/>
      </c>
      <c r="H757" s="9">
        <f>IFERROR(LOOKUP(2,1/('Weekly Tracker'!$E$2:$E$766=$A757)/('Weekly Tracker'!$H$2:$H$766&lt;&gt;""),'Weekly Tracker'!$H$2:$H$766),"")</f>
        <v/>
      </c>
      <c r="I757" s="16">
        <f>IF(H757&lt;&gt;"",LOOKUP(2,1/('Weekly Tracker'!$E$2:$E$766=$A757)/('Weekly Tracker'!$H$2:$H$766&lt;&gt;""),'Weekly Tracker'!$I$2:$I$766),"")</f>
        <v/>
      </c>
      <c r="J757" s="9">
        <f>IFERROR(LOOKUP(2,1/('Weekly Tracker'!$E$2:$E$766=$A757)/('Weekly Tracker'!$J$2:$J$766&lt;&gt;""),'Weekly Tracker'!$J$2:$J$766),"")</f>
        <v/>
      </c>
      <c r="K757" s="9">
        <f>IFERROR(LOOKUP(2,1/('Weekly Tracker'!$E$2:$E$766=$A757)/('Weekly Tracker'!$N$2:$N$766&lt;&gt;""),'Weekly Tracker'!$N$2:$N$766),"")</f>
        <v/>
      </c>
      <c r="L757" s="9">
        <f>IFERROR(LOOKUP(2,1/('Weekly Tracker'!$E$2:$E$766=$A757)/('Weekly Tracker'!$O$2:$O$766&lt;&gt;""),'Weekly Tracker'!$O$2:$O$766),"")</f>
        <v/>
      </c>
    </row>
    <row r="758">
      <c r="A758" s="9" t="inlineStr">
        <is>
          <t>Selva Ganesh FB</t>
        </is>
      </c>
      <c r="B758" s="9" t="inlineStr">
        <is>
          <t>9894385145</t>
        </is>
      </c>
      <c r="C758" s="9" t="n"/>
      <c r="D758" s="9" t="n"/>
      <c r="E758" s="9" t="n"/>
      <c r="F758" s="9">
        <f>IFERROR(LOOKUP(2,1/('Weekly Tracker'!$E$2:$E$766=$A758)/('Weekly Tracker'!$F$2:$F$766&lt;&gt;""),'Weekly Tracker'!$F$2:$F$766),"")</f>
        <v/>
      </c>
      <c r="G758" s="16">
        <f>IF(F758&lt;&gt;"",LOOKUP(2,1/('Weekly Tracker'!$E$2:$E$766=$A758)/('Weekly Tracker'!$F$2:$F$766&lt;&gt;""),'Weekly Tracker'!$G$2:$G$766),"")</f>
        <v/>
      </c>
      <c r="H758" s="9">
        <f>IFERROR(LOOKUP(2,1/('Weekly Tracker'!$E$2:$E$766=$A758)/('Weekly Tracker'!$H$2:$H$766&lt;&gt;""),'Weekly Tracker'!$H$2:$H$766),"")</f>
        <v/>
      </c>
      <c r="I758" s="16">
        <f>IF(H758&lt;&gt;"",LOOKUP(2,1/('Weekly Tracker'!$E$2:$E$766=$A758)/('Weekly Tracker'!$H$2:$H$766&lt;&gt;""),'Weekly Tracker'!$I$2:$I$766),"")</f>
        <v/>
      </c>
      <c r="J758" s="9">
        <f>IFERROR(LOOKUP(2,1/('Weekly Tracker'!$E$2:$E$766=$A758)/('Weekly Tracker'!$J$2:$J$766&lt;&gt;""),'Weekly Tracker'!$J$2:$J$766),"")</f>
        <v/>
      </c>
      <c r="K758" s="9">
        <f>IFERROR(LOOKUP(2,1/('Weekly Tracker'!$E$2:$E$766=$A758)/('Weekly Tracker'!$N$2:$N$766&lt;&gt;""),'Weekly Tracker'!$N$2:$N$766),"")</f>
        <v/>
      </c>
      <c r="L758" s="9">
        <f>IFERROR(LOOKUP(2,1/('Weekly Tracker'!$E$2:$E$766=$A758)/('Weekly Tracker'!$O$2:$O$766&lt;&gt;""),'Weekly Tracker'!$O$2:$O$766),"")</f>
        <v/>
      </c>
    </row>
    <row r="759">
      <c r="A759" s="9" t="inlineStr">
        <is>
          <t>Mari Citu Scl</t>
        </is>
      </c>
      <c r="B759" s="9" t="inlineStr">
        <is>
          <t>916380565317</t>
        </is>
      </c>
      <c r="C759" s="9" t="n"/>
      <c r="D759" s="9" t="n"/>
      <c r="E759" s="9" t="n"/>
      <c r="F759" s="9">
        <f>IFERROR(LOOKUP(2,1/('Weekly Tracker'!$E$2:$E$766=$A759)/('Weekly Tracker'!$F$2:$F$766&lt;&gt;""),'Weekly Tracker'!$F$2:$F$766),"")</f>
        <v/>
      </c>
      <c r="G759" s="16">
        <f>IF(F759&lt;&gt;"",LOOKUP(2,1/('Weekly Tracker'!$E$2:$E$766=$A759)/('Weekly Tracker'!$F$2:$F$766&lt;&gt;""),'Weekly Tracker'!$G$2:$G$766),"")</f>
        <v/>
      </c>
      <c r="H759" s="9">
        <f>IFERROR(LOOKUP(2,1/('Weekly Tracker'!$E$2:$E$766=$A759)/('Weekly Tracker'!$H$2:$H$766&lt;&gt;""),'Weekly Tracker'!$H$2:$H$766),"")</f>
        <v/>
      </c>
      <c r="I759" s="16">
        <f>IF(H759&lt;&gt;"",LOOKUP(2,1/('Weekly Tracker'!$E$2:$E$766=$A759)/('Weekly Tracker'!$H$2:$H$766&lt;&gt;""),'Weekly Tracker'!$I$2:$I$766),"")</f>
        <v/>
      </c>
      <c r="J759" s="9">
        <f>IFERROR(LOOKUP(2,1/('Weekly Tracker'!$E$2:$E$766=$A759)/('Weekly Tracker'!$J$2:$J$766&lt;&gt;""),'Weekly Tracker'!$J$2:$J$766),"")</f>
        <v/>
      </c>
      <c r="K759" s="9">
        <f>IFERROR(LOOKUP(2,1/('Weekly Tracker'!$E$2:$E$766=$A759)/('Weekly Tracker'!$N$2:$N$766&lt;&gt;""),'Weekly Tracker'!$N$2:$N$766),"")</f>
        <v/>
      </c>
      <c r="L759" s="9">
        <f>IFERROR(LOOKUP(2,1/('Weekly Tracker'!$E$2:$E$766=$A759)/('Weekly Tracker'!$O$2:$O$766&lt;&gt;""),'Weekly Tracker'!$O$2:$O$766),"")</f>
        <v/>
      </c>
    </row>
    <row r="760">
      <c r="A760" s="9" t="inlineStr">
        <is>
          <t>Mohamad Nafees Grp</t>
        </is>
      </c>
      <c r="B760" s="9" t="inlineStr">
        <is>
          <t>918098657865</t>
        </is>
      </c>
      <c r="C760" s="9" t="n"/>
      <c r="D760" s="9" t="n"/>
      <c r="E760" s="9" t="n"/>
      <c r="F760" s="9">
        <f>IFERROR(LOOKUP(2,1/('Weekly Tracker'!$E$2:$E$766=$A760)/('Weekly Tracker'!$F$2:$F$766&lt;&gt;""),'Weekly Tracker'!$F$2:$F$766),"")</f>
        <v/>
      </c>
      <c r="G760" s="16">
        <f>IF(F760&lt;&gt;"",LOOKUP(2,1/('Weekly Tracker'!$E$2:$E$766=$A760)/('Weekly Tracker'!$F$2:$F$766&lt;&gt;""),'Weekly Tracker'!$G$2:$G$766),"")</f>
        <v/>
      </c>
      <c r="H760" s="9">
        <f>IFERROR(LOOKUP(2,1/('Weekly Tracker'!$E$2:$E$766=$A760)/('Weekly Tracker'!$H$2:$H$766&lt;&gt;""),'Weekly Tracker'!$H$2:$H$766),"")</f>
        <v/>
      </c>
      <c r="I760" s="16">
        <f>IF(H760&lt;&gt;"",LOOKUP(2,1/('Weekly Tracker'!$E$2:$E$766=$A760)/('Weekly Tracker'!$H$2:$H$766&lt;&gt;""),'Weekly Tracker'!$I$2:$I$766),"")</f>
        <v/>
      </c>
      <c r="J760" s="9">
        <f>IFERROR(LOOKUP(2,1/('Weekly Tracker'!$E$2:$E$766=$A760)/('Weekly Tracker'!$J$2:$J$766&lt;&gt;""),'Weekly Tracker'!$J$2:$J$766),"")</f>
        <v/>
      </c>
      <c r="K760" s="9">
        <f>IFERROR(LOOKUP(2,1/('Weekly Tracker'!$E$2:$E$766=$A760)/('Weekly Tracker'!$N$2:$N$766&lt;&gt;""),'Weekly Tracker'!$N$2:$N$766),"")</f>
        <v/>
      </c>
      <c r="L760" s="9">
        <f>IFERROR(LOOKUP(2,1/('Weekly Tracker'!$E$2:$E$766=$A760)/('Weekly Tracker'!$O$2:$O$766&lt;&gt;""),'Weekly Tracker'!$O$2:$O$766),"")</f>
        <v/>
      </c>
    </row>
    <row r="761">
      <c r="A761" s="9" t="inlineStr">
        <is>
          <t>SaravanaKumar ECE</t>
        </is>
      </c>
      <c r="B761" s="9" t="inlineStr">
        <is>
          <t>917010827230, 917639694321</t>
        </is>
      </c>
      <c r="C761" s="9" t="n"/>
      <c r="D761" s="9" t="n"/>
      <c r="E761" s="9" t="n"/>
      <c r="F761" s="9">
        <f>IFERROR(LOOKUP(2,1/('Weekly Tracker'!$E$2:$E$766=$A761)/('Weekly Tracker'!$F$2:$F$766&lt;&gt;""),'Weekly Tracker'!$F$2:$F$766),"")</f>
        <v/>
      </c>
      <c r="G761" s="16">
        <f>IF(F761&lt;&gt;"",LOOKUP(2,1/('Weekly Tracker'!$E$2:$E$766=$A761)/('Weekly Tracker'!$F$2:$F$766&lt;&gt;""),'Weekly Tracker'!$G$2:$G$766),"")</f>
        <v/>
      </c>
      <c r="H761" s="9">
        <f>IFERROR(LOOKUP(2,1/('Weekly Tracker'!$E$2:$E$766=$A761)/('Weekly Tracker'!$H$2:$H$766&lt;&gt;""),'Weekly Tracker'!$H$2:$H$766),"")</f>
        <v/>
      </c>
      <c r="I761" s="16">
        <f>IF(H761&lt;&gt;"",LOOKUP(2,1/('Weekly Tracker'!$E$2:$E$766=$A761)/('Weekly Tracker'!$H$2:$H$766&lt;&gt;""),'Weekly Tracker'!$I$2:$I$766),"")</f>
        <v/>
      </c>
      <c r="J761" s="9">
        <f>IFERROR(LOOKUP(2,1/('Weekly Tracker'!$E$2:$E$766=$A761)/('Weekly Tracker'!$J$2:$J$766&lt;&gt;""),'Weekly Tracker'!$J$2:$J$766),"")</f>
        <v/>
      </c>
      <c r="K761" s="9">
        <f>IFERROR(LOOKUP(2,1/('Weekly Tracker'!$E$2:$E$766=$A761)/('Weekly Tracker'!$N$2:$N$766&lt;&gt;""),'Weekly Tracker'!$N$2:$N$766),"")</f>
        <v/>
      </c>
      <c r="L761" s="9">
        <f>IFERROR(LOOKUP(2,1/('Weekly Tracker'!$E$2:$E$766=$A761)/('Weekly Tracker'!$O$2:$O$766&lt;&gt;""),'Weekly Tracker'!$O$2:$O$766),"")</f>
        <v/>
      </c>
    </row>
    <row r="762">
      <c r="A762" s="9" t="inlineStr">
        <is>
          <t>ER Mani BE FB</t>
        </is>
      </c>
      <c r="B762" s="9" t="inlineStr">
        <is>
          <t>9524734436</t>
        </is>
      </c>
      <c r="C762" s="9" t="n"/>
      <c r="D762" s="9" t="n"/>
      <c r="E762" s="9" t="n"/>
      <c r="F762" s="9">
        <f>IFERROR(LOOKUP(2,1/('Weekly Tracker'!$E$2:$E$766=$A762)/('Weekly Tracker'!$F$2:$F$766&lt;&gt;""),'Weekly Tracker'!$F$2:$F$766),"")</f>
        <v/>
      </c>
      <c r="G762" s="16">
        <f>IF(F762&lt;&gt;"",LOOKUP(2,1/('Weekly Tracker'!$E$2:$E$766=$A762)/('Weekly Tracker'!$F$2:$F$766&lt;&gt;""),'Weekly Tracker'!$G$2:$G$766),"")</f>
        <v/>
      </c>
      <c r="H762" s="9">
        <f>IFERROR(LOOKUP(2,1/('Weekly Tracker'!$E$2:$E$766=$A762)/('Weekly Tracker'!$H$2:$H$766&lt;&gt;""),'Weekly Tracker'!$H$2:$H$766),"")</f>
        <v/>
      </c>
      <c r="I762" s="16">
        <f>IF(H762&lt;&gt;"",LOOKUP(2,1/('Weekly Tracker'!$E$2:$E$766=$A762)/('Weekly Tracker'!$H$2:$H$766&lt;&gt;""),'Weekly Tracker'!$I$2:$I$766),"")</f>
        <v/>
      </c>
      <c r="J762" s="9">
        <f>IFERROR(LOOKUP(2,1/('Weekly Tracker'!$E$2:$E$766=$A762)/('Weekly Tracker'!$J$2:$J$766&lt;&gt;""),'Weekly Tracker'!$J$2:$J$766),"")</f>
        <v/>
      </c>
      <c r="K762" s="9">
        <f>IFERROR(LOOKUP(2,1/('Weekly Tracker'!$E$2:$E$766=$A762)/('Weekly Tracker'!$N$2:$N$766&lt;&gt;""),'Weekly Tracker'!$N$2:$N$766),"")</f>
        <v/>
      </c>
      <c r="L762" s="9">
        <f>IFERROR(LOOKUP(2,1/('Weekly Tracker'!$E$2:$E$766=$A762)/('Weekly Tracker'!$O$2:$O$766&lt;&gt;""),'Weekly Tracker'!$O$2:$O$766),"")</f>
        <v/>
      </c>
    </row>
    <row r="763">
      <c r="A763" s="9" t="inlineStr">
        <is>
          <t>Archie Dhi</t>
        </is>
      </c>
      <c r="B763" s="9" t="inlineStr">
        <is>
          <t>916369634331</t>
        </is>
      </c>
      <c r="C763" s="9" t="n"/>
      <c r="D763" s="9" t="n"/>
      <c r="E763" s="9" t="n"/>
      <c r="F763" s="9">
        <f>IFERROR(LOOKUP(2,1/('Weekly Tracker'!$E$2:$E$766=$A763)/('Weekly Tracker'!$F$2:$F$766&lt;&gt;""),'Weekly Tracker'!$F$2:$F$766),"")</f>
        <v/>
      </c>
      <c r="G763" s="16">
        <f>IF(F763&lt;&gt;"",LOOKUP(2,1/('Weekly Tracker'!$E$2:$E$766=$A763)/('Weekly Tracker'!$F$2:$F$766&lt;&gt;""),'Weekly Tracker'!$G$2:$G$766),"")</f>
        <v/>
      </c>
      <c r="H763" s="9">
        <f>IFERROR(LOOKUP(2,1/('Weekly Tracker'!$E$2:$E$766=$A763)/('Weekly Tracker'!$H$2:$H$766&lt;&gt;""),'Weekly Tracker'!$H$2:$H$766),"")</f>
        <v/>
      </c>
      <c r="I763" s="16">
        <f>IF(H763&lt;&gt;"",LOOKUP(2,1/('Weekly Tracker'!$E$2:$E$766=$A763)/('Weekly Tracker'!$H$2:$H$766&lt;&gt;""),'Weekly Tracker'!$I$2:$I$766),"")</f>
        <v/>
      </c>
      <c r="J763" s="9">
        <f>IFERROR(LOOKUP(2,1/('Weekly Tracker'!$E$2:$E$766=$A763)/('Weekly Tracker'!$J$2:$J$766&lt;&gt;""),'Weekly Tracker'!$J$2:$J$766),"")</f>
        <v/>
      </c>
      <c r="K763" s="9">
        <f>IFERROR(LOOKUP(2,1/('Weekly Tracker'!$E$2:$E$766=$A763)/('Weekly Tracker'!$N$2:$N$766&lt;&gt;""),'Weekly Tracker'!$N$2:$N$766),"")</f>
        <v/>
      </c>
      <c r="L763" s="9">
        <f>IFERROR(LOOKUP(2,1/('Weekly Tracker'!$E$2:$E$766=$A763)/('Weekly Tracker'!$O$2:$O$766&lt;&gt;""),'Weekly Tracker'!$O$2:$O$766),"")</f>
        <v/>
      </c>
    </row>
    <row r="764">
      <c r="A764" s="9" t="inlineStr">
        <is>
          <t>DEepaK An Grp Mech</t>
        </is>
      </c>
      <c r="B764" s="9" t="inlineStr">
        <is>
          <t>918754790280</t>
        </is>
      </c>
      <c r="C764" s="9" t="n"/>
      <c r="D764" s="9" t="n"/>
      <c r="E764" s="9" t="n"/>
      <c r="F764" s="9">
        <f>IFERROR(LOOKUP(2,1/('Weekly Tracker'!$E$2:$E$766=$A764)/('Weekly Tracker'!$F$2:$F$766&lt;&gt;""),'Weekly Tracker'!$F$2:$F$766),"")</f>
        <v/>
      </c>
      <c r="G764" s="16">
        <f>IF(F764&lt;&gt;"",LOOKUP(2,1/('Weekly Tracker'!$E$2:$E$766=$A764)/('Weekly Tracker'!$F$2:$F$766&lt;&gt;""),'Weekly Tracker'!$G$2:$G$766),"")</f>
        <v/>
      </c>
      <c r="H764" s="9">
        <f>IFERROR(LOOKUP(2,1/('Weekly Tracker'!$E$2:$E$766=$A764)/('Weekly Tracker'!$H$2:$H$766&lt;&gt;""),'Weekly Tracker'!$H$2:$H$766),"")</f>
        <v/>
      </c>
      <c r="I764" s="16">
        <f>IF(H764&lt;&gt;"",LOOKUP(2,1/('Weekly Tracker'!$E$2:$E$766=$A764)/('Weekly Tracker'!$H$2:$H$766&lt;&gt;""),'Weekly Tracker'!$I$2:$I$766),"")</f>
        <v/>
      </c>
      <c r="J764" s="9">
        <f>IFERROR(LOOKUP(2,1/('Weekly Tracker'!$E$2:$E$766=$A764)/('Weekly Tracker'!$J$2:$J$766&lt;&gt;""),'Weekly Tracker'!$J$2:$J$766),"")</f>
        <v/>
      </c>
      <c r="K764" s="9">
        <f>IFERROR(LOOKUP(2,1/('Weekly Tracker'!$E$2:$E$766=$A764)/('Weekly Tracker'!$N$2:$N$766&lt;&gt;""),'Weekly Tracker'!$N$2:$N$766),"")</f>
        <v/>
      </c>
      <c r="L764" s="9">
        <f>IFERROR(LOOKUP(2,1/('Weekly Tracker'!$E$2:$E$766=$A764)/('Weekly Tracker'!$O$2:$O$766&lt;&gt;""),'Weekly Tracker'!$O$2:$O$766),"")</f>
        <v/>
      </c>
    </row>
    <row r="765">
      <c r="A765" s="9" t="inlineStr">
        <is>
          <t>Sankar Raja Grp Ucen</t>
        </is>
      </c>
      <c r="B765" s="9" t="inlineStr">
        <is>
          <t>7448878242</t>
        </is>
      </c>
      <c r="C765" s="9" t="n"/>
      <c r="D765" s="9" t="n"/>
      <c r="E765" s="9" t="n"/>
      <c r="F765" s="9">
        <f>IFERROR(LOOKUP(2,1/('Weekly Tracker'!$E$2:$E$766=$A765)/('Weekly Tracker'!$F$2:$F$766&lt;&gt;""),'Weekly Tracker'!$F$2:$F$766),"")</f>
        <v/>
      </c>
      <c r="G765" s="16">
        <f>IF(F765&lt;&gt;"",LOOKUP(2,1/('Weekly Tracker'!$E$2:$E$766=$A765)/('Weekly Tracker'!$F$2:$F$766&lt;&gt;""),'Weekly Tracker'!$G$2:$G$766),"")</f>
        <v/>
      </c>
      <c r="H765" s="9">
        <f>IFERROR(LOOKUP(2,1/('Weekly Tracker'!$E$2:$E$766=$A765)/('Weekly Tracker'!$H$2:$H$766&lt;&gt;""),'Weekly Tracker'!$H$2:$H$766),"")</f>
        <v/>
      </c>
      <c r="I765" s="16">
        <f>IF(H765&lt;&gt;"",LOOKUP(2,1/('Weekly Tracker'!$E$2:$E$766=$A765)/('Weekly Tracker'!$H$2:$H$766&lt;&gt;""),'Weekly Tracker'!$I$2:$I$766),"")</f>
        <v/>
      </c>
      <c r="J765" s="9">
        <f>IFERROR(LOOKUP(2,1/('Weekly Tracker'!$E$2:$E$766=$A765)/('Weekly Tracker'!$J$2:$J$766&lt;&gt;""),'Weekly Tracker'!$J$2:$J$766),"")</f>
        <v/>
      </c>
      <c r="K765" s="9">
        <f>IFERROR(LOOKUP(2,1/('Weekly Tracker'!$E$2:$E$766=$A765)/('Weekly Tracker'!$N$2:$N$766&lt;&gt;""),'Weekly Tracker'!$N$2:$N$766),"")</f>
        <v/>
      </c>
      <c r="L765" s="9">
        <f>IFERROR(LOOKUP(2,1/('Weekly Tracker'!$E$2:$E$766=$A765)/('Weekly Tracker'!$O$2:$O$766&lt;&gt;""),'Weekly Tracker'!$O$2:$O$766),"")</f>
        <v/>
      </c>
    </row>
    <row r="766">
      <c r="A766" s="9" t="inlineStr">
        <is>
          <t>Jawahar Urja</t>
        </is>
      </c>
      <c r="B766" s="9" t="inlineStr">
        <is>
          <t>916374420573, +91 95851 17939</t>
        </is>
      </c>
      <c r="C766" s="9" t="n"/>
      <c r="D766" s="9" t="n"/>
      <c r="E766" s="9" t="n"/>
      <c r="F766" s="9">
        <f>IFERROR(LOOKUP(2,1/('Weekly Tracker'!$E$2:$E$766=$A766)/('Weekly Tracker'!$F$2:$F$766&lt;&gt;""),'Weekly Tracker'!$F$2:$F$766),"")</f>
        <v/>
      </c>
      <c r="G766" s="16">
        <f>IF(F766&lt;&gt;"",LOOKUP(2,1/('Weekly Tracker'!$E$2:$E$766=$A766)/('Weekly Tracker'!$F$2:$F$766&lt;&gt;""),'Weekly Tracker'!$G$2:$G$766),"")</f>
        <v/>
      </c>
      <c r="H766" s="9">
        <f>IFERROR(LOOKUP(2,1/('Weekly Tracker'!$E$2:$E$766=$A766)/('Weekly Tracker'!$H$2:$H$766&lt;&gt;""),'Weekly Tracker'!$H$2:$H$766),"")</f>
        <v/>
      </c>
      <c r="I766" s="16">
        <f>IF(H766&lt;&gt;"",LOOKUP(2,1/('Weekly Tracker'!$E$2:$E$766=$A766)/('Weekly Tracker'!$H$2:$H$766&lt;&gt;""),'Weekly Tracker'!$I$2:$I$766),"")</f>
        <v/>
      </c>
      <c r="J766" s="9">
        <f>IFERROR(LOOKUP(2,1/('Weekly Tracker'!$E$2:$E$766=$A766)/('Weekly Tracker'!$J$2:$J$766&lt;&gt;""),'Weekly Tracker'!$J$2:$J$766),"")</f>
        <v/>
      </c>
      <c r="K766" s="9">
        <f>IFERROR(LOOKUP(2,1/('Weekly Tracker'!$E$2:$E$766=$A766)/('Weekly Tracker'!$N$2:$N$766&lt;&gt;""),'Weekly Tracker'!$N$2:$N$766),"")</f>
        <v/>
      </c>
      <c r="L766" s="9">
        <f>IFERROR(LOOKUP(2,1/('Weekly Tracker'!$E$2:$E$766=$A766)/('Weekly Tracker'!$O$2:$O$766&lt;&gt;""),'Weekly Tracker'!$O$2:$O$766),"")</f>
        <v/>
      </c>
    </row>
    <row r="767">
      <c r="A767" s="9" t="inlineStr">
        <is>
          <t>Pandi Own</t>
        </is>
      </c>
      <c r="B767" s="9" t="inlineStr">
        <is>
          <t>918825843913</t>
        </is>
      </c>
      <c r="C767" s="9" t="n"/>
      <c r="D767" s="9" t="n"/>
      <c r="E767" s="9" t="n"/>
      <c r="F767" s="9">
        <f>IFERROR(LOOKUP(2,1/('Weekly Tracker'!$E$2:$E$766=$A767)/('Weekly Tracker'!$F$2:$F$766&lt;&gt;""),'Weekly Tracker'!$F$2:$F$766),"")</f>
        <v/>
      </c>
      <c r="G767" s="16">
        <f>IF(F767&lt;&gt;"",LOOKUP(2,1/('Weekly Tracker'!$E$2:$E$766=$A767)/('Weekly Tracker'!$F$2:$F$766&lt;&gt;""),'Weekly Tracker'!$G$2:$G$766),"")</f>
        <v/>
      </c>
      <c r="H767" s="9">
        <f>IFERROR(LOOKUP(2,1/('Weekly Tracker'!$E$2:$E$766=$A767)/('Weekly Tracker'!$H$2:$H$766&lt;&gt;""),'Weekly Tracker'!$H$2:$H$766),"")</f>
        <v/>
      </c>
      <c r="I767" s="16">
        <f>IF(H767&lt;&gt;"",LOOKUP(2,1/('Weekly Tracker'!$E$2:$E$766=$A767)/('Weekly Tracker'!$H$2:$H$766&lt;&gt;""),'Weekly Tracker'!$I$2:$I$766),"")</f>
        <v/>
      </c>
      <c r="J767" s="9">
        <f>IFERROR(LOOKUP(2,1/('Weekly Tracker'!$E$2:$E$766=$A767)/('Weekly Tracker'!$J$2:$J$766&lt;&gt;""),'Weekly Tracker'!$J$2:$J$766),"")</f>
        <v/>
      </c>
      <c r="K767" s="9">
        <f>IFERROR(LOOKUP(2,1/('Weekly Tracker'!$E$2:$E$766=$A767)/('Weekly Tracker'!$N$2:$N$766&lt;&gt;""),'Weekly Tracker'!$N$2:$N$766),"")</f>
        <v/>
      </c>
      <c r="L767" s="9">
        <f>IFERROR(LOOKUP(2,1/('Weekly Tracker'!$E$2:$E$766=$A767)/('Weekly Tracker'!$O$2:$O$766&lt;&gt;""),'Weekly Tracker'!$O$2:$O$766),"")</f>
        <v/>
      </c>
    </row>
    <row r="768">
      <c r="A768" s="9" t="inlineStr">
        <is>
          <t>Vijay Anand selvaraj Verz</t>
        </is>
      </c>
      <c r="B768" s="9" t="inlineStr">
        <is>
          <t>919750430607</t>
        </is>
      </c>
      <c r="C768" s="9" t="n"/>
      <c r="D768" s="9" t="n"/>
      <c r="E768" s="9" t="n"/>
      <c r="F768" s="9">
        <f>IFERROR(LOOKUP(2,1/('Weekly Tracker'!$E$2:$E$766=$A768)/('Weekly Tracker'!$F$2:$F$766&lt;&gt;""),'Weekly Tracker'!$F$2:$F$766),"")</f>
        <v/>
      </c>
      <c r="G768" s="16">
        <f>IF(F768&lt;&gt;"",LOOKUP(2,1/('Weekly Tracker'!$E$2:$E$766=$A768)/('Weekly Tracker'!$F$2:$F$766&lt;&gt;""),'Weekly Tracker'!$G$2:$G$766),"")</f>
        <v/>
      </c>
      <c r="H768" s="9">
        <f>IFERROR(LOOKUP(2,1/('Weekly Tracker'!$E$2:$E$766=$A768)/('Weekly Tracker'!$H$2:$H$766&lt;&gt;""),'Weekly Tracker'!$H$2:$H$766),"")</f>
        <v/>
      </c>
      <c r="I768" s="16">
        <f>IF(H768&lt;&gt;"",LOOKUP(2,1/('Weekly Tracker'!$E$2:$E$766=$A768)/('Weekly Tracker'!$H$2:$H$766&lt;&gt;""),'Weekly Tracker'!$I$2:$I$766),"")</f>
        <v/>
      </c>
      <c r="J768" s="9">
        <f>IFERROR(LOOKUP(2,1/('Weekly Tracker'!$E$2:$E$766=$A768)/('Weekly Tracker'!$J$2:$J$766&lt;&gt;""),'Weekly Tracker'!$J$2:$J$766),"")</f>
        <v/>
      </c>
      <c r="K768" s="9">
        <f>IFERROR(LOOKUP(2,1/('Weekly Tracker'!$E$2:$E$766=$A768)/('Weekly Tracker'!$N$2:$N$766&lt;&gt;""),'Weekly Tracker'!$N$2:$N$766),"")</f>
        <v/>
      </c>
      <c r="L768" s="9">
        <f>IFERROR(LOOKUP(2,1/('Weekly Tracker'!$E$2:$E$766=$A768)/('Weekly Tracker'!$O$2:$O$766&lt;&gt;""),'Weekly Tracker'!$O$2:$O$766),"")</f>
        <v/>
      </c>
    </row>
    <row r="769">
      <c r="A769" s="9" t="inlineStr">
        <is>
          <t>Ganesh Kumar Scl</t>
        </is>
      </c>
      <c r="B769" s="9" t="inlineStr">
        <is>
          <t>919791639269</t>
        </is>
      </c>
      <c r="C769" s="9" t="n"/>
      <c r="D769" s="9" t="n"/>
      <c r="E769" s="9" t="inlineStr">
        <is>
          <t>Tamil Nadu, India</t>
        </is>
      </c>
      <c r="F769" s="9">
        <f>IFERROR(LOOKUP(2,1/('Weekly Tracker'!$E$2:$E$766=$A769)/('Weekly Tracker'!$F$2:$F$766&lt;&gt;""),'Weekly Tracker'!$F$2:$F$766),"")</f>
        <v/>
      </c>
      <c r="G769" s="16">
        <f>IF(F769&lt;&gt;"",LOOKUP(2,1/('Weekly Tracker'!$E$2:$E$766=$A769)/('Weekly Tracker'!$F$2:$F$766&lt;&gt;""),'Weekly Tracker'!$G$2:$G$766),"")</f>
        <v/>
      </c>
      <c r="H769" s="9">
        <f>IFERROR(LOOKUP(2,1/('Weekly Tracker'!$E$2:$E$766=$A769)/('Weekly Tracker'!$H$2:$H$766&lt;&gt;""),'Weekly Tracker'!$H$2:$H$766),"")</f>
        <v/>
      </c>
      <c r="I769" s="16">
        <f>IF(H769&lt;&gt;"",LOOKUP(2,1/('Weekly Tracker'!$E$2:$E$766=$A769)/('Weekly Tracker'!$H$2:$H$766&lt;&gt;""),'Weekly Tracker'!$I$2:$I$766),"")</f>
        <v/>
      </c>
      <c r="J769" s="9">
        <f>IFERROR(LOOKUP(2,1/('Weekly Tracker'!$E$2:$E$766=$A769)/('Weekly Tracker'!$J$2:$J$766&lt;&gt;""),'Weekly Tracker'!$J$2:$J$766),"")</f>
        <v/>
      </c>
      <c r="K769" s="9">
        <f>IFERROR(LOOKUP(2,1/('Weekly Tracker'!$E$2:$E$766=$A769)/('Weekly Tracker'!$N$2:$N$766&lt;&gt;""),'Weekly Tracker'!$N$2:$N$766),"")</f>
        <v/>
      </c>
      <c r="L769" s="9">
        <f>IFERROR(LOOKUP(2,1/('Weekly Tracker'!$E$2:$E$766=$A769)/('Weekly Tracker'!$O$2:$O$766&lt;&gt;""),'Weekly Tracker'!$O$2:$O$766),"")</f>
        <v/>
      </c>
    </row>
    <row r="770">
      <c r="A770" s="9" t="inlineStr">
        <is>
          <t>Jagar Jerald FB</t>
        </is>
      </c>
      <c r="B770" s="9" t="inlineStr">
        <is>
          <t>7339377647</t>
        </is>
      </c>
      <c r="C770" s="9" t="n"/>
      <c r="D770" s="9" t="n"/>
      <c r="E770" s="9" t="n"/>
      <c r="F770" s="9">
        <f>IFERROR(LOOKUP(2,1/('Weekly Tracker'!$E$2:$E$766=$A770)/('Weekly Tracker'!$F$2:$F$766&lt;&gt;""),'Weekly Tracker'!$F$2:$F$766),"")</f>
        <v/>
      </c>
      <c r="G770" s="16">
        <f>IF(F770&lt;&gt;"",LOOKUP(2,1/('Weekly Tracker'!$E$2:$E$766=$A770)/('Weekly Tracker'!$F$2:$F$766&lt;&gt;""),'Weekly Tracker'!$G$2:$G$766),"")</f>
        <v/>
      </c>
      <c r="H770" s="9">
        <f>IFERROR(LOOKUP(2,1/('Weekly Tracker'!$E$2:$E$766=$A770)/('Weekly Tracker'!$H$2:$H$766&lt;&gt;""),'Weekly Tracker'!$H$2:$H$766),"")</f>
        <v/>
      </c>
      <c r="I770" s="16">
        <f>IF(H770&lt;&gt;"",LOOKUP(2,1/('Weekly Tracker'!$E$2:$E$766=$A770)/('Weekly Tracker'!$H$2:$H$766&lt;&gt;""),'Weekly Tracker'!$I$2:$I$766),"")</f>
        <v/>
      </c>
      <c r="J770" s="9">
        <f>IFERROR(LOOKUP(2,1/('Weekly Tracker'!$E$2:$E$766=$A770)/('Weekly Tracker'!$J$2:$J$766&lt;&gt;""),'Weekly Tracker'!$J$2:$J$766),"")</f>
        <v/>
      </c>
      <c r="K770" s="9">
        <f>IFERROR(LOOKUP(2,1/('Weekly Tracker'!$E$2:$E$766=$A770)/('Weekly Tracker'!$N$2:$N$766&lt;&gt;""),'Weekly Tracker'!$N$2:$N$766),"")</f>
        <v/>
      </c>
      <c r="L770" s="9">
        <f>IFERROR(LOOKUP(2,1/('Weekly Tracker'!$E$2:$E$766=$A770)/('Weekly Tracker'!$O$2:$O$766&lt;&gt;""),'Weekly Tracker'!$O$2:$O$766),"")</f>
        <v/>
      </c>
    </row>
    <row r="771">
      <c r="A771" s="9" t="inlineStr">
        <is>
          <t>Sutha Akka</t>
        </is>
      </c>
      <c r="B771" s="9" t="inlineStr">
        <is>
          <t>919025599383</t>
        </is>
      </c>
      <c r="C771" s="9" t="n"/>
      <c r="D771" s="9" t="n"/>
      <c r="E771" s="9" t="n"/>
      <c r="F771" s="9">
        <f>IFERROR(LOOKUP(2,1/('Weekly Tracker'!$E$2:$E$766=$A771)/('Weekly Tracker'!$F$2:$F$766&lt;&gt;""),'Weekly Tracker'!$F$2:$F$766),"")</f>
        <v/>
      </c>
      <c r="G771" s="16">
        <f>IF(F771&lt;&gt;"",LOOKUP(2,1/('Weekly Tracker'!$E$2:$E$766=$A771)/('Weekly Tracker'!$F$2:$F$766&lt;&gt;""),'Weekly Tracker'!$G$2:$G$766),"")</f>
        <v/>
      </c>
      <c r="H771" s="9">
        <f>IFERROR(LOOKUP(2,1/('Weekly Tracker'!$E$2:$E$766=$A771)/('Weekly Tracker'!$H$2:$H$766&lt;&gt;""),'Weekly Tracker'!$H$2:$H$766),"")</f>
        <v/>
      </c>
      <c r="I771" s="16">
        <f>IF(H771&lt;&gt;"",LOOKUP(2,1/('Weekly Tracker'!$E$2:$E$766=$A771)/('Weekly Tracker'!$H$2:$H$766&lt;&gt;""),'Weekly Tracker'!$I$2:$I$766),"")</f>
        <v/>
      </c>
      <c r="J771" s="9">
        <f>IFERROR(LOOKUP(2,1/('Weekly Tracker'!$E$2:$E$766=$A771)/('Weekly Tracker'!$J$2:$J$766&lt;&gt;""),'Weekly Tracker'!$J$2:$J$766),"")</f>
        <v/>
      </c>
      <c r="K771" s="9">
        <f>IFERROR(LOOKUP(2,1/('Weekly Tracker'!$E$2:$E$766=$A771)/('Weekly Tracker'!$N$2:$N$766&lt;&gt;""),'Weekly Tracker'!$N$2:$N$766),"")</f>
        <v/>
      </c>
      <c r="L771" s="9">
        <f>IFERROR(LOOKUP(2,1/('Weekly Tracker'!$E$2:$E$766=$A771)/('Weekly Tracker'!$O$2:$O$766&lt;&gt;""),'Weekly Tracker'!$O$2:$O$766),"")</f>
        <v/>
      </c>
    </row>
    <row r="772">
      <c r="A772" s="9" t="inlineStr">
        <is>
          <t>MKumaran Ramaiah FB</t>
        </is>
      </c>
      <c r="B772" s="9" t="inlineStr">
        <is>
          <t>966580967602</t>
        </is>
      </c>
      <c r="C772" s="9" t="n"/>
      <c r="D772" s="9" t="n"/>
      <c r="E772" s="9" t="n"/>
      <c r="F772" s="9">
        <f>IFERROR(LOOKUP(2,1/('Weekly Tracker'!$E$2:$E$766=$A772)/('Weekly Tracker'!$F$2:$F$766&lt;&gt;""),'Weekly Tracker'!$F$2:$F$766),"")</f>
        <v/>
      </c>
      <c r="G772" s="16">
        <f>IF(F772&lt;&gt;"",LOOKUP(2,1/('Weekly Tracker'!$E$2:$E$766=$A772)/('Weekly Tracker'!$F$2:$F$766&lt;&gt;""),'Weekly Tracker'!$G$2:$G$766),"")</f>
        <v/>
      </c>
      <c r="H772" s="9">
        <f>IFERROR(LOOKUP(2,1/('Weekly Tracker'!$E$2:$E$766=$A772)/('Weekly Tracker'!$H$2:$H$766&lt;&gt;""),'Weekly Tracker'!$H$2:$H$766),"")</f>
        <v/>
      </c>
      <c r="I772" s="16">
        <f>IF(H772&lt;&gt;"",LOOKUP(2,1/('Weekly Tracker'!$E$2:$E$766=$A772)/('Weekly Tracker'!$H$2:$H$766&lt;&gt;""),'Weekly Tracker'!$I$2:$I$766),"")</f>
        <v/>
      </c>
      <c r="J772" s="9">
        <f>IFERROR(LOOKUP(2,1/('Weekly Tracker'!$E$2:$E$766=$A772)/('Weekly Tracker'!$J$2:$J$766&lt;&gt;""),'Weekly Tracker'!$J$2:$J$766),"")</f>
        <v/>
      </c>
      <c r="K772" s="9">
        <f>IFERROR(LOOKUP(2,1/('Weekly Tracker'!$E$2:$E$766=$A772)/('Weekly Tracker'!$N$2:$N$766&lt;&gt;""),'Weekly Tracker'!$N$2:$N$766),"")</f>
        <v/>
      </c>
      <c r="L772" s="9">
        <f>IFERROR(LOOKUP(2,1/('Weekly Tracker'!$E$2:$E$766=$A772)/('Weekly Tracker'!$O$2:$O$766&lt;&gt;""),'Weekly Tracker'!$O$2:$O$766),"")</f>
        <v/>
      </c>
    </row>
    <row r="773">
      <c r="A773" s="9" t="inlineStr">
        <is>
          <t>Karthick Rajamani Mech</t>
        </is>
      </c>
      <c r="B773" s="9" t="inlineStr">
        <is>
          <t>918220417875</t>
        </is>
      </c>
      <c r="C773" s="9" t="n"/>
      <c r="D773" s="9" t="n"/>
      <c r="E773" s="9" t="n"/>
      <c r="F773" s="9">
        <f>IFERROR(LOOKUP(2,1/('Weekly Tracker'!$E$2:$E$766=$A773)/('Weekly Tracker'!$F$2:$F$766&lt;&gt;""),'Weekly Tracker'!$F$2:$F$766),"")</f>
        <v/>
      </c>
      <c r="G773" s="16">
        <f>IF(F773&lt;&gt;"",LOOKUP(2,1/('Weekly Tracker'!$E$2:$E$766=$A773)/('Weekly Tracker'!$F$2:$F$766&lt;&gt;""),'Weekly Tracker'!$G$2:$G$766),"")</f>
        <v/>
      </c>
      <c r="H773" s="9">
        <f>IFERROR(LOOKUP(2,1/('Weekly Tracker'!$E$2:$E$766=$A773)/('Weekly Tracker'!$H$2:$H$766&lt;&gt;""),'Weekly Tracker'!$H$2:$H$766),"")</f>
        <v/>
      </c>
      <c r="I773" s="16">
        <f>IF(H773&lt;&gt;"",LOOKUP(2,1/('Weekly Tracker'!$E$2:$E$766=$A773)/('Weekly Tracker'!$H$2:$H$766&lt;&gt;""),'Weekly Tracker'!$I$2:$I$766),"")</f>
        <v/>
      </c>
      <c r="J773" s="9">
        <f>IFERROR(LOOKUP(2,1/('Weekly Tracker'!$E$2:$E$766=$A773)/('Weekly Tracker'!$J$2:$J$766&lt;&gt;""),'Weekly Tracker'!$J$2:$J$766),"")</f>
        <v/>
      </c>
      <c r="K773" s="9">
        <f>IFERROR(LOOKUP(2,1/('Weekly Tracker'!$E$2:$E$766=$A773)/('Weekly Tracker'!$N$2:$N$766&lt;&gt;""),'Weekly Tracker'!$N$2:$N$766),"")</f>
        <v/>
      </c>
      <c r="L773" s="9">
        <f>IFERROR(LOOKUP(2,1/('Weekly Tracker'!$E$2:$E$766=$A773)/('Weekly Tracker'!$O$2:$O$766&lt;&gt;""),'Weekly Tracker'!$O$2:$O$766),"")</f>
        <v/>
      </c>
    </row>
    <row r="774">
      <c r="A774" s="9" t="inlineStr">
        <is>
          <t>Mani Manjula FB</t>
        </is>
      </c>
      <c r="B774" s="9" t="inlineStr">
        <is>
          <t>+91 733-9339013</t>
        </is>
      </c>
      <c r="C774" s="9" t="n"/>
      <c r="D774" s="9" t="n"/>
      <c r="E774" s="9" t="n"/>
      <c r="F774" s="9">
        <f>IFERROR(LOOKUP(2,1/('Weekly Tracker'!$E$2:$E$766=$A774)/('Weekly Tracker'!$F$2:$F$766&lt;&gt;""),'Weekly Tracker'!$F$2:$F$766),"")</f>
        <v/>
      </c>
      <c r="G774" s="16">
        <f>IF(F774&lt;&gt;"",LOOKUP(2,1/('Weekly Tracker'!$E$2:$E$766=$A774)/('Weekly Tracker'!$F$2:$F$766&lt;&gt;""),'Weekly Tracker'!$G$2:$G$766),"")</f>
        <v/>
      </c>
      <c r="H774" s="9">
        <f>IFERROR(LOOKUP(2,1/('Weekly Tracker'!$E$2:$E$766=$A774)/('Weekly Tracker'!$H$2:$H$766&lt;&gt;""),'Weekly Tracker'!$H$2:$H$766),"")</f>
        <v/>
      </c>
      <c r="I774" s="16">
        <f>IF(H774&lt;&gt;"",LOOKUP(2,1/('Weekly Tracker'!$E$2:$E$766=$A774)/('Weekly Tracker'!$H$2:$H$766&lt;&gt;""),'Weekly Tracker'!$I$2:$I$766),"")</f>
        <v/>
      </c>
      <c r="J774" s="9">
        <f>IFERROR(LOOKUP(2,1/('Weekly Tracker'!$E$2:$E$766=$A774)/('Weekly Tracker'!$J$2:$J$766&lt;&gt;""),'Weekly Tracker'!$J$2:$J$766),"")</f>
        <v/>
      </c>
      <c r="K774" s="9">
        <f>IFERROR(LOOKUP(2,1/('Weekly Tracker'!$E$2:$E$766=$A774)/('Weekly Tracker'!$N$2:$N$766&lt;&gt;""),'Weekly Tracker'!$N$2:$N$766),"")</f>
        <v/>
      </c>
      <c r="L774" s="9">
        <f>IFERROR(LOOKUP(2,1/('Weekly Tracker'!$E$2:$E$766=$A774)/('Weekly Tracker'!$O$2:$O$766&lt;&gt;""),'Weekly Tracker'!$O$2:$O$766),"")</f>
        <v/>
      </c>
    </row>
    <row r="775">
      <c r="A775" s="9" t="inlineStr">
        <is>
          <t>Ajit PS</t>
        </is>
      </c>
      <c r="B775" s="9" t="inlineStr">
        <is>
          <t>919626671324</t>
        </is>
      </c>
      <c r="C775" s="9" t="n"/>
      <c r="D775" s="9" t="n"/>
      <c r="E775" s="9" t="n"/>
      <c r="F775" s="9">
        <f>IFERROR(LOOKUP(2,1/('Weekly Tracker'!$E$2:$E$766=$A775)/('Weekly Tracker'!$F$2:$F$766&lt;&gt;""),'Weekly Tracker'!$F$2:$F$766),"")</f>
        <v/>
      </c>
      <c r="G775" s="16">
        <f>IF(F775&lt;&gt;"",LOOKUP(2,1/('Weekly Tracker'!$E$2:$E$766=$A775)/('Weekly Tracker'!$F$2:$F$766&lt;&gt;""),'Weekly Tracker'!$G$2:$G$766),"")</f>
        <v/>
      </c>
      <c r="H775" s="9">
        <f>IFERROR(LOOKUP(2,1/('Weekly Tracker'!$E$2:$E$766=$A775)/('Weekly Tracker'!$H$2:$H$766&lt;&gt;""),'Weekly Tracker'!$H$2:$H$766),"")</f>
        <v/>
      </c>
      <c r="I775" s="16">
        <f>IF(H775&lt;&gt;"",LOOKUP(2,1/('Weekly Tracker'!$E$2:$E$766=$A775)/('Weekly Tracker'!$H$2:$H$766&lt;&gt;""),'Weekly Tracker'!$I$2:$I$766),"")</f>
        <v/>
      </c>
      <c r="J775" s="9">
        <f>IFERROR(LOOKUP(2,1/('Weekly Tracker'!$E$2:$E$766=$A775)/('Weekly Tracker'!$J$2:$J$766&lt;&gt;""),'Weekly Tracker'!$J$2:$J$766),"")</f>
        <v/>
      </c>
      <c r="K775" s="9">
        <f>IFERROR(LOOKUP(2,1/('Weekly Tracker'!$E$2:$E$766=$A775)/('Weekly Tracker'!$N$2:$N$766&lt;&gt;""),'Weekly Tracker'!$N$2:$N$766),"")</f>
        <v/>
      </c>
      <c r="L775" s="9">
        <f>IFERROR(LOOKUP(2,1/('Weekly Tracker'!$E$2:$E$766=$A775)/('Weekly Tracker'!$O$2:$O$766&lt;&gt;""),'Weekly Tracker'!$O$2:$O$766),"")</f>
        <v/>
      </c>
    </row>
    <row r="776">
      <c r="A776" s="9" t="inlineStr">
        <is>
          <t>Kesavan A Civil</t>
        </is>
      </c>
      <c r="B776" s="9" t="inlineStr">
        <is>
          <t>918089257723</t>
        </is>
      </c>
      <c r="C776" s="9" t="n"/>
      <c r="D776" s="9" t="n"/>
      <c r="E776" s="9" t="n"/>
      <c r="F776" s="9">
        <f>IFERROR(LOOKUP(2,1/('Weekly Tracker'!$E$2:$E$766=$A776)/('Weekly Tracker'!$F$2:$F$766&lt;&gt;""),'Weekly Tracker'!$F$2:$F$766),"")</f>
        <v/>
      </c>
      <c r="G776" s="16">
        <f>IF(F776&lt;&gt;"",LOOKUP(2,1/('Weekly Tracker'!$E$2:$E$766=$A776)/('Weekly Tracker'!$F$2:$F$766&lt;&gt;""),'Weekly Tracker'!$G$2:$G$766),"")</f>
        <v/>
      </c>
      <c r="H776" s="9">
        <f>IFERROR(LOOKUP(2,1/('Weekly Tracker'!$E$2:$E$766=$A776)/('Weekly Tracker'!$H$2:$H$766&lt;&gt;""),'Weekly Tracker'!$H$2:$H$766),"")</f>
        <v/>
      </c>
      <c r="I776" s="16">
        <f>IF(H776&lt;&gt;"",LOOKUP(2,1/('Weekly Tracker'!$E$2:$E$766=$A776)/('Weekly Tracker'!$H$2:$H$766&lt;&gt;""),'Weekly Tracker'!$I$2:$I$766),"")</f>
        <v/>
      </c>
      <c r="J776" s="9">
        <f>IFERROR(LOOKUP(2,1/('Weekly Tracker'!$E$2:$E$766=$A776)/('Weekly Tracker'!$J$2:$J$766&lt;&gt;""),'Weekly Tracker'!$J$2:$J$766),"")</f>
        <v/>
      </c>
      <c r="K776" s="9">
        <f>IFERROR(LOOKUP(2,1/('Weekly Tracker'!$E$2:$E$766=$A776)/('Weekly Tracker'!$N$2:$N$766&lt;&gt;""),'Weekly Tracker'!$N$2:$N$766),"")</f>
        <v/>
      </c>
      <c r="L776" s="9">
        <f>IFERROR(LOOKUP(2,1/('Weekly Tracker'!$E$2:$E$766=$A776)/('Weekly Tracker'!$O$2:$O$766&lt;&gt;""),'Weekly Tracker'!$O$2:$O$766),"")</f>
        <v/>
      </c>
    </row>
    <row r="777">
      <c r="A777" s="9" t="inlineStr">
        <is>
          <t>Karthick Verz</t>
        </is>
      </c>
      <c r="B777" s="9" t="inlineStr">
        <is>
          <t>9043228357</t>
        </is>
      </c>
      <c r="C777" s="9" t="n"/>
      <c r="D777" s="9" t="n"/>
      <c r="E777" s="9" t="n"/>
      <c r="F777" s="9">
        <f>IFERROR(LOOKUP(2,1/('Weekly Tracker'!$E$2:$E$766=$A777)/('Weekly Tracker'!$F$2:$F$766&lt;&gt;""),'Weekly Tracker'!$F$2:$F$766),"")</f>
        <v/>
      </c>
      <c r="G777" s="16">
        <f>IF(F777&lt;&gt;"",LOOKUP(2,1/('Weekly Tracker'!$E$2:$E$766=$A777)/('Weekly Tracker'!$F$2:$F$766&lt;&gt;""),'Weekly Tracker'!$G$2:$G$766),"")</f>
        <v/>
      </c>
      <c r="H777" s="9">
        <f>IFERROR(LOOKUP(2,1/('Weekly Tracker'!$E$2:$E$766=$A777)/('Weekly Tracker'!$H$2:$H$766&lt;&gt;""),'Weekly Tracker'!$H$2:$H$766),"")</f>
        <v/>
      </c>
      <c r="I777" s="16">
        <f>IF(H777&lt;&gt;"",LOOKUP(2,1/('Weekly Tracker'!$E$2:$E$766=$A777)/('Weekly Tracker'!$H$2:$H$766&lt;&gt;""),'Weekly Tracker'!$I$2:$I$766),"")</f>
        <v/>
      </c>
      <c r="J777" s="9">
        <f>IFERROR(LOOKUP(2,1/('Weekly Tracker'!$E$2:$E$766=$A777)/('Weekly Tracker'!$J$2:$J$766&lt;&gt;""),'Weekly Tracker'!$J$2:$J$766),"")</f>
        <v/>
      </c>
      <c r="K777" s="9">
        <f>IFERROR(LOOKUP(2,1/('Weekly Tracker'!$E$2:$E$766=$A777)/('Weekly Tracker'!$N$2:$N$766&lt;&gt;""),'Weekly Tracker'!$N$2:$N$766),"")</f>
        <v/>
      </c>
      <c r="L777" s="9">
        <f>IFERROR(LOOKUP(2,1/('Weekly Tracker'!$E$2:$E$766=$A777)/('Weekly Tracker'!$O$2:$O$766&lt;&gt;""),'Weekly Tracker'!$O$2:$O$766),"")</f>
        <v/>
      </c>
    </row>
    <row r="778">
      <c r="A778" s="9" t="inlineStr">
        <is>
          <t>Ramesh Karupiya FB</t>
        </is>
      </c>
      <c r="B778" s="9" t="inlineStr">
        <is>
          <t>8122252523</t>
        </is>
      </c>
      <c r="C778" s="9" t="n"/>
      <c r="D778" s="9" t="n"/>
      <c r="E778" s="9" t="n"/>
      <c r="F778" s="9">
        <f>IFERROR(LOOKUP(2,1/('Weekly Tracker'!$E$2:$E$766=$A778)/('Weekly Tracker'!$F$2:$F$766&lt;&gt;""),'Weekly Tracker'!$F$2:$F$766),"")</f>
        <v/>
      </c>
      <c r="G778" s="16">
        <f>IF(F778&lt;&gt;"",LOOKUP(2,1/('Weekly Tracker'!$E$2:$E$766=$A778)/('Weekly Tracker'!$F$2:$F$766&lt;&gt;""),'Weekly Tracker'!$G$2:$G$766),"")</f>
        <v/>
      </c>
      <c r="H778" s="9">
        <f>IFERROR(LOOKUP(2,1/('Weekly Tracker'!$E$2:$E$766=$A778)/('Weekly Tracker'!$H$2:$H$766&lt;&gt;""),'Weekly Tracker'!$H$2:$H$766),"")</f>
        <v/>
      </c>
      <c r="I778" s="16">
        <f>IF(H778&lt;&gt;"",LOOKUP(2,1/('Weekly Tracker'!$E$2:$E$766=$A778)/('Weekly Tracker'!$H$2:$H$766&lt;&gt;""),'Weekly Tracker'!$I$2:$I$766),"")</f>
        <v/>
      </c>
      <c r="J778" s="9">
        <f>IFERROR(LOOKUP(2,1/('Weekly Tracker'!$E$2:$E$766=$A778)/('Weekly Tracker'!$J$2:$J$766&lt;&gt;""),'Weekly Tracker'!$J$2:$J$766),"")</f>
        <v/>
      </c>
      <c r="K778" s="9">
        <f>IFERROR(LOOKUP(2,1/('Weekly Tracker'!$E$2:$E$766=$A778)/('Weekly Tracker'!$N$2:$N$766&lt;&gt;""),'Weekly Tracker'!$N$2:$N$766),"")</f>
        <v/>
      </c>
      <c r="L778" s="9">
        <f>IFERROR(LOOKUP(2,1/('Weekly Tracker'!$E$2:$E$766=$A778)/('Weekly Tracker'!$O$2:$O$766&lt;&gt;""),'Weekly Tracker'!$O$2:$O$766),"")</f>
        <v/>
      </c>
    </row>
    <row r="779">
      <c r="A779" s="9" t="inlineStr">
        <is>
          <t>Mithun Junior FB</t>
        </is>
      </c>
      <c r="B779" s="9" t="n"/>
      <c r="C779" s="9" t="n"/>
      <c r="D779" s="9" t="n"/>
      <c r="E779" s="9" t="n"/>
      <c r="F779" s="9">
        <f>IFERROR(LOOKUP(2,1/('Weekly Tracker'!$E$2:$E$766=$A779)/('Weekly Tracker'!$F$2:$F$766&lt;&gt;""),'Weekly Tracker'!$F$2:$F$766),"")</f>
        <v/>
      </c>
      <c r="G779" s="16">
        <f>IF(F779&lt;&gt;"",LOOKUP(2,1/('Weekly Tracker'!$E$2:$E$766=$A779)/('Weekly Tracker'!$F$2:$F$766&lt;&gt;""),'Weekly Tracker'!$G$2:$G$766),"")</f>
        <v/>
      </c>
      <c r="H779" s="9">
        <f>IFERROR(LOOKUP(2,1/('Weekly Tracker'!$E$2:$E$766=$A779)/('Weekly Tracker'!$H$2:$H$766&lt;&gt;""),'Weekly Tracker'!$H$2:$H$766),"")</f>
        <v/>
      </c>
      <c r="I779" s="16">
        <f>IF(H779&lt;&gt;"",LOOKUP(2,1/('Weekly Tracker'!$E$2:$E$766=$A779)/('Weekly Tracker'!$H$2:$H$766&lt;&gt;""),'Weekly Tracker'!$I$2:$I$766),"")</f>
        <v/>
      </c>
      <c r="J779" s="9">
        <f>IFERROR(LOOKUP(2,1/('Weekly Tracker'!$E$2:$E$766=$A779)/('Weekly Tracker'!$J$2:$J$766&lt;&gt;""),'Weekly Tracker'!$J$2:$J$766),"")</f>
        <v/>
      </c>
      <c r="K779" s="9">
        <f>IFERROR(LOOKUP(2,1/('Weekly Tracker'!$E$2:$E$766=$A779)/('Weekly Tracker'!$N$2:$N$766&lt;&gt;""),'Weekly Tracker'!$N$2:$N$766),"")</f>
        <v/>
      </c>
      <c r="L779" s="9">
        <f>IFERROR(LOOKUP(2,1/('Weekly Tracker'!$E$2:$E$766=$A779)/('Weekly Tracker'!$O$2:$O$766&lt;&gt;""),'Weekly Tracker'!$O$2:$O$766),"")</f>
        <v/>
      </c>
    </row>
    <row r="780">
      <c r="A780" s="9" t="inlineStr">
        <is>
          <t>Mani Urja</t>
        </is>
      </c>
      <c r="B780" s="9" t="inlineStr">
        <is>
          <t>919790922495</t>
        </is>
      </c>
      <c r="C780" s="9" t="n"/>
      <c r="D780" s="9" t="n"/>
      <c r="E780" s="9" t="n"/>
      <c r="F780" s="9">
        <f>IFERROR(LOOKUP(2,1/('Weekly Tracker'!$E$2:$E$766=$A780)/('Weekly Tracker'!$F$2:$F$766&lt;&gt;""),'Weekly Tracker'!$F$2:$F$766),"")</f>
        <v/>
      </c>
      <c r="G780" s="16">
        <f>IF(F780&lt;&gt;"",LOOKUP(2,1/('Weekly Tracker'!$E$2:$E$766=$A780)/('Weekly Tracker'!$F$2:$F$766&lt;&gt;""),'Weekly Tracker'!$G$2:$G$766),"")</f>
        <v/>
      </c>
      <c r="H780" s="9">
        <f>IFERROR(LOOKUP(2,1/('Weekly Tracker'!$E$2:$E$766=$A780)/('Weekly Tracker'!$H$2:$H$766&lt;&gt;""),'Weekly Tracker'!$H$2:$H$766),"")</f>
        <v/>
      </c>
      <c r="I780" s="16">
        <f>IF(H780&lt;&gt;"",LOOKUP(2,1/('Weekly Tracker'!$E$2:$E$766=$A780)/('Weekly Tracker'!$H$2:$H$766&lt;&gt;""),'Weekly Tracker'!$I$2:$I$766),"")</f>
        <v/>
      </c>
      <c r="J780" s="9">
        <f>IFERROR(LOOKUP(2,1/('Weekly Tracker'!$E$2:$E$766=$A780)/('Weekly Tracker'!$J$2:$J$766&lt;&gt;""),'Weekly Tracker'!$J$2:$J$766),"")</f>
        <v/>
      </c>
      <c r="K780" s="9">
        <f>IFERROR(LOOKUP(2,1/('Weekly Tracker'!$E$2:$E$766=$A780)/('Weekly Tracker'!$N$2:$N$766&lt;&gt;""),'Weekly Tracker'!$N$2:$N$766),"")</f>
        <v/>
      </c>
      <c r="L780" s="9">
        <f>IFERROR(LOOKUP(2,1/('Weekly Tracker'!$E$2:$E$766=$A780)/('Weekly Tracker'!$O$2:$O$766&lt;&gt;""),'Weekly Tracker'!$O$2:$O$766),"")</f>
        <v/>
      </c>
    </row>
    <row r="781">
      <c r="A781" s="9" t="inlineStr">
        <is>
          <t>Sutha Amma</t>
        </is>
      </c>
      <c r="B781" s="9" t="inlineStr">
        <is>
          <t>918220264708</t>
        </is>
      </c>
      <c r="C781" s="9" t="n"/>
      <c r="D781" s="9" t="n"/>
      <c r="E781" s="9" t="n"/>
      <c r="F781" s="9">
        <f>IFERROR(LOOKUP(2,1/('Weekly Tracker'!$E$2:$E$766=$A781)/('Weekly Tracker'!$F$2:$F$766&lt;&gt;""),'Weekly Tracker'!$F$2:$F$766),"")</f>
        <v/>
      </c>
      <c r="G781" s="16">
        <f>IF(F781&lt;&gt;"",LOOKUP(2,1/('Weekly Tracker'!$E$2:$E$766=$A781)/('Weekly Tracker'!$F$2:$F$766&lt;&gt;""),'Weekly Tracker'!$G$2:$G$766),"")</f>
        <v/>
      </c>
      <c r="H781" s="9">
        <f>IFERROR(LOOKUP(2,1/('Weekly Tracker'!$E$2:$E$766=$A781)/('Weekly Tracker'!$H$2:$H$766&lt;&gt;""),'Weekly Tracker'!$H$2:$H$766),"")</f>
        <v/>
      </c>
      <c r="I781" s="16">
        <f>IF(H781&lt;&gt;"",LOOKUP(2,1/('Weekly Tracker'!$E$2:$E$766=$A781)/('Weekly Tracker'!$H$2:$H$766&lt;&gt;""),'Weekly Tracker'!$I$2:$I$766),"")</f>
        <v/>
      </c>
      <c r="J781" s="9">
        <f>IFERROR(LOOKUP(2,1/('Weekly Tracker'!$E$2:$E$766=$A781)/('Weekly Tracker'!$J$2:$J$766&lt;&gt;""),'Weekly Tracker'!$J$2:$J$766),"")</f>
        <v/>
      </c>
      <c r="K781" s="9">
        <f>IFERROR(LOOKUP(2,1/('Weekly Tracker'!$E$2:$E$766=$A781)/('Weekly Tracker'!$N$2:$N$766&lt;&gt;""),'Weekly Tracker'!$N$2:$N$766),"")</f>
        <v/>
      </c>
      <c r="L781" s="9">
        <f>IFERROR(LOOKUP(2,1/('Weekly Tracker'!$E$2:$E$766=$A781)/('Weekly Tracker'!$O$2:$O$766&lt;&gt;""),'Weekly Tracker'!$O$2:$O$766),"")</f>
        <v/>
      </c>
    </row>
    <row r="782">
      <c r="A782" s="9" t="inlineStr">
        <is>
          <t>Govindraj Urja</t>
        </is>
      </c>
      <c r="B782" s="9" t="inlineStr">
        <is>
          <t>96598 47224</t>
        </is>
      </c>
      <c r="C782" s="9" t="n"/>
      <c r="D782" s="9" t="n"/>
      <c r="E782" s="9" t="n"/>
      <c r="F782" s="9">
        <f>IFERROR(LOOKUP(2,1/('Weekly Tracker'!$E$2:$E$766=$A782)/('Weekly Tracker'!$F$2:$F$766&lt;&gt;""),'Weekly Tracker'!$F$2:$F$766),"")</f>
        <v/>
      </c>
      <c r="G782" s="16">
        <f>IF(F782&lt;&gt;"",LOOKUP(2,1/('Weekly Tracker'!$E$2:$E$766=$A782)/('Weekly Tracker'!$F$2:$F$766&lt;&gt;""),'Weekly Tracker'!$G$2:$G$766),"")</f>
        <v/>
      </c>
      <c r="H782" s="9">
        <f>IFERROR(LOOKUP(2,1/('Weekly Tracker'!$E$2:$E$766=$A782)/('Weekly Tracker'!$H$2:$H$766&lt;&gt;""),'Weekly Tracker'!$H$2:$H$766),"")</f>
        <v/>
      </c>
      <c r="I782" s="16">
        <f>IF(H782&lt;&gt;"",LOOKUP(2,1/('Weekly Tracker'!$E$2:$E$766=$A782)/('Weekly Tracker'!$H$2:$H$766&lt;&gt;""),'Weekly Tracker'!$I$2:$I$766),"")</f>
        <v/>
      </c>
      <c r="J782" s="9">
        <f>IFERROR(LOOKUP(2,1/('Weekly Tracker'!$E$2:$E$766=$A782)/('Weekly Tracker'!$J$2:$J$766&lt;&gt;""),'Weekly Tracker'!$J$2:$J$766),"")</f>
        <v/>
      </c>
      <c r="K782" s="9">
        <f>IFERROR(LOOKUP(2,1/('Weekly Tracker'!$E$2:$E$766=$A782)/('Weekly Tracker'!$N$2:$N$766&lt;&gt;""),'Weekly Tracker'!$N$2:$N$766),"")</f>
        <v/>
      </c>
      <c r="L782" s="9">
        <f>IFERROR(LOOKUP(2,1/('Weekly Tracker'!$E$2:$E$766=$A782)/('Weekly Tracker'!$O$2:$O$766&lt;&gt;""),'Weekly Tracker'!$O$2:$O$766),"")</f>
        <v/>
      </c>
    </row>
    <row r="783">
      <c r="A783" s="9" t="inlineStr">
        <is>
          <t>Mari Selvam Scl</t>
        </is>
      </c>
      <c r="B783" s="9" t="inlineStr">
        <is>
          <t>9659272328</t>
        </is>
      </c>
      <c r="C783" s="9" t="n"/>
      <c r="D783" s="9" t="n"/>
      <c r="E783" s="9" t="n"/>
      <c r="F783" s="9">
        <f>IFERROR(LOOKUP(2,1/('Weekly Tracker'!$E$2:$E$766=$A783)/('Weekly Tracker'!$F$2:$F$766&lt;&gt;""),'Weekly Tracker'!$F$2:$F$766),"")</f>
        <v/>
      </c>
      <c r="G783" s="16">
        <f>IF(F783&lt;&gt;"",LOOKUP(2,1/('Weekly Tracker'!$E$2:$E$766=$A783)/('Weekly Tracker'!$F$2:$F$766&lt;&gt;""),'Weekly Tracker'!$G$2:$G$766),"")</f>
        <v/>
      </c>
      <c r="H783" s="9">
        <f>IFERROR(LOOKUP(2,1/('Weekly Tracker'!$E$2:$E$766=$A783)/('Weekly Tracker'!$H$2:$H$766&lt;&gt;""),'Weekly Tracker'!$H$2:$H$766),"")</f>
        <v/>
      </c>
      <c r="I783" s="16">
        <f>IF(H783&lt;&gt;"",LOOKUP(2,1/('Weekly Tracker'!$E$2:$E$766=$A783)/('Weekly Tracker'!$H$2:$H$766&lt;&gt;""),'Weekly Tracker'!$I$2:$I$766),"")</f>
        <v/>
      </c>
      <c r="J783" s="9">
        <f>IFERROR(LOOKUP(2,1/('Weekly Tracker'!$E$2:$E$766=$A783)/('Weekly Tracker'!$J$2:$J$766&lt;&gt;""),'Weekly Tracker'!$J$2:$J$766),"")</f>
        <v/>
      </c>
      <c r="K783" s="9">
        <f>IFERROR(LOOKUP(2,1/('Weekly Tracker'!$E$2:$E$766=$A783)/('Weekly Tracker'!$N$2:$N$766&lt;&gt;""),'Weekly Tracker'!$N$2:$N$766),"")</f>
        <v/>
      </c>
      <c r="L783" s="9">
        <f>IFERROR(LOOKUP(2,1/('Weekly Tracker'!$E$2:$E$766=$A783)/('Weekly Tracker'!$O$2:$O$766&lt;&gt;""),'Weekly Tracker'!$O$2:$O$766),"")</f>
        <v/>
      </c>
    </row>
    <row r="784">
      <c r="A784" s="9" t="inlineStr">
        <is>
          <t>Mugesh Kprm</t>
        </is>
      </c>
      <c r="B784" s="9" t="inlineStr">
        <is>
          <t>+91 73387 34916</t>
        </is>
      </c>
      <c r="C784" s="9" t="n"/>
      <c r="D784" s="9" t="n"/>
      <c r="E784" s="9" t="n"/>
      <c r="F784" s="9">
        <f>IFERROR(LOOKUP(2,1/('Weekly Tracker'!$E$2:$E$766=$A784)/('Weekly Tracker'!$F$2:$F$766&lt;&gt;""),'Weekly Tracker'!$F$2:$F$766),"")</f>
        <v/>
      </c>
      <c r="G784" s="16">
        <f>IF(F784&lt;&gt;"",LOOKUP(2,1/('Weekly Tracker'!$E$2:$E$766=$A784)/('Weekly Tracker'!$F$2:$F$766&lt;&gt;""),'Weekly Tracker'!$G$2:$G$766),"")</f>
        <v/>
      </c>
      <c r="H784" s="9">
        <f>IFERROR(LOOKUP(2,1/('Weekly Tracker'!$E$2:$E$766=$A784)/('Weekly Tracker'!$H$2:$H$766&lt;&gt;""),'Weekly Tracker'!$H$2:$H$766),"")</f>
        <v/>
      </c>
      <c r="I784" s="16">
        <f>IF(H784&lt;&gt;"",LOOKUP(2,1/('Weekly Tracker'!$E$2:$E$766=$A784)/('Weekly Tracker'!$H$2:$H$766&lt;&gt;""),'Weekly Tracker'!$I$2:$I$766),"")</f>
        <v/>
      </c>
      <c r="J784" s="9">
        <f>IFERROR(LOOKUP(2,1/('Weekly Tracker'!$E$2:$E$766=$A784)/('Weekly Tracker'!$J$2:$J$766&lt;&gt;""),'Weekly Tracker'!$J$2:$J$766),"")</f>
        <v/>
      </c>
      <c r="K784" s="9">
        <f>IFERROR(LOOKUP(2,1/('Weekly Tracker'!$E$2:$E$766=$A784)/('Weekly Tracker'!$N$2:$N$766&lt;&gt;""),'Weekly Tracker'!$N$2:$N$766),"")</f>
        <v/>
      </c>
      <c r="L784" s="9">
        <f>IFERROR(LOOKUP(2,1/('Weekly Tracker'!$E$2:$E$766=$A784)/('Weekly Tracker'!$O$2:$O$766&lt;&gt;""),'Weekly Tracker'!$O$2:$O$766),"")</f>
        <v/>
      </c>
    </row>
    <row r="785">
      <c r="A785" s="9" t="inlineStr">
        <is>
          <t>Water Supply Opposite</t>
        </is>
      </c>
      <c r="B785" s="9" t="inlineStr">
        <is>
          <t>919840661919</t>
        </is>
      </c>
      <c r="C785" s="9" t="n"/>
      <c r="D785" s="9" t="n"/>
      <c r="E785" s="9" t="n"/>
      <c r="F785" s="9">
        <f>IFERROR(LOOKUP(2,1/('Weekly Tracker'!$E$2:$E$766=$A785)/('Weekly Tracker'!$F$2:$F$766&lt;&gt;""),'Weekly Tracker'!$F$2:$F$766),"")</f>
        <v/>
      </c>
      <c r="G785" s="16">
        <f>IF(F785&lt;&gt;"",LOOKUP(2,1/('Weekly Tracker'!$E$2:$E$766=$A785)/('Weekly Tracker'!$F$2:$F$766&lt;&gt;""),'Weekly Tracker'!$G$2:$G$766),"")</f>
        <v/>
      </c>
      <c r="H785" s="9">
        <f>IFERROR(LOOKUP(2,1/('Weekly Tracker'!$E$2:$E$766=$A785)/('Weekly Tracker'!$H$2:$H$766&lt;&gt;""),'Weekly Tracker'!$H$2:$H$766),"")</f>
        <v/>
      </c>
      <c r="I785" s="16">
        <f>IF(H785&lt;&gt;"",LOOKUP(2,1/('Weekly Tracker'!$E$2:$E$766=$A785)/('Weekly Tracker'!$H$2:$H$766&lt;&gt;""),'Weekly Tracker'!$I$2:$I$766),"")</f>
        <v/>
      </c>
      <c r="J785" s="9">
        <f>IFERROR(LOOKUP(2,1/('Weekly Tracker'!$E$2:$E$766=$A785)/('Weekly Tracker'!$J$2:$J$766&lt;&gt;""),'Weekly Tracker'!$J$2:$J$766),"")</f>
        <v/>
      </c>
      <c r="K785" s="9">
        <f>IFERROR(LOOKUP(2,1/('Weekly Tracker'!$E$2:$E$766=$A785)/('Weekly Tracker'!$N$2:$N$766&lt;&gt;""),'Weekly Tracker'!$N$2:$N$766),"")</f>
        <v/>
      </c>
      <c r="L785" s="9">
        <f>IFERROR(LOOKUP(2,1/('Weekly Tracker'!$E$2:$E$766=$A785)/('Weekly Tracker'!$O$2:$O$766&lt;&gt;""),'Weekly Tracker'!$O$2:$O$766),"")</f>
        <v/>
      </c>
    </row>
    <row r="786">
      <c r="A786" s="9" t="inlineStr">
        <is>
          <t>Mithun Madhavan ISRO FB</t>
        </is>
      </c>
      <c r="B786" s="9" t="inlineStr">
        <is>
          <t>918508087508, 90326 02303</t>
        </is>
      </c>
      <c r="C786" s="9" t="n"/>
      <c r="D786" s="9" t="n"/>
      <c r="E786" s="9" t="n"/>
      <c r="F786" s="9">
        <f>IFERROR(LOOKUP(2,1/('Weekly Tracker'!$E$2:$E$766=$A786)/('Weekly Tracker'!$F$2:$F$766&lt;&gt;""),'Weekly Tracker'!$F$2:$F$766),"")</f>
        <v/>
      </c>
      <c r="G786" s="16">
        <f>IF(F786&lt;&gt;"",LOOKUP(2,1/('Weekly Tracker'!$E$2:$E$766=$A786)/('Weekly Tracker'!$F$2:$F$766&lt;&gt;""),'Weekly Tracker'!$G$2:$G$766),"")</f>
        <v/>
      </c>
      <c r="H786" s="9">
        <f>IFERROR(LOOKUP(2,1/('Weekly Tracker'!$E$2:$E$766=$A786)/('Weekly Tracker'!$H$2:$H$766&lt;&gt;""),'Weekly Tracker'!$H$2:$H$766),"")</f>
        <v/>
      </c>
      <c r="I786" s="16">
        <f>IF(H786&lt;&gt;"",LOOKUP(2,1/('Weekly Tracker'!$E$2:$E$766=$A786)/('Weekly Tracker'!$H$2:$H$766&lt;&gt;""),'Weekly Tracker'!$I$2:$I$766),"")</f>
        <v/>
      </c>
      <c r="J786" s="9">
        <f>IFERROR(LOOKUP(2,1/('Weekly Tracker'!$E$2:$E$766=$A786)/('Weekly Tracker'!$J$2:$J$766&lt;&gt;""),'Weekly Tracker'!$J$2:$J$766),"")</f>
        <v/>
      </c>
      <c r="K786" s="9">
        <f>IFERROR(LOOKUP(2,1/('Weekly Tracker'!$E$2:$E$766=$A786)/('Weekly Tracker'!$N$2:$N$766&lt;&gt;""),'Weekly Tracker'!$N$2:$N$766),"")</f>
        <v/>
      </c>
      <c r="L786" s="9">
        <f>IFERROR(LOOKUP(2,1/('Weekly Tracker'!$E$2:$E$766=$A786)/('Weekly Tracker'!$O$2:$O$766&lt;&gt;""),'Weekly Tracker'!$O$2:$O$766),"")</f>
        <v/>
      </c>
    </row>
    <row r="787">
      <c r="A787" s="9" t="inlineStr">
        <is>
          <t>Karuppaiya Das Krprm</t>
        </is>
      </c>
      <c r="B787" s="9" t="inlineStr">
        <is>
          <t>919597636766</t>
        </is>
      </c>
      <c r="C787" s="9" t="n"/>
      <c r="D787" s="9" t="n"/>
      <c r="E787" s="9" t="n"/>
      <c r="F787" s="9">
        <f>IFERROR(LOOKUP(2,1/('Weekly Tracker'!$E$2:$E$766=$A787)/('Weekly Tracker'!$F$2:$F$766&lt;&gt;""),'Weekly Tracker'!$F$2:$F$766),"")</f>
        <v/>
      </c>
      <c r="G787" s="16">
        <f>IF(F787&lt;&gt;"",LOOKUP(2,1/('Weekly Tracker'!$E$2:$E$766=$A787)/('Weekly Tracker'!$F$2:$F$766&lt;&gt;""),'Weekly Tracker'!$G$2:$G$766),"")</f>
        <v/>
      </c>
      <c r="H787" s="9">
        <f>IFERROR(LOOKUP(2,1/('Weekly Tracker'!$E$2:$E$766=$A787)/('Weekly Tracker'!$H$2:$H$766&lt;&gt;""),'Weekly Tracker'!$H$2:$H$766),"")</f>
        <v/>
      </c>
      <c r="I787" s="16">
        <f>IF(H787&lt;&gt;"",LOOKUP(2,1/('Weekly Tracker'!$E$2:$E$766=$A787)/('Weekly Tracker'!$H$2:$H$766&lt;&gt;""),'Weekly Tracker'!$I$2:$I$766),"")</f>
        <v/>
      </c>
      <c r="J787" s="9">
        <f>IFERROR(LOOKUP(2,1/('Weekly Tracker'!$E$2:$E$766=$A787)/('Weekly Tracker'!$J$2:$J$766&lt;&gt;""),'Weekly Tracker'!$J$2:$J$766),"")</f>
        <v/>
      </c>
      <c r="K787" s="9">
        <f>IFERROR(LOOKUP(2,1/('Weekly Tracker'!$E$2:$E$766=$A787)/('Weekly Tracker'!$N$2:$N$766&lt;&gt;""),'Weekly Tracker'!$N$2:$N$766),"")</f>
        <v/>
      </c>
      <c r="L787" s="9">
        <f>IFERROR(LOOKUP(2,1/('Weekly Tracker'!$E$2:$E$766=$A787)/('Weekly Tracker'!$O$2:$O$766&lt;&gt;""),'Weekly Tracker'!$O$2:$O$766),"")</f>
        <v/>
      </c>
    </row>
    <row r="788">
      <c r="A788" s="9" t="inlineStr">
        <is>
          <t>Selvam Ragavaa FB</t>
        </is>
      </c>
      <c r="B788" s="9" t="inlineStr">
        <is>
          <t>9597898981</t>
        </is>
      </c>
      <c r="C788" s="9" t="n"/>
      <c r="D788" s="9" t="n"/>
      <c r="E788" s="9" t="n"/>
      <c r="F788" s="9">
        <f>IFERROR(LOOKUP(2,1/('Weekly Tracker'!$E$2:$E$766=$A788)/('Weekly Tracker'!$F$2:$F$766&lt;&gt;""),'Weekly Tracker'!$F$2:$F$766),"")</f>
        <v/>
      </c>
      <c r="G788" s="16">
        <f>IF(F788&lt;&gt;"",LOOKUP(2,1/('Weekly Tracker'!$E$2:$E$766=$A788)/('Weekly Tracker'!$F$2:$F$766&lt;&gt;""),'Weekly Tracker'!$G$2:$G$766),"")</f>
        <v/>
      </c>
      <c r="H788" s="9">
        <f>IFERROR(LOOKUP(2,1/('Weekly Tracker'!$E$2:$E$766=$A788)/('Weekly Tracker'!$H$2:$H$766&lt;&gt;""),'Weekly Tracker'!$H$2:$H$766),"")</f>
        <v/>
      </c>
      <c r="I788" s="16">
        <f>IF(H788&lt;&gt;"",LOOKUP(2,1/('Weekly Tracker'!$E$2:$E$766=$A788)/('Weekly Tracker'!$H$2:$H$766&lt;&gt;""),'Weekly Tracker'!$I$2:$I$766),"")</f>
        <v/>
      </c>
      <c r="J788" s="9">
        <f>IFERROR(LOOKUP(2,1/('Weekly Tracker'!$E$2:$E$766=$A788)/('Weekly Tracker'!$J$2:$J$766&lt;&gt;""),'Weekly Tracker'!$J$2:$J$766),"")</f>
        <v/>
      </c>
      <c r="K788" s="9">
        <f>IFERROR(LOOKUP(2,1/('Weekly Tracker'!$E$2:$E$766=$A788)/('Weekly Tracker'!$N$2:$N$766&lt;&gt;""),'Weekly Tracker'!$N$2:$N$766),"")</f>
        <v/>
      </c>
      <c r="L788" s="9">
        <f>IFERROR(LOOKUP(2,1/('Weekly Tracker'!$E$2:$E$766=$A788)/('Weekly Tracker'!$O$2:$O$766&lt;&gt;""),'Weekly Tracker'!$O$2:$O$766),"")</f>
        <v/>
      </c>
    </row>
    <row r="789">
      <c r="A789" s="9" t="inlineStr">
        <is>
          <t>Dineshkumar Ramarao InfyEco</t>
        </is>
      </c>
      <c r="B789" s="9" t="inlineStr">
        <is>
          <t>919677100098</t>
        </is>
      </c>
      <c r="C789" s="9" t="n"/>
      <c r="D789" s="9" t="n"/>
      <c r="E789" s="9" t="n"/>
      <c r="F789" s="9">
        <f>IFERROR(LOOKUP(2,1/('Weekly Tracker'!$E$2:$E$766=$A789)/('Weekly Tracker'!$F$2:$F$766&lt;&gt;""),'Weekly Tracker'!$F$2:$F$766),"")</f>
        <v/>
      </c>
      <c r="G789" s="16">
        <f>IF(F789&lt;&gt;"",LOOKUP(2,1/('Weekly Tracker'!$E$2:$E$766=$A789)/('Weekly Tracker'!$F$2:$F$766&lt;&gt;""),'Weekly Tracker'!$G$2:$G$766),"")</f>
        <v/>
      </c>
      <c r="H789" s="9">
        <f>IFERROR(LOOKUP(2,1/('Weekly Tracker'!$E$2:$E$766=$A789)/('Weekly Tracker'!$H$2:$H$766&lt;&gt;""),'Weekly Tracker'!$H$2:$H$766),"")</f>
        <v/>
      </c>
      <c r="I789" s="16">
        <f>IF(H789&lt;&gt;"",LOOKUP(2,1/('Weekly Tracker'!$E$2:$E$766=$A789)/('Weekly Tracker'!$H$2:$H$766&lt;&gt;""),'Weekly Tracker'!$I$2:$I$766),"")</f>
        <v/>
      </c>
      <c r="J789" s="9">
        <f>IFERROR(LOOKUP(2,1/('Weekly Tracker'!$E$2:$E$766=$A789)/('Weekly Tracker'!$J$2:$J$766&lt;&gt;""),'Weekly Tracker'!$J$2:$J$766),"")</f>
        <v/>
      </c>
      <c r="K789" s="9">
        <f>IFERROR(LOOKUP(2,1/('Weekly Tracker'!$E$2:$E$766=$A789)/('Weekly Tracker'!$N$2:$N$766&lt;&gt;""),'Weekly Tracker'!$N$2:$N$766),"")</f>
        <v/>
      </c>
      <c r="L789" s="9">
        <f>IFERROR(LOOKUP(2,1/('Weekly Tracker'!$E$2:$E$766=$A789)/('Weekly Tracker'!$O$2:$O$766&lt;&gt;""),'Weekly Tracker'!$O$2:$O$766),"")</f>
        <v/>
      </c>
    </row>
    <row r="790">
      <c r="A790" s="9" t="inlineStr">
        <is>
          <t>Vimal Anadtham Urja</t>
        </is>
      </c>
      <c r="B790" s="9" t="inlineStr">
        <is>
          <t>9543711533</t>
        </is>
      </c>
      <c r="C790" s="9" t="n"/>
      <c r="D790" s="9" t="n"/>
      <c r="E790" s="9" t="n"/>
      <c r="F790" s="9">
        <f>IFERROR(LOOKUP(2,1/('Weekly Tracker'!$E$2:$E$766=$A790)/('Weekly Tracker'!$F$2:$F$766&lt;&gt;""),'Weekly Tracker'!$F$2:$F$766),"")</f>
        <v/>
      </c>
      <c r="G790" s="16">
        <f>IF(F790&lt;&gt;"",LOOKUP(2,1/('Weekly Tracker'!$E$2:$E$766=$A790)/('Weekly Tracker'!$F$2:$F$766&lt;&gt;""),'Weekly Tracker'!$G$2:$G$766),"")</f>
        <v/>
      </c>
      <c r="H790" s="9">
        <f>IFERROR(LOOKUP(2,1/('Weekly Tracker'!$E$2:$E$766=$A790)/('Weekly Tracker'!$H$2:$H$766&lt;&gt;""),'Weekly Tracker'!$H$2:$H$766),"")</f>
        <v/>
      </c>
      <c r="I790" s="16">
        <f>IF(H790&lt;&gt;"",LOOKUP(2,1/('Weekly Tracker'!$E$2:$E$766=$A790)/('Weekly Tracker'!$H$2:$H$766&lt;&gt;""),'Weekly Tracker'!$I$2:$I$766),"")</f>
        <v/>
      </c>
      <c r="J790" s="9">
        <f>IFERROR(LOOKUP(2,1/('Weekly Tracker'!$E$2:$E$766=$A790)/('Weekly Tracker'!$J$2:$J$766&lt;&gt;""),'Weekly Tracker'!$J$2:$J$766),"")</f>
        <v/>
      </c>
      <c r="K790" s="9">
        <f>IFERROR(LOOKUP(2,1/('Weekly Tracker'!$E$2:$E$766=$A790)/('Weekly Tracker'!$N$2:$N$766&lt;&gt;""),'Weekly Tracker'!$N$2:$N$766),"")</f>
        <v/>
      </c>
      <c r="L790" s="9">
        <f>IFERROR(LOOKUP(2,1/('Weekly Tracker'!$E$2:$E$766=$A790)/('Weekly Tracker'!$O$2:$O$766&lt;&gt;""),'Weekly Tracker'!$O$2:$O$766),"")</f>
        <v/>
      </c>
    </row>
    <row r="791">
      <c r="A791" s="9" t="inlineStr">
        <is>
          <t>Chandra Sekar Urja</t>
        </is>
      </c>
      <c r="B791" s="9" t="inlineStr">
        <is>
          <t>919842472523</t>
        </is>
      </c>
      <c r="C791" s="9" t="n"/>
      <c r="D791" s="9" t="n"/>
      <c r="E791" s="9" t="n"/>
      <c r="F791" s="9">
        <f>IFERROR(LOOKUP(2,1/('Weekly Tracker'!$E$2:$E$766=$A791)/('Weekly Tracker'!$F$2:$F$766&lt;&gt;""),'Weekly Tracker'!$F$2:$F$766),"")</f>
        <v/>
      </c>
      <c r="G791" s="16">
        <f>IF(F791&lt;&gt;"",LOOKUP(2,1/('Weekly Tracker'!$E$2:$E$766=$A791)/('Weekly Tracker'!$F$2:$F$766&lt;&gt;""),'Weekly Tracker'!$G$2:$G$766),"")</f>
        <v/>
      </c>
      <c r="H791" s="9">
        <f>IFERROR(LOOKUP(2,1/('Weekly Tracker'!$E$2:$E$766=$A791)/('Weekly Tracker'!$H$2:$H$766&lt;&gt;""),'Weekly Tracker'!$H$2:$H$766),"")</f>
        <v/>
      </c>
      <c r="I791" s="16">
        <f>IF(H791&lt;&gt;"",LOOKUP(2,1/('Weekly Tracker'!$E$2:$E$766=$A791)/('Weekly Tracker'!$H$2:$H$766&lt;&gt;""),'Weekly Tracker'!$I$2:$I$766),"")</f>
        <v/>
      </c>
      <c r="J791" s="9">
        <f>IFERROR(LOOKUP(2,1/('Weekly Tracker'!$E$2:$E$766=$A791)/('Weekly Tracker'!$J$2:$J$766&lt;&gt;""),'Weekly Tracker'!$J$2:$J$766),"")</f>
        <v/>
      </c>
      <c r="K791" s="9">
        <f>IFERROR(LOOKUP(2,1/('Weekly Tracker'!$E$2:$E$766=$A791)/('Weekly Tracker'!$N$2:$N$766&lt;&gt;""),'Weekly Tracker'!$N$2:$N$766),"")</f>
        <v/>
      </c>
      <c r="L791" s="9">
        <f>IFERROR(LOOKUP(2,1/('Weekly Tracker'!$E$2:$E$766=$A791)/('Weekly Tracker'!$O$2:$O$766&lt;&gt;""),'Weekly Tracker'!$O$2:$O$766),"")</f>
        <v/>
      </c>
    </row>
    <row r="792">
      <c r="A792" s="9" t="inlineStr">
        <is>
          <t>Selva Kumar Junior</t>
        </is>
      </c>
      <c r="B792" s="9" t="inlineStr">
        <is>
          <t>919600857234</t>
        </is>
      </c>
      <c r="C792" s="9" t="n"/>
      <c r="D792" s="9" t="n"/>
      <c r="E792" s="9" t="n"/>
      <c r="F792" s="9">
        <f>IFERROR(LOOKUP(2,1/('Weekly Tracker'!$E$2:$E$766=$A792)/('Weekly Tracker'!$F$2:$F$766&lt;&gt;""),'Weekly Tracker'!$F$2:$F$766),"")</f>
        <v/>
      </c>
      <c r="G792" s="16">
        <f>IF(F792&lt;&gt;"",LOOKUP(2,1/('Weekly Tracker'!$E$2:$E$766=$A792)/('Weekly Tracker'!$F$2:$F$766&lt;&gt;""),'Weekly Tracker'!$G$2:$G$766),"")</f>
        <v/>
      </c>
      <c r="H792" s="9">
        <f>IFERROR(LOOKUP(2,1/('Weekly Tracker'!$E$2:$E$766=$A792)/('Weekly Tracker'!$H$2:$H$766&lt;&gt;""),'Weekly Tracker'!$H$2:$H$766),"")</f>
        <v/>
      </c>
      <c r="I792" s="16">
        <f>IF(H792&lt;&gt;"",LOOKUP(2,1/('Weekly Tracker'!$E$2:$E$766=$A792)/('Weekly Tracker'!$H$2:$H$766&lt;&gt;""),'Weekly Tracker'!$I$2:$I$766),"")</f>
        <v/>
      </c>
      <c r="J792" s="9">
        <f>IFERROR(LOOKUP(2,1/('Weekly Tracker'!$E$2:$E$766=$A792)/('Weekly Tracker'!$J$2:$J$766&lt;&gt;""),'Weekly Tracker'!$J$2:$J$766),"")</f>
        <v/>
      </c>
      <c r="K792" s="9">
        <f>IFERROR(LOOKUP(2,1/('Weekly Tracker'!$E$2:$E$766=$A792)/('Weekly Tracker'!$N$2:$N$766&lt;&gt;""),'Weekly Tracker'!$N$2:$N$766),"")</f>
        <v/>
      </c>
      <c r="L792" s="9">
        <f>IFERROR(LOOKUP(2,1/('Weekly Tracker'!$E$2:$E$766=$A792)/('Weekly Tracker'!$O$2:$O$766&lt;&gt;""),'Weekly Tracker'!$O$2:$O$766),"")</f>
        <v/>
      </c>
    </row>
    <row r="793">
      <c r="A793" s="9" t="inlineStr">
        <is>
          <t>Mano Shankar GP</t>
        </is>
      </c>
      <c r="B793" s="9" t="inlineStr">
        <is>
          <t>919994307338</t>
        </is>
      </c>
      <c r="C793" s="9" t="n"/>
      <c r="D793" s="9" t="n"/>
      <c r="E793" s="9" t="n"/>
      <c r="F793" s="9">
        <f>IFERROR(LOOKUP(2,1/('Weekly Tracker'!$E$2:$E$766=$A793)/('Weekly Tracker'!$F$2:$F$766&lt;&gt;""),'Weekly Tracker'!$F$2:$F$766),"")</f>
        <v/>
      </c>
      <c r="G793" s="16">
        <f>IF(F793&lt;&gt;"",LOOKUP(2,1/('Weekly Tracker'!$E$2:$E$766=$A793)/('Weekly Tracker'!$F$2:$F$766&lt;&gt;""),'Weekly Tracker'!$G$2:$G$766),"")</f>
        <v/>
      </c>
      <c r="H793" s="9">
        <f>IFERROR(LOOKUP(2,1/('Weekly Tracker'!$E$2:$E$766=$A793)/('Weekly Tracker'!$H$2:$H$766&lt;&gt;""),'Weekly Tracker'!$H$2:$H$766),"")</f>
        <v/>
      </c>
      <c r="I793" s="16">
        <f>IF(H793&lt;&gt;"",LOOKUP(2,1/('Weekly Tracker'!$E$2:$E$766=$A793)/('Weekly Tracker'!$H$2:$H$766&lt;&gt;""),'Weekly Tracker'!$I$2:$I$766),"")</f>
        <v/>
      </c>
      <c r="J793" s="9">
        <f>IFERROR(LOOKUP(2,1/('Weekly Tracker'!$E$2:$E$766=$A793)/('Weekly Tracker'!$J$2:$J$766&lt;&gt;""),'Weekly Tracker'!$J$2:$J$766),"")</f>
        <v/>
      </c>
      <c r="K793" s="9">
        <f>IFERROR(LOOKUP(2,1/('Weekly Tracker'!$E$2:$E$766=$A793)/('Weekly Tracker'!$N$2:$N$766&lt;&gt;""),'Weekly Tracker'!$N$2:$N$766),"")</f>
        <v/>
      </c>
      <c r="L793" s="9">
        <f>IFERROR(LOOKUP(2,1/('Weekly Tracker'!$E$2:$E$766=$A793)/('Weekly Tracker'!$O$2:$O$766&lt;&gt;""),'Weekly Tracker'!$O$2:$O$766),"")</f>
        <v/>
      </c>
    </row>
    <row r="794">
      <c r="A794" s="9" t="inlineStr">
        <is>
          <t>Nalla Thambi FB</t>
        </is>
      </c>
      <c r="B794" s="9" t="inlineStr">
        <is>
          <t>919952156959</t>
        </is>
      </c>
      <c r="C794" s="9" t="n"/>
      <c r="D794" s="9" t="n"/>
      <c r="E794" s="9" t="n"/>
      <c r="F794" s="9">
        <f>IFERROR(LOOKUP(2,1/('Weekly Tracker'!$E$2:$E$766=$A794)/('Weekly Tracker'!$F$2:$F$766&lt;&gt;""),'Weekly Tracker'!$F$2:$F$766),"")</f>
        <v/>
      </c>
      <c r="G794" s="16">
        <f>IF(F794&lt;&gt;"",LOOKUP(2,1/('Weekly Tracker'!$E$2:$E$766=$A794)/('Weekly Tracker'!$F$2:$F$766&lt;&gt;""),'Weekly Tracker'!$G$2:$G$766),"")</f>
        <v/>
      </c>
      <c r="H794" s="9">
        <f>IFERROR(LOOKUP(2,1/('Weekly Tracker'!$E$2:$E$766=$A794)/('Weekly Tracker'!$H$2:$H$766&lt;&gt;""),'Weekly Tracker'!$H$2:$H$766),"")</f>
        <v/>
      </c>
      <c r="I794" s="16">
        <f>IF(H794&lt;&gt;"",LOOKUP(2,1/('Weekly Tracker'!$E$2:$E$766=$A794)/('Weekly Tracker'!$H$2:$H$766&lt;&gt;""),'Weekly Tracker'!$I$2:$I$766),"")</f>
        <v/>
      </c>
      <c r="J794" s="9">
        <f>IFERROR(LOOKUP(2,1/('Weekly Tracker'!$E$2:$E$766=$A794)/('Weekly Tracker'!$J$2:$J$766&lt;&gt;""),'Weekly Tracker'!$J$2:$J$766),"")</f>
        <v/>
      </c>
      <c r="K794" s="9">
        <f>IFERROR(LOOKUP(2,1/('Weekly Tracker'!$E$2:$E$766=$A794)/('Weekly Tracker'!$N$2:$N$766&lt;&gt;""),'Weekly Tracker'!$N$2:$N$766),"")</f>
        <v/>
      </c>
      <c r="L794" s="9">
        <f>IFERROR(LOOKUP(2,1/('Weekly Tracker'!$E$2:$E$766=$A794)/('Weekly Tracker'!$O$2:$O$766&lt;&gt;""),'Weekly Tracker'!$O$2:$O$766),"")</f>
        <v/>
      </c>
    </row>
    <row r="795">
      <c r="A795" s="9" t="inlineStr">
        <is>
          <t>Siva Ganesh Grp Ucen</t>
        </is>
      </c>
      <c r="B795" s="9" t="inlineStr">
        <is>
          <t>918973486276</t>
        </is>
      </c>
      <c r="C795" s="9" t="n"/>
      <c r="D795" s="9" t="n"/>
      <c r="E795" s="9" t="n"/>
      <c r="F795" s="9">
        <f>IFERROR(LOOKUP(2,1/('Weekly Tracker'!$E$2:$E$766=$A795)/('Weekly Tracker'!$F$2:$F$766&lt;&gt;""),'Weekly Tracker'!$F$2:$F$766),"")</f>
        <v/>
      </c>
      <c r="G795" s="16">
        <f>IF(F795&lt;&gt;"",LOOKUP(2,1/('Weekly Tracker'!$E$2:$E$766=$A795)/('Weekly Tracker'!$F$2:$F$766&lt;&gt;""),'Weekly Tracker'!$G$2:$G$766),"")</f>
        <v/>
      </c>
      <c r="H795" s="9">
        <f>IFERROR(LOOKUP(2,1/('Weekly Tracker'!$E$2:$E$766=$A795)/('Weekly Tracker'!$H$2:$H$766&lt;&gt;""),'Weekly Tracker'!$H$2:$H$766),"")</f>
        <v/>
      </c>
      <c r="I795" s="16">
        <f>IF(H795&lt;&gt;"",LOOKUP(2,1/('Weekly Tracker'!$E$2:$E$766=$A795)/('Weekly Tracker'!$H$2:$H$766&lt;&gt;""),'Weekly Tracker'!$I$2:$I$766),"")</f>
        <v/>
      </c>
      <c r="J795" s="9">
        <f>IFERROR(LOOKUP(2,1/('Weekly Tracker'!$E$2:$E$766=$A795)/('Weekly Tracker'!$J$2:$J$766&lt;&gt;""),'Weekly Tracker'!$J$2:$J$766),"")</f>
        <v/>
      </c>
      <c r="K795" s="9">
        <f>IFERROR(LOOKUP(2,1/('Weekly Tracker'!$E$2:$E$766=$A795)/('Weekly Tracker'!$N$2:$N$766&lt;&gt;""),'Weekly Tracker'!$N$2:$N$766),"")</f>
        <v/>
      </c>
      <c r="L795" s="9">
        <f>IFERROR(LOOKUP(2,1/('Weekly Tracker'!$E$2:$E$766=$A795)/('Weekly Tracker'!$O$2:$O$766&lt;&gt;""),'Weekly Tracker'!$O$2:$O$766),"")</f>
        <v/>
      </c>
    </row>
    <row r="796">
      <c r="A796" s="9" t="inlineStr">
        <is>
          <t>Gowtham SET Infy</t>
        </is>
      </c>
      <c r="B796" s="9" t="inlineStr">
        <is>
          <t>916379972427, 919789089830</t>
        </is>
      </c>
      <c r="C796" s="9" t="n"/>
      <c r="D796" s="9" t="n"/>
      <c r="E796" s="9" t="n"/>
      <c r="F796" s="9">
        <f>IFERROR(LOOKUP(2,1/('Weekly Tracker'!$E$2:$E$766=$A796)/('Weekly Tracker'!$F$2:$F$766&lt;&gt;""),'Weekly Tracker'!$F$2:$F$766),"")</f>
        <v/>
      </c>
      <c r="G796" s="16">
        <f>IF(F796&lt;&gt;"",LOOKUP(2,1/('Weekly Tracker'!$E$2:$E$766=$A796)/('Weekly Tracker'!$F$2:$F$766&lt;&gt;""),'Weekly Tracker'!$G$2:$G$766),"")</f>
        <v/>
      </c>
      <c r="H796" s="9">
        <f>IFERROR(LOOKUP(2,1/('Weekly Tracker'!$E$2:$E$766=$A796)/('Weekly Tracker'!$H$2:$H$766&lt;&gt;""),'Weekly Tracker'!$H$2:$H$766),"")</f>
        <v/>
      </c>
      <c r="I796" s="16">
        <f>IF(H796&lt;&gt;"",LOOKUP(2,1/('Weekly Tracker'!$E$2:$E$766=$A796)/('Weekly Tracker'!$H$2:$H$766&lt;&gt;""),'Weekly Tracker'!$I$2:$I$766),"")</f>
        <v/>
      </c>
      <c r="J796" s="9">
        <f>IFERROR(LOOKUP(2,1/('Weekly Tracker'!$E$2:$E$766=$A796)/('Weekly Tracker'!$J$2:$J$766&lt;&gt;""),'Weekly Tracker'!$J$2:$J$766),"")</f>
        <v/>
      </c>
      <c r="K796" s="9">
        <f>IFERROR(LOOKUP(2,1/('Weekly Tracker'!$E$2:$E$766=$A796)/('Weekly Tracker'!$N$2:$N$766&lt;&gt;""),'Weekly Tracker'!$N$2:$N$766),"")</f>
        <v/>
      </c>
      <c r="L796" s="9">
        <f>IFERROR(LOOKUP(2,1/('Weekly Tracker'!$E$2:$E$766=$A796)/('Weekly Tracker'!$O$2:$O$766&lt;&gt;""),'Weekly Tracker'!$O$2:$O$766),"")</f>
        <v/>
      </c>
    </row>
    <row r="797">
      <c r="A797" s="9" t="inlineStr">
        <is>
          <t>Mariappan Scl</t>
        </is>
      </c>
      <c r="B797" s="9" t="inlineStr">
        <is>
          <t>918148550566</t>
        </is>
      </c>
      <c r="C797" s="9" t="n"/>
      <c r="D797" s="9" t="n"/>
      <c r="E797" s="9" t="inlineStr">
        <is>
          <t>Tamil Nadu, India</t>
        </is>
      </c>
      <c r="F797" s="9">
        <f>IFERROR(LOOKUP(2,1/('Weekly Tracker'!$E$2:$E$766=$A797)/('Weekly Tracker'!$F$2:$F$766&lt;&gt;""),'Weekly Tracker'!$F$2:$F$766),"")</f>
        <v/>
      </c>
      <c r="G797" s="16">
        <f>IF(F797&lt;&gt;"",LOOKUP(2,1/('Weekly Tracker'!$E$2:$E$766=$A797)/('Weekly Tracker'!$F$2:$F$766&lt;&gt;""),'Weekly Tracker'!$G$2:$G$766),"")</f>
        <v/>
      </c>
      <c r="H797" s="9">
        <f>IFERROR(LOOKUP(2,1/('Weekly Tracker'!$E$2:$E$766=$A797)/('Weekly Tracker'!$H$2:$H$766&lt;&gt;""),'Weekly Tracker'!$H$2:$H$766),"")</f>
        <v/>
      </c>
      <c r="I797" s="16">
        <f>IF(H797&lt;&gt;"",LOOKUP(2,1/('Weekly Tracker'!$E$2:$E$766=$A797)/('Weekly Tracker'!$H$2:$H$766&lt;&gt;""),'Weekly Tracker'!$I$2:$I$766),"")</f>
        <v/>
      </c>
      <c r="J797" s="9">
        <f>IFERROR(LOOKUP(2,1/('Weekly Tracker'!$E$2:$E$766=$A797)/('Weekly Tracker'!$J$2:$J$766&lt;&gt;""),'Weekly Tracker'!$J$2:$J$766),"")</f>
        <v/>
      </c>
      <c r="K797" s="9">
        <f>IFERROR(LOOKUP(2,1/('Weekly Tracker'!$E$2:$E$766=$A797)/('Weekly Tracker'!$N$2:$N$766&lt;&gt;""),'Weekly Tracker'!$N$2:$N$766),"")</f>
        <v/>
      </c>
      <c r="L797" s="9">
        <f>IFERROR(LOOKUP(2,1/('Weekly Tracker'!$E$2:$E$766=$A797)/('Weekly Tracker'!$O$2:$O$766&lt;&gt;""),'Weekly Tracker'!$O$2:$O$766),"")</f>
        <v/>
      </c>
    </row>
    <row r="798">
      <c r="A798" s="9" t="inlineStr">
        <is>
          <t>Anitha Urja</t>
        </is>
      </c>
      <c r="B798" s="9" t="inlineStr">
        <is>
          <t>918344477938</t>
        </is>
      </c>
      <c r="C798" s="9" t="n"/>
      <c r="D798" s="9" t="n"/>
      <c r="E798" s="9" t="n"/>
      <c r="F798" s="9">
        <f>IFERROR(LOOKUP(2,1/('Weekly Tracker'!$E$2:$E$766=$A798)/('Weekly Tracker'!$F$2:$F$766&lt;&gt;""),'Weekly Tracker'!$F$2:$F$766),"")</f>
        <v/>
      </c>
      <c r="G798" s="16">
        <f>IF(F798&lt;&gt;"",LOOKUP(2,1/('Weekly Tracker'!$E$2:$E$766=$A798)/('Weekly Tracker'!$F$2:$F$766&lt;&gt;""),'Weekly Tracker'!$G$2:$G$766),"")</f>
        <v/>
      </c>
      <c r="H798" s="9">
        <f>IFERROR(LOOKUP(2,1/('Weekly Tracker'!$E$2:$E$766=$A798)/('Weekly Tracker'!$H$2:$H$766&lt;&gt;""),'Weekly Tracker'!$H$2:$H$766),"")</f>
        <v/>
      </c>
      <c r="I798" s="16">
        <f>IF(H798&lt;&gt;"",LOOKUP(2,1/('Weekly Tracker'!$E$2:$E$766=$A798)/('Weekly Tracker'!$H$2:$H$766&lt;&gt;""),'Weekly Tracker'!$I$2:$I$766),"")</f>
        <v/>
      </c>
      <c r="J798" s="9">
        <f>IFERROR(LOOKUP(2,1/('Weekly Tracker'!$E$2:$E$766=$A798)/('Weekly Tracker'!$J$2:$J$766&lt;&gt;""),'Weekly Tracker'!$J$2:$J$766),"")</f>
        <v/>
      </c>
      <c r="K798" s="9">
        <f>IFERROR(LOOKUP(2,1/('Weekly Tracker'!$E$2:$E$766=$A798)/('Weekly Tracker'!$N$2:$N$766&lt;&gt;""),'Weekly Tracker'!$N$2:$N$766),"")</f>
        <v/>
      </c>
      <c r="L798" s="9">
        <f>IFERROR(LOOKUP(2,1/('Weekly Tracker'!$E$2:$E$766=$A798)/('Weekly Tracker'!$O$2:$O$766&lt;&gt;""),'Weekly Tracker'!$O$2:$O$766),"")</f>
        <v/>
      </c>
    </row>
    <row r="799">
      <c r="A799" s="9" t="inlineStr">
        <is>
          <t>Arun Karthikeyan FB</t>
        </is>
      </c>
      <c r="B799" s="9" t="inlineStr">
        <is>
          <t>9629869458</t>
        </is>
      </c>
      <c r="C799" s="9" t="n"/>
      <c r="D799" s="9" t="n"/>
      <c r="E799" s="9" t="n"/>
      <c r="F799" s="9">
        <f>IFERROR(LOOKUP(2,1/('Weekly Tracker'!$E$2:$E$766=$A799)/('Weekly Tracker'!$F$2:$F$766&lt;&gt;""),'Weekly Tracker'!$F$2:$F$766),"")</f>
        <v/>
      </c>
      <c r="G799" s="16">
        <f>IF(F799&lt;&gt;"",LOOKUP(2,1/('Weekly Tracker'!$E$2:$E$766=$A799)/('Weekly Tracker'!$F$2:$F$766&lt;&gt;""),'Weekly Tracker'!$G$2:$G$766),"")</f>
        <v/>
      </c>
      <c r="H799" s="9">
        <f>IFERROR(LOOKUP(2,1/('Weekly Tracker'!$E$2:$E$766=$A799)/('Weekly Tracker'!$H$2:$H$766&lt;&gt;""),'Weekly Tracker'!$H$2:$H$766),"")</f>
        <v/>
      </c>
      <c r="I799" s="16">
        <f>IF(H799&lt;&gt;"",LOOKUP(2,1/('Weekly Tracker'!$E$2:$E$766=$A799)/('Weekly Tracker'!$H$2:$H$766&lt;&gt;""),'Weekly Tracker'!$I$2:$I$766),"")</f>
        <v/>
      </c>
      <c r="J799" s="9">
        <f>IFERROR(LOOKUP(2,1/('Weekly Tracker'!$E$2:$E$766=$A799)/('Weekly Tracker'!$J$2:$J$766&lt;&gt;""),'Weekly Tracker'!$J$2:$J$766),"")</f>
        <v/>
      </c>
      <c r="K799" s="9">
        <f>IFERROR(LOOKUP(2,1/('Weekly Tracker'!$E$2:$E$766=$A799)/('Weekly Tracker'!$N$2:$N$766&lt;&gt;""),'Weekly Tracker'!$N$2:$N$766),"")</f>
        <v/>
      </c>
      <c r="L799" s="9">
        <f>IFERROR(LOOKUP(2,1/('Weekly Tracker'!$E$2:$E$766=$A799)/('Weekly Tracker'!$O$2:$O$766&lt;&gt;""),'Weekly Tracker'!$O$2:$O$766),"")</f>
        <v/>
      </c>
    </row>
    <row r="800">
      <c r="A800" s="9" t="inlineStr">
        <is>
          <t>Sri Ram Qa Urja</t>
        </is>
      </c>
      <c r="B800" s="9" t="inlineStr">
        <is>
          <t>919940472096</t>
        </is>
      </c>
      <c r="C800" s="9" t="n"/>
      <c r="D800" s="9" t="n"/>
      <c r="E800" s="9" t="n"/>
      <c r="F800" s="9">
        <f>IFERROR(LOOKUP(2,1/('Weekly Tracker'!$E$2:$E$766=$A800)/('Weekly Tracker'!$F$2:$F$766&lt;&gt;""),'Weekly Tracker'!$F$2:$F$766),"")</f>
        <v/>
      </c>
      <c r="G800" s="16">
        <f>IF(F800&lt;&gt;"",LOOKUP(2,1/('Weekly Tracker'!$E$2:$E$766=$A800)/('Weekly Tracker'!$F$2:$F$766&lt;&gt;""),'Weekly Tracker'!$G$2:$G$766),"")</f>
        <v/>
      </c>
      <c r="H800" s="9">
        <f>IFERROR(LOOKUP(2,1/('Weekly Tracker'!$E$2:$E$766=$A800)/('Weekly Tracker'!$H$2:$H$766&lt;&gt;""),'Weekly Tracker'!$H$2:$H$766),"")</f>
        <v/>
      </c>
      <c r="I800" s="16">
        <f>IF(H800&lt;&gt;"",LOOKUP(2,1/('Weekly Tracker'!$E$2:$E$766=$A800)/('Weekly Tracker'!$H$2:$H$766&lt;&gt;""),'Weekly Tracker'!$I$2:$I$766),"")</f>
        <v/>
      </c>
      <c r="J800" s="9">
        <f>IFERROR(LOOKUP(2,1/('Weekly Tracker'!$E$2:$E$766=$A800)/('Weekly Tracker'!$J$2:$J$766&lt;&gt;""),'Weekly Tracker'!$J$2:$J$766),"")</f>
        <v/>
      </c>
      <c r="K800" s="9">
        <f>IFERROR(LOOKUP(2,1/('Weekly Tracker'!$E$2:$E$766=$A800)/('Weekly Tracker'!$N$2:$N$766&lt;&gt;""),'Weekly Tracker'!$N$2:$N$766),"")</f>
        <v/>
      </c>
      <c r="L800" s="9">
        <f>IFERROR(LOOKUP(2,1/('Weekly Tracker'!$E$2:$E$766=$A800)/('Weekly Tracker'!$O$2:$O$766&lt;&gt;""),'Weekly Tracker'!$O$2:$O$766),"")</f>
        <v/>
      </c>
    </row>
    <row r="801">
      <c r="A801" s="9" t="inlineStr">
        <is>
          <t>Sam Mariappan FB</t>
        </is>
      </c>
      <c r="B801" s="9" t="inlineStr">
        <is>
          <t>9994373888</t>
        </is>
      </c>
      <c r="C801" s="9" t="n"/>
      <c r="D801" s="9" t="n"/>
      <c r="E801" s="9" t="n"/>
      <c r="F801" s="9">
        <f>IFERROR(LOOKUP(2,1/('Weekly Tracker'!$E$2:$E$766=$A801)/('Weekly Tracker'!$F$2:$F$766&lt;&gt;""),'Weekly Tracker'!$F$2:$F$766),"")</f>
        <v/>
      </c>
      <c r="G801" s="16">
        <f>IF(F801&lt;&gt;"",LOOKUP(2,1/('Weekly Tracker'!$E$2:$E$766=$A801)/('Weekly Tracker'!$F$2:$F$766&lt;&gt;""),'Weekly Tracker'!$G$2:$G$766),"")</f>
        <v/>
      </c>
      <c r="H801" s="9">
        <f>IFERROR(LOOKUP(2,1/('Weekly Tracker'!$E$2:$E$766=$A801)/('Weekly Tracker'!$H$2:$H$766&lt;&gt;""),'Weekly Tracker'!$H$2:$H$766),"")</f>
        <v/>
      </c>
      <c r="I801" s="16">
        <f>IF(H801&lt;&gt;"",LOOKUP(2,1/('Weekly Tracker'!$E$2:$E$766=$A801)/('Weekly Tracker'!$H$2:$H$766&lt;&gt;""),'Weekly Tracker'!$I$2:$I$766),"")</f>
        <v/>
      </c>
      <c r="J801" s="9">
        <f>IFERROR(LOOKUP(2,1/('Weekly Tracker'!$E$2:$E$766=$A801)/('Weekly Tracker'!$J$2:$J$766&lt;&gt;""),'Weekly Tracker'!$J$2:$J$766),"")</f>
        <v/>
      </c>
      <c r="K801" s="9">
        <f>IFERROR(LOOKUP(2,1/('Weekly Tracker'!$E$2:$E$766=$A801)/('Weekly Tracker'!$N$2:$N$766&lt;&gt;""),'Weekly Tracker'!$N$2:$N$766),"")</f>
        <v/>
      </c>
      <c r="L801" s="9">
        <f>IFERROR(LOOKUP(2,1/('Weekly Tracker'!$E$2:$E$766=$A801)/('Weekly Tracker'!$O$2:$O$766&lt;&gt;""),'Weekly Tracker'!$O$2:$O$766),"")</f>
        <v/>
      </c>
    </row>
    <row r="802">
      <c r="A802" s="9" t="inlineStr">
        <is>
          <t>Saravanan Grp Ucen</t>
        </is>
      </c>
      <c r="B802" s="9" t="inlineStr">
        <is>
          <t>917639046317</t>
        </is>
      </c>
      <c r="C802" s="9" t="n"/>
      <c r="D802" s="9" t="n"/>
      <c r="E802" s="9" t="n"/>
      <c r="F802" s="9">
        <f>IFERROR(LOOKUP(2,1/('Weekly Tracker'!$E$2:$E$766=$A802)/('Weekly Tracker'!$F$2:$F$766&lt;&gt;""),'Weekly Tracker'!$F$2:$F$766),"")</f>
        <v/>
      </c>
      <c r="G802" s="16">
        <f>IF(F802&lt;&gt;"",LOOKUP(2,1/('Weekly Tracker'!$E$2:$E$766=$A802)/('Weekly Tracker'!$F$2:$F$766&lt;&gt;""),'Weekly Tracker'!$G$2:$G$766),"")</f>
        <v/>
      </c>
      <c r="H802" s="9">
        <f>IFERROR(LOOKUP(2,1/('Weekly Tracker'!$E$2:$E$766=$A802)/('Weekly Tracker'!$H$2:$H$766&lt;&gt;""),'Weekly Tracker'!$H$2:$H$766),"")</f>
        <v/>
      </c>
      <c r="I802" s="16">
        <f>IF(H802&lt;&gt;"",LOOKUP(2,1/('Weekly Tracker'!$E$2:$E$766=$A802)/('Weekly Tracker'!$H$2:$H$766&lt;&gt;""),'Weekly Tracker'!$I$2:$I$766),"")</f>
        <v/>
      </c>
      <c r="J802" s="9">
        <f>IFERROR(LOOKUP(2,1/('Weekly Tracker'!$E$2:$E$766=$A802)/('Weekly Tracker'!$J$2:$J$766&lt;&gt;""),'Weekly Tracker'!$J$2:$J$766),"")</f>
        <v/>
      </c>
      <c r="K802" s="9">
        <f>IFERROR(LOOKUP(2,1/('Weekly Tracker'!$E$2:$E$766=$A802)/('Weekly Tracker'!$N$2:$N$766&lt;&gt;""),'Weekly Tracker'!$N$2:$N$766),"")</f>
        <v/>
      </c>
      <c r="L802" s="9">
        <f>IFERROR(LOOKUP(2,1/('Weekly Tracker'!$E$2:$E$766=$A802)/('Weekly Tracker'!$O$2:$O$766&lt;&gt;""),'Weekly Tracker'!$O$2:$O$766),"")</f>
        <v/>
      </c>
    </row>
    <row r="803">
      <c r="A803" s="9" t="inlineStr">
        <is>
          <t>Mani Civil</t>
        </is>
      </c>
      <c r="B803" s="9" t="inlineStr">
        <is>
          <t>918012768302</t>
        </is>
      </c>
      <c r="C803" s="9" t="n"/>
      <c r="D803" s="9" t="n"/>
      <c r="E803" s="9" t="n"/>
      <c r="F803" s="9">
        <f>IFERROR(LOOKUP(2,1/('Weekly Tracker'!$E$2:$E$766=$A803)/('Weekly Tracker'!$F$2:$F$766&lt;&gt;""),'Weekly Tracker'!$F$2:$F$766),"")</f>
        <v/>
      </c>
      <c r="G803" s="16">
        <f>IF(F803&lt;&gt;"",LOOKUP(2,1/('Weekly Tracker'!$E$2:$E$766=$A803)/('Weekly Tracker'!$F$2:$F$766&lt;&gt;""),'Weekly Tracker'!$G$2:$G$766),"")</f>
        <v/>
      </c>
      <c r="H803" s="9">
        <f>IFERROR(LOOKUP(2,1/('Weekly Tracker'!$E$2:$E$766=$A803)/('Weekly Tracker'!$H$2:$H$766&lt;&gt;""),'Weekly Tracker'!$H$2:$H$766),"")</f>
        <v/>
      </c>
      <c r="I803" s="16">
        <f>IF(H803&lt;&gt;"",LOOKUP(2,1/('Weekly Tracker'!$E$2:$E$766=$A803)/('Weekly Tracker'!$H$2:$H$766&lt;&gt;""),'Weekly Tracker'!$I$2:$I$766),"")</f>
        <v/>
      </c>
      <c r="J803" s="9">
        <f>IFERROR(LOOKUP(2,1/('Weekly Tracker'!$E$2:$E$766=$A803)/('Weekly Tracker'!$J$2:$J$766&lt;&gt;""),'Weekly Tracker'!$J$2:$J$766),"")</f>
        <v/>
      </c>
      <c r="K803" s="9">
        <f>IFERROR(LOOKUP(2,1/('Weekly Tracker'!$E$2:$E$766=$A803)/('Weekly Tracker'!$N$2:$N$766&lt;&gt;""),'Weekly Tracker'!$N$2:$N$766),"")</f>
        <v/>
      </c>
      <c r="L803" s="9">
        <f>IFERROR(LOOKUP(2,1/('Weekly Tracker'!$E$2:$E$766=$A803)/('Weekly Tracker'!$O$2:$O$766&lt;&gt;""),'Weekly Tracker'!$O$2:$O$766),"")</f>
        <v/>
      </c>
    </row>
    <row r="804">
      <c r="A804" s="9" t="inlineStr">
        <is>
          <t>Rahul Law Of Attraction</t>
        </is>
      </c>
      <c r="B804" s="9" t="inlineStr">
        <is>
          <t>917904124699</t>
        </is>
      </c>
      <c r="C804" s="9" t="n"/>
      <c r="D804" s="9" t="n"/>
      <c r="E804" s="9" t="n"/>
      <c r="F804" s="9">
        <f>IFERROR(LOOKUP(2,1/('Weekly Tracker'!$E$2:$E$766=$A804)/('Weekly Tracker'!$F$2:$F$766&lt;&gt;""),'Weekly Tracker'!$F$2:$F$766),"")</f>
        <v/>
      </c>
      <c r="G804" s="16">
        <f>IF(F804&lt;&gt;"",LOOKUP(2,1/('Weekly Tracker'!$E$2:$E$766=$A804)/('Weekly Tracker'!$F$2:$F$766&lt;&gt;""),'Weekly Tracker'!$G$2:$G$766),"")</f>
        <v/>
      </c>
      <c r="H804" s="9">
        <f>IFERROR(LOOKUP(2,1/('Weekly Tracker'!$E$2:$E$766=$A804)/('Weekly Tracker'!$H$2:$H$766&lt;&gt;""),'Weekly Tracker'!$H$2:$H$766),"")</f>
        <v/>
      </c>
      <c r="I804" s="16">
        <f>IF(H804&lt;&gt;"",LOOKUP(2,1/('Weekly Tracker'!$E$2:$E$766=$A804)/('Weekly Tracker'!$H$2:$H$766&lt;&gt;""),'Weekly Tracker'!$I$2:$I$766),"")</f>
        <v/>
      </c>
      <c r="J804" s="9">
        <f>IFERROR(LOOKUP(2,1/('Weekly Tracker'!$E$2:$E$766=$A804)/('Weekly Tracker'!$J$2:$J$766&lt;&gt;""),'Weekly Tracker'!$J$2:$J$766),"")</f>
        <v/>
      </c>
      <c r="K804" s="9">
        <f>IFERROR(LOOKUP(2,1/('Weekly Tracker'!$E$2:$E$766=$A804)/('Weekly Tracker'!$N$2:$N$766&lt;&gt;""),'Weekly Tracker'!$N$2:$N$766),"")</f>
        <v/>
      </c>
      <c r="L804" s="9">
        <f>IFERROR(LOOKUP(2,1/('Weekly Tracker'!$E$2:$E$766=$A804)/('Weekly Tracker'!$O$2:$O$766&lt;&gt;""),'Weekly Tracker'!$O$2:$O$766),"")</f>
        <v/>
      </c>
    </row>
    <row r="805">
      <c r="A805" s="9" t="inlineStr">
        <is>
          <t>Vicky.S LOA</t>
        </is>
      </c>
      <c r="B805" s="9" t="inlineStr">
        <is>
          <t>918124863787</t>
        </is>
      </c>
      <c r="C805" s="9" t="n"/>
      <c r="D805" s="9" t="n"/>
      <c r="E805" s="9" t="n"/>
      <c r="F805" s="9">
        <f>IFERROR(LOOKUP(2,1/('Weekly Tracker'!$E$2:$E$766=$A805)/('Weekly Tracker'!$F$2:$F$766&lt;&gt;""),'Weekly Tracker'!$F$2:$F$766),"")</f>
        <v/>
      </c>
      <c r="G805" s="16">
        <f>IF(F805&lt;&gt;"",LOOKUP(2,1/('Weekly Tracker'!$E$2:$E$766=$A805)/('Weekly Tracker'!$F$2:$F$766&lt;&gt;""),'Weekly Tracker'!$G$2:$G$766),"")</f>
        <v/>
      </c>
      <c r="H805" s="9">
        <f>IFERROR(LOOKUP(2,1/('Weekly Tracker'!$E$2:$E$766=$A805)/('Weekly Tracker'!$H$2:$H$766&lt;&gt;""),'Weekly Tracker'!$H$2:$H$766),"")</f>
        <v/>
      </c>
      <c r="I805" s="16">
        <f>IF(H805&lt;&gt;"",LOOKUP(2,1/('Weekly Tracker'!$E$2:$E$766=$A805)/('Weekly Tracker'!$H$2:$H$766&lt;&gt;""),'Weekly Tracker'!$I$2:$I$766),"")</f>
        <v/>
      </c>
      <c r="J805" s="9">
        <f>IFERROR(LOOKUP(2,1/('Weekly Tracker'!$E$2:$E$766=$A805)/('Weekly Tracker'!$J$2:$J$766&lt;&gt;""),'Weekly Tracker'!$J$2:$J$766),"")</f>
        <v/>
      </c>
      <c r="K805" s="9">
        <f>IFERROR(LOOKUP(2,1/('Weekly Tracker'!$E$2:$E$766=$A805)/('Weekly Tracker'!$N$2:$N$766&lt;&gt;""),'Weekly Tracker'!$N$2:$N$766),"")</f>
        <v/>
      </c>
      <c r="L805" s="9">
        <f>IFERROR(LOOKUP(2,1/('Weekly Tracker'!$E$2:$E$766=$A805)/('Weekly Tracker'!$O$2:$O$766&lt;&gt;""),'Weekly Tracker'!$O$2:$O$766),"")</f>
        <v/>
      </c>
    </row>
    <row r="806">
      <c r="A806" s="9" t="inlineStr">
        <is>
          <t>Mahendra Varman FB</t>
        </is>
      </c>
      <c r="B806" s="9" t="inlineStr">
        <is>
          <t>90431 21876, 9043121876</t>
        </is>
      </c>
      <c r="C806" s="9" t="n"/>
      <c r="D806" s="9" t="n"/>
      <c r="E806" s="9" t="n"/>
      <c r="F806" s="9">
        <f>IFERROR(LOOKUP(2,1/('Weekly Tracker'!$E$2:$E$766=$A806)/('Weekly Tracker'!$F$2:$F$766&lt;&gt;""),'Weekly Tracker'!$F$2:$F$766),"")</f>
        <v/>
      </c>
      <c r="G806" s="16">
        <f>IF(F806&lt;&gt;"",LOOKUP(2,1/('Weekly Tracker'!$E$2:$E$766=$A806)/('Weekly Tracker'!$F$2:$F$766&lt;&gt;""),'Weekly Tracker'!$G$2:$G$766),"")</f>
        <v/>
      </c>
      <c r="H806" s="9">
        <f>IFERROR(LOOKUP(2,1/('Weekly Tracker'!$E$2:$E$766=$A806)/('Weekly Tracker'!$H$2:$H$766&lt;&gt;""),'Weekly Tracker'!$H$2:$H$766),"")</f>
        <v/>
      </c>
      <c r="I806" s="16">
        <f>IF(H806&lt;&gt;"",LOOKUP(2,1/('Weekly Tracker'!$E$2:$E$766=$A806)/('Weekly Tracker'!$H$2:$H$766&lt;&gt;""),'Weekly Tracker'!$I$2:$I$766),"")</f>
        <v/>
      </c>
      <c r="J806" s="9">
        <f>IFERROR(LOOKUP(2,1/('Weekly Tracker'!$E$2:$E$766=$A806)/('Weekly Tracker'!$J$2:$J$766&lt;&gt;""),'Weekly Tracker'!$J$2:$J$766),"")</f>
        <v/>
      </c>
      <c r="K806" s="9">
        <f>IFERROR(LOOKUP(2,1/('Weekly Tracker'!$E$2:$E$766=$A806)/('Weekly Tracker'!$N$2:$N$766&lt;&gt;""),'Weekly Tracker'!$N$2:$N$766),"")</f>
        <v/>
      </c>
      <c r="L806" s="9">
        <f>IFERROR(LOOKUP(2,1/('Weekly Tracker'!$E$2:$E$766=$A806)/('Weekly Tracker'!$O$2:$O$766&lt;&gt;""),'Weekly Tracker'!$O$2:$O$766),"")</f>
        <v/>
      </c>
    </row>
    <row r="807">
      <c r="A807" s="9" t="inlineStr">
        <is>
          <t>Marriappan FB</t>
        </is>
      </c>
      <c r="B807" s="9" t="inlineStr">
        <is>
          <t>84891 34927</t>
        </is>
      </c>
      <c r="C807" s="9" t="n"/>
      <c r="D807" s="9" t="n"/>
      <c r="E807" s="9" t="n"/>
      <c r="F807" s="9">
        <f>IFERROR(LOOKUP(2,1/('Weekly Tracker'!$E$2:$E$766=$A807)/('Weekly Tracker'!$F$2:$F$766&lt;&gt;""),'Weekly Tracker'!$F$2:$F$766),"")</f>
        <v/>
      </c>
      <c r="G807" s="16">
        <f>IF(F807&lt;&gt;"",LOOKUP(2,1/('Weekly Tracker'!$E$2:$E$766=$A807)/('Weekly Tracker'!$F$2:$F$766&lt;&gt;""),'Weekly Tracker'!$G$2:$G$766),"")</f>
        <v/>
      </c>
      <c r="H807" s="9">
        <f>IFERROR(LOOKUP(2,1/('Weekly Tracker'!$E$2:$E$766=$A807)/('Weekly Tracker'!$H$2:$H$766&lt;&gt;""),'Weekly Tracker'!$H$2:$H$766),"")</f>
        <v/>
      </c>
      <c r="I807" s="16">
        <f>IF(H807&lt;&gt;"",LOOKUP(2,1/('Weekly Tracker'!$E$2:$E$766=$A807)/('Weekly Tracker'!$H$2:$H$766&lt;&gt;""),'Weekly Tracker'!$I$2:$I$766),"")</f>
        <v/>
      </c>
      <c r="J807" s="9">
        <f>IFERROR(LOOKUP(2,1/('Weekly Tracker'!$E$2:$E$766=$A807)/('Weekly Tracker'!$J$2:$J$766&lt;&gt;""),'Weekly Tracker'!$J$2:$J$766),"")</f>
        <v/>
      </c>
      <c r="K807" s="9">
        <f>IFERROR(LOOKUP(2,1/('Weekly Tracker'!$E$2:$E$766=$A807)/('Weekly Tracker'!$N$2:$N$766&lt;&gt;""),'Weekly Tracker'!$N$2:$N$766),"")</f>
        <v/>
      </c>
      <c r="L807" s="9">
        <f>IFERROR(LOOKUP(2,1/('Weekly Tracker'!$E$2:$E$766=$A807)/('Weekly Tracker'!$O$2:$O$766&lt;&gt;""),'Weekly Tracker'!$O$2:$O$766),"")</f>
        <v/>
      </c>
    </row>
    <row r="808">
      <c r="A808" s="9" t="inlineStr">
        <is>
          <t>Franklin GP</t>
        </is>
      </c>
      <c r="B808" s="9" t="inlineStr">
        <is>
          <t>918438009986</t>
        </is>
      </c>
      <c r="C808" s="9" t="n"/>
      <c r="D808" s="9" t="n"/>
      <c r="E808" s="9" t="n"/>
      <c r="F808" s="9">
        <f>IFERROR(LOOKUP(2,1/('Weekly Tracker'!$E$2:$E$766=$A808)/('Weekly Tracker'!$F$2:$F$766&lt;&gt;""),'Weekly Tracker'!$F$2:$F$766),"")</f>
        <v/>
      </c>
      <c r="G808" s="16">
        <f>IF(F808&lt;&gt;"",LOOKUP(2,1/('Weekly Tracker'!$E$2:$E$766=$A808)/('Weekly Tracker'!$F$2:$F$766&lt;&gt;""),'Weekly Tracker'!$G$2:$G$766),"")</f>
        <v/>
      </c>
      <c r="H808" s="9">
        <f>IFERROR(LOOKUP(2,1/('Weekly Tracker'!$E$2:$E$766=$A808)/('Weekly Tracker'!$H$2:$H$766&lt;&gt;""),'Weekly Tracker'!$H$2:$H$766),"")</f>
        <v/>
      </c>
      <c r="I808" s="16">
        <f>IF(H808&lt;&gt;"",LOOKUP(2,1/('Weekly Tracker'!$E$2:$E$766=$A808)/('Weekly Tracker'!$H$2:$H$766&lt;&gt;""),'Weekly Tracker'!$I$2:$I$766),"")</f>
        <v/>
      </c>
      <c r="J808" s="9">
        <f>IFERROR(LOOKUP(2,1/('Weekly Tracker'!$E$2:$E$766=$A808)/('Weekly Tracker'!$J$2:$J$766&lt;&gt;""),'Weekly Tracker'!$J$2:$J$766),"")</f>
        <v/>
      </c>
      <c r="K808" s="9">
        <f>IFERROR(LOOKUP(2,1/('Weekly Tracker'!$E$2:$E$766=$A808)/('Weekly Tracker'!$N$2:$N$766&lt;&gt;""),'Weekly Tracker'!$N$2:$N$766),"")</f>
        <v/>
      </c>
      <c r="L808" s="9">
        <f>IFERROR(LOOKUP(2,1/('Weekly Tracker'!$E$2:$E$766=$A808)/('Weekly Tracker'!$O$2:$O$766&lt;&gt;""),'Weekly Tracker'!$O$2:$O$766),"")</f>
        <v/>
      </c>
    </row>
    <row r="809">
      <c r="A809" s="9" t="inlineStr">
        <is>
          <t>Guru Nathan FB</t>
        </is>
      </c>
      <c r="B809" s="9" t="inlineStr">
        <is>
          <t>+91 7624-888691</t>
        </is>
      </c>
      <c r="C809" s="9" t="n"/>
      <c r="D809" s="9" t="n"/>
      <c r="E809" s="9" t="n"/>
      <c r="F809" s="9">
        <f>IFERROR(LOOKUP(2,1/('Weekly Tracker'!$E$2:$E$766=$A809)/('Weekly Tracker'!$F$2:$F$766&lt;&gt;""),'Weekly Tracker'!$F$2:$F$766),"")</f>
        <v/>
      </c>
      <c r="G809" s="16">
        <f>IF(F809&lt;&gt;"",LOOKUP(2,1/('Weekly Tracker'!$E$2:$E$766=$A809)/('Weekly Tracker'!$F$2:$F$766&lt;&gt;""),'Weekly Tracker'!$G$2:$G$766),"")</f>
        <v/>
      </c>
      <c r="H809" s="9">
        <f>IFERROR(LOOKUP(2,1/('Weekly Tracker'!$E$2:$E$766=$A809)/('Weekly Tracker'!$H$2:$H$766&lt;&gt;""),'Weekly Tracker'!$H$2:$H$766),"")</f>
        <v/>
      </c>
      <c r="I809" s="16">
        <f>IF(H809&lt;&gt;"",LOOKUP(2,1/('Weekly Tracker'!$E$2:$E$766=$A809)/('Weekly Tracker'!$H$2:$H$766&lt;&gt;""),'Weekly Tracker'!$I$2:$I$766),"")</f>
        <v/>
      </c>
      <c r="J809" s="9">
        <f>IFERROR(LOOKUP(2,1/('Weekly Tracker'!$E$2:$E$766=$A809)/('Weekly Tracker'!$J$2:$J$766&lt;&gt;""),'Weekly Tracker'!$J$2:$J$766),"")</f>
        <v/>
      </c>
      <c r="K809" s="9">
        <f>IFERROR(LOOKUP(2,1/('Weekly Tracker'!$E$2:$E$766=$A809)/('Weekly Tracker'!$N$2:$N$766&lt;&gt;""),'Weekly Tracker'!$N$2:$N$766),"")</f>
        <v/>
      </c>
      <c r="L809" s="9">
        <f>IFERROR(LOOKUP(2,1/('Weekly Tracker'!$E$2:$E$766=$A809)/('Weekly Tracker'!$O$2:$O$766&lt;&gt;""),'Weekly Tracker'!$O$2:$O$766),"")</f>
        <v/>
      </c>
    </row>
    <row r="810">
      <c r="A810" s="9" t="inlineStr">
        <is>
          <t>Praveen Kumar Ambai</t>
        </is>
      </c>
      <c r="B810" s="9" t="inlineStr">
        <is>
          <t>8610008384</t>
        </is>
      </c>
      <c r="C810" s="9" t="n"/>
      <c r="D810" s="9" t="n"/>
      <c r="E810" s="9" t="n"/>
      <c r="F810" s="9">
        <f>IFERROR(LOOKUP(2,1/('Weekly Tracker'!$E$2:$E$766=$A810)/('Weekly Tracker'!$F$2:$F$766&lt;&gt;""),'Weekly Tracker'!$F$2:$F$766),"")</f>
        <v/>
      </c>
      <c r="G810" s="16">
        <f>IF(F810&lt;&gt;"",LOOKUP(2,1/('Weekly Tracker'!$E$2:$E$766=$A810)/('Weekly Tracker'!$F$2:$F$766&lt;&gt;""),'Weekly Tracker'!$G$2:$G$766),"")</f>
        <v/>
      </c>
      <c r="H810" s="9">
        <f>IFERROR(LOOKUP(2,1/('Weekly Tracker'!$E$2:$E$766=$A810)/('Weekly Tracker'!$H$2:$H$766&lt;&gt;""),'Weekly Tracker'!$H$2:$H$766),"")</f>
        <v/>
      </c>
      <c r="I810" s="16">
        <f>IF(H810&lt;&gt;"",LOOKUP(2,1/('Weekly Tracker'!$E$2:$E$766=$A810)/('Weekly Tracker'!$H$2:$H$766&lt;&gt;""),'Weekly Tracker'!$I$2:$I$766),"")</f>
        <v/>
      </c>
      <c r="J810" s="9">
        <f>IFERROR(LOOKUP(2,1/('Weekly Tracker'!$E$2:$E$766=$A810)/('Weekly Tracker'!$J$2:$J$766&lt;&gt;""),'Weekly Tracker'!$J$2:$J$766),"")</f>
        <v/>
      </c>
      <c r="K810" s="9">
        <f>IFERROR(LOOKUP(2,1/('Weekly Tracker'!$E$2:$E$766=$A810)/('Weekly Tracker'!$N$2:$N$766&lt;&gt;""),'Weekly Tracker'!$N$2:$N$766),"")</f>
        <v/>
      </c>
      <c r="L810" s="9">
        <f>IFERROR(LOOKUP(2,1/('Weekly Tracker'!$E$2:$E$766=$A810)/('Weekly Tracker'!$O$2:$O$766&lt;&gt;""),'Weekly Tracker'!$O$2:$O$766),"")</f>
        <v/>
      </c>
    </row>
    <row r="811">
      <c r="A811" s="9" t="inlineStr">
        <is>
          <t>Raj Govinth Urja</t>
        </is>
      </c>
      <c r="B811" s="9" t="inlineStr">
        <is>
          <t>919080980838</t>
        </is>
      </c>
      <c r="C811" s="9" t="n"/>
      <c r="D811" s="9" t="n"/>
      <c r="E811" s="9" t="n"/>
      <c r="F811" s="9">
        <f>IFERROR(LOOKUP(2,1/('Weekly Tracker'!$E$2:$E$766=$A811)/('Weekly Tracker'!$F$2:$F$766&lt;&gt;""),'Weekly Tracker'!$F$2:$F$766),"")</f>
        <v/>
      </c>
      <c r="G811" s="16">
        <f>IF(F811&lt;&gt;"",LOOKUP(2,1/('Weekly Tracker'!$E$2:$E$766=$A811)/('Weekly Tracker'!$F$2:$F$766&lt;&gt;""),'Weekly Tracker'!$G$2:$G$766),"")</f>
        <v/>
      </c>
      <c r="H811" s="9">
        <f>IFERROR(LOOKUP(2,1/('Weekly Tracker'!$E$2:$E$766=$A811)/('Weekly Tracker'!$H$2:$H$766&lt;&gt;""),'Weekly Tracker'!$H$2:$H$766),"")</f>
        <v/>
      </c>
      <c r="I811" s="16">
        <f>IF(H811&lt;&gt;"",LOOKUP(2,1/('Weekly Tracker'!$E$2:$E$766=$A811)/('Weekly Tracker'!$H$2:$H$766&lt;&gt;""),'Weekly Tracker'!$I$2:$I$766),"")</f>
        <v/>
      </c>
      <c r="J811" s="9">
        <f>IFERROR(LOOKUP(2,1/('Weekly Tracker'!$E$2:$E$766=$A811)/('Weekly Tracker'!$J$2:$J$766&lt;&gt;""),'Weekly Tracker'!$J$2:$J$766),"")</f>
        <v/>
      </c>
      <c r="K811" s="9">
        <f>IFERROR(LOOKUP(2,1/('Weekly Tracker'!$E$2:$E$766=$A811)/('Weekly Tracker'!$N$2:$N$766&lt;&gt;""),'Weekly Tracker'!$N$2:$N$766),"")</f>
        <v/>
      </c>
      <c r="L811" s="9">
        <f>IFERROR(LOOKUP(2,1/('Weekly Tracker'!$E$2:$E$766=$A811)/('Weekly Tracker'!$O$2:$O$766&lt;&gt;""),'Weekly Tracker'!$O$2:$O$766),"")</f>
        <v/>
      </c>
    </row>
    <row r="812">
      <c r="A812" s="9" t="inlineStr">
        <is>
          <t>Veera Kesavan FB</t>
        </is>
      </c>
      <c r="B812" s="9" t="inlineStr">
        <is>
          <t>9597441905</t>
        </is>
      </c>
      <c r="C812" s="9" t="n"/>
      <c r="D812" s="9" t="n"/>
      <c r="E812" s="9" t="n"/>
      <c r="F812" s="9">
        <f>IFERROR(LOOKUP(2,1/('Weekly Tracker'!$E$2:$E$766=$A812)/('Weekly Tracker'!$F$2:$F$766&lt;&gt;""),'Weekly Tracker'!$F$2:$F$766),"")</f>
        <v/>
      </c>
      <c r="G812" s="16">
        <f>IF(F812&lt;&gt;"",LOOKUP(2,1/('Weekly Tracker'!$E$2:$E$766=$A812)/('Weekly Tracker'!$F$2:$F$766&lt;&gt;""),'Weekly Tracker'!$G$2:$G$766),"")</f>
        <v/>
      </c>
      <c r="H812" s="9">
        <f>IFERROR(LOOKUP(2,1/('Weekly Tracker'!$E$2:$E$766=$A812)/('Weekly Tracker'!$H$2:$H$766&lt;&gt;""),'Weekly Tracker'!$H$2:$H$766),"")</f>
        <v/>
      </c>
      <c r="I812" s="16">
        <f>IF(H812&lt;&gt;"",LOOKUP(2,1/('Weekly Tracker'!$E$2:$E$766=$A812)/('Weekly Tracker'!$H$2:$H$766&lt;&gt;""),'Weekly Tracker'!$I$2:$I$766),"")</f>
        <v/>
      </c>
      <c r="J812" s="9">
        <f>IFERROR(LOOKUP(2,1/('Weekly Tracker'!$E$2:$E$766=$A812)/('Weekly Tracker'!$J$2:$J$766&lt;&gt;""),'Weekly Tracker'!$J$2:$J$766),"")</f>
        <v/>
      </c>
      <c r="K812" s="9">
        <f>IFERROR(LOOKUP(2,1/('Weekly Tracker'!$E$2:$E$766=$A812)/('Weekly Tracker'!$N$2:$N$766&lt;&gt;""),'Weekly Tracker'!$N$2:$N$766),"")</f>
        <v/>
      </c>
      <c r="L812" s="9">
        <f>IFERROR(LOOKUP(2,1/('Weekly Tracker'!$E$2:$E$766=$A812)/('Weekly Tracker'!$O$2:$O$766&lt;&gt;""),'Weekly Tracker'!$O$2:$O$766),"")</f>
        <v/>
      </c>
    </row>
    <row r="813">
      <c r="A813" s="9" t="inlineStr">
        <is>
          <t>Sakthi Sakthi FB</t>
        </is>
      </c>
      <c r="B813" s="9" t="inlineStr">
        <is>
          <t>919080401143, 919500398314</t>
        </is>
      </c>
      <c r="C813" s="9" t="n"/>
      <c r="D813" s="9" t="n"/>
      <c r="E813" s="9" t="n"/>
      <c r="F813" s="9">
        <f>IFERROR(LOOKUP(2,1/('Weekly Tracker'!$E$2:$E$766=$A813)/('Weekly Tracker'!$F$2:$F$766&lt;&gt;""),'Weekly Tracker'!$F$2:$F$766),"")</f>
        <v/>
      </c>
      <c r="G813" s="16">
        <f>IF(F813&lt;&gt;"",LOOKUP(2,1/('Weekly Tracker'!$E$2:$E$766=$A813)/('Weekly Tracker'!$F$2:$F$766&lt;&gt;""),'Weekly Tracker'!$G$2:$G$766),"")</f>
        <v/>
      </c>
      <c r="H813" s="9">
        <f>IFERROR(LOOKUP(2,1/('Weekly Tracker'!$E$2:$E$766=$A813)/('Weekly Tracker'!$H$2:$H$766&lt;&gt;""),'Weekly Tracker'!$H$2:$H$766),"")</f>
        <v/>
      </c>
      <c r="I813" s="16">
        <f>IF(H813&lt;&gt;"",LOOKUP(2,1/('Weekly Tracker'!$E$2:$E$766=$A813)/('Weekly Tracker'!$H$2:$H$766&lt;&gt;""),'Weekly Tracker'!$I$2:$I$766),"")</f>
        <v/>
      </c>
      <c r="J813" s="9">
        <f>IFERROR(LOOKUP(2,1/('Weekly Tracker'!$E$2:$E$766=$A813)/('Weekly Tracker'!$J$2:$J$766&lt;&gt;""),'Weekly Tracker'!$J$2:$J$766),"")</f>
        <v/>
      </c>
      <c r="K813" s="9">
        <f>IFERROR(LOOKUP(2,1/('Weekly Tracker'!$E$2:$E$766=$A813)/('Weekly Tracker'!$N$2:$N$766&lt;&gt;""),'Weekly Tracker'!$N$2:$N$766),"")</f>
        <v/>
      </c>
      <c r="L813" s="9">
        <f>IFERROR(LOOKUP(2,1/('Weekly Tracker'!$E$2:$E$766=$A813)/('Weekly Tracker'!$O$2:$O$766&lt;&gt;""),'Weekly Tracker'!$O$2:$O$766),"")</f>
        <v/>
      </c>
    </row>
    <row r="814">
      <c r="A814" s="9" t="inlineStr">
        <is>
          <t>Bala Murugan - Hit Urjanet</t>
        </is>
      </c>
      <c r="B814" s="9" t="inlineStr">
        <is>
          <t>917358073107, 8489406112</t>
        </is>
      </c>
      <c r="C814" s="9" t="n"/>
      <c r="D814" s="9" t="n"/>
      <c r="E814" s="9" t="n"/>
      <c r="F814" s="9">
        <f>IFERROR(LOOKUP(2,1/('Weekly Tracker'!$E$2:$E$766=$A814)/('Weekly Tracker'!$F$2:$F$766&lt;&gt;""),'Weekly Tracker'!$F$2:$F$766),"")</f>
        <v/>
      </c>
      <c r="G814" s="16">
        <f>IF(F814&lt;&gt;"",LOOKUP(2,1/('Weekly Tracker'!$E$2:$E$766=$A814)/('Weekly Tracker'!$F$2:$F$766&lt;&gt;""),'Weekly Tracker'!$G$2:$G$766),"")</f>
        <v/>
      </c>
      <c r="H814" s="9">
        <f>IFERROR(LOOKUP(2,1/('Weekly Tracker'!$E$2:$E$766=$A814)/('Weekly Tracker'!$H$2:$H$766&lt;&gt;""),'Weekly Tracker'!$H$2:$H$766),"")</f>
        <v/>
      </c>
      <c r="I814" s="16">
        <f>IF(H814&lt;&gt;"",LOOKUP(2,1/('Weekly Tracker'!$E$2:$E$766=$A814)/('Weekly Tracker'!$H$2:$H$766&lt;&gt;""),'Weekly Tracker'!$I$2:$I$766),"")</f>
        <v/>
      </c>
      <c r="J814" s="9">
        <f>IFERROR(LOOKUP(2,1/('Weekly Tracker'!$E$2:$E$766=$A814)/('Weekly Tracker'!$J$2:$J$766&lt;&gt;""),'Weekly Tracker'!$J$2:$J$766),"")</f>
        <v/>
      </c>
      <c r="K814" s="9">
        <f>IFERROR(LOOKUP(2,1/('Weekly Tracker'!$E$2:$E$766=$A814)/('Weekly Tracker'!$N$2:$N$766&lt;&gt;""),'Weekly Tracker'!$N$2:$N$766),"")</f>
        <v/>
      </c>
      <c r="L814" s="9">
        <f>IFERROR(LOOKUP(2,1/('Weekly Tracker'!$E$2:$E$766=$A814)/('Weekly Tracker'!$O$2:$O$766&lt;&gt;""),'Weekly Tracker'!$O$2:$O$766),"")</f>
        <v/>
      </c>
    </row>
    <row r="815">
      <c r="A815" s="9" t="inlineStr">
        <is>
          <t>Manikandan Shanmugasundaram Infy</t>
        </is>
      </c>
      <c r="B815" s="9" t="inlineStr">
        <is>
          <t>+91 82208 57364</t>
        </is>
      </c>
      <c r="C815" s="9" t="n"/>
      <c r="D815" s="9" t="n"/>
      <c r="E815" s="9" t="inlineStr">
        <is>
          <t>Tamil Nadu, India</t>
        </is>
      </c>
      <c r="F815" s="9">
        <f>IFERROR(LOOKUP(2,1/('Weekly Tracker'!$E$2:$E$766=$A815)/('Weekly Tracker'!$F$2:$F$766&lt;&gt;""),'Weekly Tracker'!$F$2:$F$766),"")</f>
        <v/>
      </c>
      <c r="G815" s="16">
        <f>IF(F815&lt;&gt;"",LOOKUP(2,1/('Weekly Tracker'!$E$2:$E$766=$A815)/('Weekly Tracker'!$F$2:$F$766&lt;&gt;""),'Weekly Tracker'!$G$2:$G$766),"")</f>
        <v/>
      </c>
      <c r="H815" s="9">
        <f>IFERROR(LOOKUP(2,1/('Weekly Tracker'!$E$2:$E$766=$A815)/('Weekly Tracker'!$H$2:$H$766&lt;&gt;""),'Weekly Tracker'!$H$2:$H$766),"")</f>
        <v/>
      </c>
      <c r="I815" s="16">
        <f>IF(H815&lt;&gt;"",LOOKUP(2,1/('Weekly Tracker'!$E$2:$E$766=$A815)/('Weekly Tracker'!$H$2:$H$766&lt;&gt;""),'Weekly Tracker'!$I$2:$I$766),"")</f>
        <v/>
      </c>
      <c r="J815" s="9">
        <f>IFERROR(LOOKUP(2,1/('Weekly Tracker'!$E$2:$E$766=$A815)/('Weekly Tracker'!$J$2:$J$766&lt;&gt;""),'Weekly Tracker'!$J$2:$J$766),"")</f>
        <v/>
      </c>
      <c r="K815" s="9">
        <f>IFERROR(LOOKUP(2,1/('Weekly Tracker'!$E$2:$E$766=$A815)/('Weekly Tracker'!$N$2:$N$766&lt;&gt;""),'Weekly Tracker'!$N$2:$N$766),"")</f>
        <v/>
      </c>
      <c r="L815" s="9">
        <f>IFERROR(LOOKUP(2,1/('Weekly Tracker'!$E$2:$E$766=$A815)/('Weekly Tracker'!$O$2:$O$766&lt;&gt;""),'Weekly Tracker'!$O$2:$O$766),"")</f>
        <v/>
      </c>
    </row>
    <row r="816">
      <c r="A816" s="9" t="inlineStr">
        <is>
          <t>Ramya Loan Sundar</t>
        </is>
      </c>
      <c r="B816" s="9" t="inlineStr">
        <is>
          <t>+91 93727 40640</t>
        </is>
      </c>
      <c r="C816" s="9" t="n"/>
      <c r="D816" s="9" t="n"/>
      <c r="E816" s="9" t="n"/>
      <c r="F816" s="9">
        <f>IFERROR(LOOKUP(2,1/('Weekly Tracker'!$E$2:$E$766=$A816)/('Weekly Tracker'!$F$2:$F$766&lt;&gt;""),'Weekly Tracker'!$F$2:$F$766),"")</f>
        <v/>
      </c>
      <c r="G816" s="16">
        <f>IF(F816&lt;&gt;"",LOOKUP(2,1/('Weekly Tracker'!$E$2:$E$766=$A816)/('Weekly Tracker'!$F$2:$F$766&lt;&gt;""),'Weekly Tracker'!$G$2:$G$766),"")</f>
        <v/>
      </c>
      <c r="H816" s="9">
        <f>IFERROR(LOOKUP(2,1/('Weekly Tracker'!$E$2:$E$766=$A816)/('Weekly Tracker'!$H$2:$H$766&lt;&gt;""),'Weekly Tracker'!$H$2:$H$766),"")</f>
        <v/>
      </c>
      <c r="I816" s="16">
        <f>IF(H816&lt;&gt;"",LOOKUP(2,1/('Weekly Tracker'!$E$2:$E$766=$A816)/('Weekly Tracker'!$H$2:$H$766&lt;&gt;""),'Weekly Tracker'!$I$2:$I$766),"")</f>
        <v/>
      </c>
      <c r="J816" s="9">
        <f>IFERROR(LOOKUP(2,1/('Weekly Tracker'!$E$2:$E$766=$A816)/('Weekly Tracker'!$J$2:$J$766&lt;&gt;""),'Weekly Tracker'!$J$2:$J$766),"")</f>
        <v/>
      </c>
      <c r="K816" s="9">
        <f>IFERROR(LOOKUP(2,1/('Weekly Tracker'!$E$2:$E$766=$A816)/('Weekly Tracker'!$N$2:$N$766&lt;&gt;""),'Weekly Tracker'!$N$2:$N$766),"")</f>
        <v/>
      </c>
      <c r="L816" s="9">
        <f>IFERROR(LOOKUP(2,1/('Weekly Tracker'!$E$2:$E$766=$A816)/('Weekly Tracker'!$O$2:$O$766&lt;&gt;""),'Weekly Tracker'!$O$2:$O$766),"")</f>
        <v/>
      </c>
    </row>
    <row r="817">
      <c r="A817" s="9" t="inlineStr">
        <is>
          <t>SaravanaGanesh</t>
        </is>
      </c>
      <c r="B817" s="9" t="inlineStr">
        <is>
          <t>918148168764</t>
        </is>
      </c>
      <c r="C817" s="9" t="n"/>
      <c r="D817" s="9" t="n"/>
      <c r="E817" s="9" t="n"/>
      <c r="F817" s="9">
        <f>IFERROR(LOOKUP(2,1/('Weekly Tracker'!$E$2:$E$766=$A817)/('Weekly Tracker'!$F$2:$F$766&lt;&gt;""),'Weekly Tracker'!$F$2:$F$766),"")</f>
        <v/>
      </c>
      <c r="G817" s="16">
        <f>IF(F817&lt;&gt;"",LOOKUP(2,1/('Weekly Tracker'!$E$2:$E$766=$A817)/('Weekly Tracker'!$F$2:$F$766&lt;&gt;""),'Weekly Tracker'!$G$2:$G$766),"")</f>
        <v/>
      </c>
      <c r="H817" s="9">
        <f>IFERROR(LOOKUP(2,1/('Weekly Tracker'!$E$2:$E$766=$A817)/('Weekly Tracker'!$H$2:$H$766&lt;&gt;""),'Weekly Tracker'!$H$2:$H$766),"")</f>
        <v/>
      </c>
      <c r="I817" s="16">
        <f>IF(H817&lt;&gt;"",LOOKUP(2,1/('Weekly Tracker'!$E$2:$E$766=$A817)/('Weekly Tracker'!$H$2:$H$766&lt;&gt;""),'Weekly Tracker'!$I$2:$I$766),"")</f>
        <v/>
      </c>
      <c r="J817" s="9">
        <f>IFERROR(LOOKUP(2,1/('Weekly Tracker'!$E$2:$E$766=$A817)/('Weekly Tracker'!$J$2:$J$766&lt;&gt;""),'Weekly Tracker'!$J$2:$J$766),"")</f>
        <v/>
      </c>
      <c r="K817" s="9">
        <f>IFERROR(LOOKUP(2,1/('Weekly Tracker'!$E$2:$E$766=$A817)/('Weekly Tracker'!$N$2:$N$766&lt;&gt;""),'Weekly Tracker'!$N$2:$N$766),"")</f>
        <v/>
      </c>
      <c r="L817" s="9">
        <f>IFERROR(LOOKUP(2,1/('Weekly Tracker'!$E$2:$E$766=$A817)/('Weekly Tracker'!$O$2:$O$766&lt;&gt;""),'Weekly Tracker'!$O$2:$O$766),"")</f>
        <v/>
      </c>
    </row>
    <row r="818">
      <c r="A818" s="9" t="inlineStr">
        <is>
          <t>Gnana Jeyam Urja</t>
        </is>
      </c>
      <c r="B818" s="9" t="inlineStr">
        <is>
          <t>919840371340</t>
        </is>
      </c>
      <c r="C818" s="9" t="n"/>
      <c r="D818" s="9" t="n"/>
      <c r="E818" s="9" t="n"/>
      <c r="F818" s="9">
        <f>IFERROR(LOOKUP(2,1/('Weekly Tracker'!$E$2:$E$766=$A818)/('Weekly Tracker'!$F$2:$F$766&lt;&gt;""),'Weekly Tracker'!$F$2:$F$766),"")</f>
        <v/>
      </c>
      <c r="G818" s="16">
        <f>IF(F818&lt;&gt;"",LOOKUP(2,1/('Weekly Tracker'!$E$2:$E$766=$A818)/('Weekly Tracker'!$F$2:$F$766&lt;&gt;""),'Weekly Tracker'!$G$2:$G$766),"")</f>
        <v/>
      </c>
      <c r="H818" s="9">
        <f>IFERROR(LOOKUP(2,1/('Weekly Tracker'!$E$2:$E$766=$A818)/('Weekly Tracker'!$H$2:$H$766&lt;&gt;""),'Weekly Tracker'!$H$2:$H$766),"")</f>
        <v/>
      </c>
      <c r="I818" s="16">
        <f>IF(H818&lt;&gt;"",LOOKUP(2,1/('Weekly Tracker'!$E$2:$E$766=$A818)/('Weekly Tracker'!$H$2:$H$766&lt;&gt;""),'Weekly Tracker'!$I$2:$I$766),"")</f>
        <v/>
      </c>
      <c r="J818" s="9">
        <f>IFERROR(LOOKUP(2,1/('Weekly Tracker'!$E$2:$E$766=$A818)/('Weekly Tracker'!$J$2:$J$766&lt;&gt;""),'Weekly Tracker'!$J$2:$J$766),"")</f>
        <v/>
      </c>
      <c r="K818" s="9">
        <f>IFERROR(LOOKUP(2,1/('Weekly Tracker'!$E$2:$E$766=$A818)/('Weekly Tracker'!$N$2:$N$766&lt;&gt;""),'Weekly Tracker'!$N$2:$N$766),"")</f>
        <v/>
      </c>
      <c r="L818" s="9">
        <f>IFERROR(LOOKUP(2,1/('Weekly Tracker'!$E$2:$E$766=$A818)/('Weekly Tracker'!$O$2:$O$766&lt;&gt;""),'Weekly Tracker'!$O$2:$O$766),"")</f>
        <v/>
      </c>
    </row>
    <row r="819">
      <c r="A819" s="9" t="inlineStr">
        <is>
          <t>Rejin Grp Ucen</t>
        </is>
      </c>
      <c r="B819" s="9" t="inlineStr">
        <is>
          <t>919843433977</t>
        </is>
      </c>
      <c r="C819" s="9" t="n"/>
      <c r="D819" s="9" t="n"/>
      <c r="E819" s="9" t="n"/>
      <c r="F819" s="9">
        <f>IFERROR(LOOKUP(2,1/('Weekly Tracker'!$E$2:$E$766=$A819)/('Weekly Tracker'!$F$2:$F$766&lt;&gt;""),'Weekly Tracker'!$F$2:$F$766),"")</f>
        <v/>
      </c>
      <c r="G819" s="16">
        <f>IF(F819&lt;&gt;"",LOOKUP(2,1/('Weekly Tracker'!$E$2:$E$766=$A819)/('Weekly Tracker'!$F$2:$F$766&lt;&gt;""),'Weekly Tracker'!$G$2:$G$766),"")</f>
        <v/>
      </c>
      <c r="H819" s="9">
        <f>IFERROR(LOOKUP(2,1/('Weekly Tracker'!$E$2:$E$766=$A819)/('Weekly Tracker'!$H$2:$H$766&lt;&gt;""),'Weekly Tracker'!$H$2:$H$766),"")</f>
        <v/>
      </c>
      <c r="I819" s="16">
        <f>IF(H819&lt;&gt;"",LOOKUP(2,1/('Weekly Tracker'!$E$2:$E$766=$A819)/('Weekly Tracker'!$H$2:$H$766&lt;&gt;""),'Weekly Tracker'!$I$2:$I$766),"")</f>
        <v/>
      </c>
      <c r="J819" s="9">
        <f>IFERROR(LOOKUP(2,1/('Weekly Tracker'!$E$2:$E$766=$A819)/('Weekly Tracker'!$J$2:$J$766&lt;&gt;""),'Weekly Tracker'!$J$2:$J$766),"")</f>
        <v/>
      </c>
      <c r="K819" s="9">
        <f>IFERROR(LOOKUP(2,1/('Weekly Tracker'!$E$2:$E$766=$A819)/('Weekly Tracker'!$N$2:$N$766&lt;&gt;""),'Weekly Tracker'!$N$2:$N$766),"")</f>
        <v/>
      </c>
      <c r="L819" s="9">
        <f>IFERROR(LOOKUP(2,1/('Weekly Tracker'!$E$2:$E$766=$A819)/('Weekly Tracker'!$O$2:$O$766&lt;&gt;""),'Weekly Tracker'!$O$2:$O$766),"")</f>
        <v/>
      </c>
    </row>
    <row r="820">
      <c r="A820" s="9" t="inlineStr">
        <is>
          <t>D4v Blood Support</t>
        </is>
      </c>
      <c r="B820" s="9" t="inlineStr">
        <is>
          <t>7448888064</t>
        </is>
      </c>
      <c r="C820" s="9" t="n"/>
      <c r="D820" s="9" t="n"/>
      <c r="E820" s="9" t="n"/>
      <c r="F820" s="9">
        <f>IFERROR(LOOKUP(2,1/('Weekly Tracker'!$E$2:$E$766=$A820)/('Weekly Tracker'!$F$2:$F$766&lt;&gt;""),'Weekly Tracker'!$F$2:$F$766),"")</f>
        <v/>
      </c>
      <c r="G820" s="16">
        <f>IF(F820&lt;&gt;"",LOOKUP(2,1/('Weekly Tracker'!$E$2:$E$766=$A820)/('Weekly Tracker'!$F$2:$F$766&lt;&gt;""),'Weekly Tracker'!$G$2:$G$766),"")</f>
        <v/>
      </c>
      <c r="H820" s="9">
        <f>IFERROR(LOOKUP(2,1/('Weekly Tracker'!$E$2:$E$766=$A820)/('Weekly Tracker'!$H$2:$H$766&lt;&gt;""),'Weekly Tracker'!$H$2:$H$766),"")</f>
        <v/>
      </c>
      <c r="I820" s="16">
        <f>IF(H820&lt;&gt;"",LOOKUP(2,1/('Weekly Tracker'!$E$2:$E$766=$A820)/('Weekly Tracker'!$H$2:$H$766&lt;&gt;""),'Weekly Tracker'!$I$2:$I$766),"")</f>
        <v/>
      </c>
      <c r="J820" s="9">
        <f>IFERROR(LOOKUP(2,1/('Weekly Tracker'!$E$2:$E$766=$A820)/('Weekly Tracker'!$J$2:$J$766&lt;&gt;""),'Weekly Tracker'!$J$2:$J$766),"")</f>
        <v/>
      </c>
      <c r="K820" s="9">
        <f>IFERROR(LOOKUP(2,1/('Weekly Tracker'!$E$2:$E$766=$A820)/('Weekly Tracker'!$N$2:$N$766&lt;&gt;""),'Weekly Tracker'!$N$2:$N$766),"")</f>
        <v/>
      </c>
      <c r="L820" s="9">
        <f>IFERROR(LOOKUP(2,1/('Weekly Tracker'!$E$2:$E$766=$A820)/('Weekly Tracker'!$O$2:$O$766&lt;&gt;""),'Weekly Tracker'!$O$2:$O$766),"")</f>
        <v/>
      </c>
    </row>
    <row r="821">
      <c r="A821" s="9" t="inlineStr">
        <is>
          <t>Thenmozhi Urja</t>
        </is>
      </c>
      <c r="B821" s="9" t="inlineStr">
        <is>
          <t>919940422132</t>
        </is>
      </c>
      <c r="C821" s="9" t="n"/>
      <c r="D821" s="9" t="n"/>
      <c r="E821" s="9" t="n"/>
      <c r="F821" s="9">
        <f>IFERROR(LOOKUP(2,1/('Weekly Tracker'!$E$2:$E$766=$A821)/('Weekly Tracker'!$F$2:$F$766&lt;&gt;""),'Weekly Tracker'!$F$2:$F$766),"")</f>
        <v/>
      </c>
      <c r="G821" s="16">
        <f>IF(F821&lt;&gt;"",LOOKUP(2,1/('Weekly Tracker'!$E$2:$E$766=$A821)/('Weekly Tracker'!$F$2:$F$766&lt;&gt;""),'Weekly Tracker'!$G$2:$G$766),"")</f>
        <v/>
      </c>
      <c r="H821" s="9">
        <f>IFERROR(LOOKUP(2,1/('Weekly Tracker'!$E$2:$E$766=$A821)/('Weekly Tracker'!$H$2:$H$766&lt;&gt;""),'Weekly Tracker'!$H$2:$H$766),"")</f>
        <v/>
      </c>
      <c r="I821" s="16">
        <f>IF(H821&lt;&gt;"",LOOKUP(2,1/('Weekly Tracker'!$E$2:$E$766=$A821)/('Weekly Tracker'!$H$2:$H$766&lt;&gt;""),'Weekly Tracker'!$I$2:$I$766),"")</f>
        <v/>
      </c>
      <c r="J821" s="9">
        <f>IFERROR(LOOKUP(2,1/('Weekly Tracker'!$E$2:$E$766=$A821)/('Weekly Tracker'!$J$2:$J$766&lt;&gt;""),'Weekly Tracker'!$J$2:$J$766),"")</f>
        <v/>
      </c>
      <c r="K821" s="9">
        <f>IFERROR(LOOKUP(2,1/('Weekly Tracker'!$E$2:$E$766=$A821)/('Weekly Tracker'!$N$2:$N$766&lt;&gt;""),'Weekly Tracker'!$N$2:$N$766),"")</f>
        <v/>
      </c>
      <c r="L821" s="9">
        <f>IFERROR(LOOKUP(2,1/('Weekly Tracker'!$E$2:$E$766=$A821)/('Weekly Tracker'!$O$2:$O$766&lt;&gt;""),'Weekly Tracker'!$O$2:$O$766),"")</f>
        <v/>
      </c>
    </row>
    <row r="822">
      <c r="A822" s="9" t="inlineStr">
        <is>
          <t>Sathiesh Kprm Scl</t>
        </is>
      </c>
      <c r="B822" s="9" t="inlineStr">
        <is>
          <t>919551186550</t>
        </is>
      </c>
      <c r="C822" s="9" t="n"/>
      <c r="D822" s="9" t="n"/>
      <c r="E822" s="9" t="n"/>
      <c r="F822" s="9">
        <f>IFERROR(LOOKUP(2,1/('Weekly Tracker'!$E$2:$E$766=$A822)/('Weekly Tracker'!$F$2:$F$766&lt;&gt;""),'Weekly Tracker'!$F$2:$F$766),"")</f>
        <v/>
      </c>
      <c r="G822" s="16">
        <f>IF(F822&lt;&gt;"",LOOKUP(2,1/('Weekly Tracker'!$E$2:$E$766=$A822)/('Weekly Tracker'!$F$2:$F$766&lt;&gt;""),'Weekly Tracker'!$G$2:$G$766),"")</f>
        <v/>
      </c>
      <c r="H822" s="9">
        <f>IFERROR(LOOKUP(2,1/('Weekly Tracker'!$E$2:$E$766=$A822)/('Weekly Tracker'!$H$2:$H$766&lt;&gt;""),'Weekly Tracker'!$H$2:$H$766),"")</f>
        <v/>
      </c>
      <c r="I822" s="16">
        <f>IF(H822&lt;&gt;"",LOOKUP(2,1/('Weekly Tracker'!$E$2:$E$766=$A822)/('Weekly Tracker'!$H$2:$H$766&lt;&gt;""),'Weekly Tracker'!$I$2:$I$766),"")</f>
        <v/>
      </c>
      <c r="J822" s="9">
        <f>IFERROR(LOOKUP(2,1/('Weekly Tracker'!$E$2:$E$766=$A822)/('Weekly Tracker'!$J$2:$J$766&lt;&gt;""),'Weekly Tracker'!$J$2:$J$766),"")</f>
        <v/>
      </c>
      <c r="K822" s="9">
        <f>IFERROR(LOOKUP(2,1/('Weekly Tracker'!$E$2:$E$766=$A822)/('Weekly Tracker'!$N$2:$N$766&lt;&gt;""),'Weekly Tracker'!$N$2:$N$766),"")</f>
        <v/>
      </c>
      <c r="L822" s="9">
        <f>IFERROR(LOOKUP(2,1/('Weekly Tracker'!$E$2:$E$766=$A822)/('Weekly Tracker'!$O$2:$O$766&lt;&gt;""),'Weekly Tracker'!$O$2:$O$766),"")</f>
        <v/>
      </c>
    </row>
    <row r="823">
      <c r="A823" s="9" t="inlineStr">
        <is>
          <t>Subash Junior Grp</t>
        </is>
      </c>
      <c r="B823" s="9" t="inlineStr">
        <is>
          <t>918940368097</t>
        </is>
      </c>
      <c r="C823" s="9" t="n"/>
      <c r="D823" s="9" t="n"/>
      <c r="E823" s="9" t="n"/>
      <c r="F823" s="9">
        <f>IFERROR(LOOKUP(2,1/('Weekly Tracker'!$E$2:$E$766=$A823)/('Weekly Tracker'!$F$2:$F$766&lt;&gt;""),'Weekly Tracker'!$F$2:$F$766),"")</f>
        <v/>
      </c>
      <c r="G823" s="16">
        <f>IF(F823&lt;&gt;"",LOOKUP(2,1/('Weekly Tracker'!$E$2:$E$766=$A823)/('Weekly Tracker'!$F$2:$F$766&lt;&gt;""),'Weekly Tracker'!$G$2:$G$766),"")</f>
        <v/>
      </c>
      <c r="H823" s="9">
        <f>IFERROR(LOOKUP(2,1/('Weekly Tracker'!$E$2:$E$766=$A823)/('Weekly Tracker'!$H$2:$H$766&lt;&gt;""),'Weekly Tracker'!$H$2:$H$766),"")</f>
        <v/>
      </c>
      <c r="I823" s="16">
        <f>IF(H823&lt;&gt;"",LOOKUP(2,1/('Weekly Tracker'!$E$2:$E$766=$A823)/('Weekly Tracker'!$H$2:$H$766&lt;&gt;""),'Weekly Tracker'!$I$2:$I$766),"")</f>
        <v/>
      </c>
      <c r="J823" s="9">
        <f>IFERROR(LOOKUP(2,1/('Weekly Tracker'!$E$2:$E$766=$A823)/('Weekly Tracker'!$J$2:$J$766&lt;&gt;""),'Weekly Tracker'!$J$2:$J$766),"")</f>
        <v/>
      </c>
      <c r="K823" s="9">
        <f>IFERROR(LOOKUP(2,1/('Weekly Tracker'!$E$2:$E$766=$A823)/('Weekly Tracker'!$N$2:$N$766&lt;&gt;""),'Weekly Tracker'!$N$2:$N$766),"")</f>
        <v/>
      </c>
      <c r="L823" s="9">
        <f>IFERROR(LOOKUP(2,1/('Weekly Tracker'!$E$2:$E$766=$A823)/('Weekly Tracker'!$O$2:$O$766&lt;&gt;""),'Weekly Tracker'!$O$2:$O$766),"")</f>
        <v/>
      </c>
    </row>
    <row r="824">
      <c r="A824" s="9" t="inlineStr">
        <is>
          <t>Karthikeyan Grp Ucen</t>
        </is>
      </c>
      <c r="B824" s="9" t="inlineStr">
        <is>
          <t>919789599190</t>
        </is>
      </c>
      <c r="C824" s="9" t="n"/>
      <c r="D824" s="9" t="n"/>
      <c r="E824" s="9" t="n"/>
      <c r="F824" s="9">
        <f>IFERROR(LOOKUP(2,1/('Weekly Tracker'!$E$2:$E$766=$A824)/('Weekly Tracker'!$F$2:$F$766&lt;&gt;""),'Weekly Tracker'!$F$2:$F$766),"")</f>
        <v/>
      </c>
      <c r="G824" s="16">
        <f>IF(F824&lt;&gt;"",LOOKUP(2,1/('Weekly Tracker'!$E$2:$E$766=$A824)/('Weekly Tracker'!$F$2:$F$766&lt;&gt;""),'Weekly Tracker'!$G$2:$G$766),"")</f>
        <v/>
      </c>
      <c r="H824" s="9">
        <f>IFERROR(LOOKUP(2,1/('Weekly Tracker'!$E$2:$E$766=$A824)/('Weekly Tracker'!$H$2:$H$766&lt;&gt;""),'Weekly Tracker'!$H$2:$H$766),"")</f>
        <v/>
      </c>
      <c r="I824" s="16">
        <f>IF(H824&lt;&gt;"",LOOKUP(2,1/('Weekly Tracker'!$E$2:$E$766=$A824)/('Weekly Tracker'!$H$2:$H$766&lt;&gt;""),'Weekly Tracker'!$I$2:$I$766),"")</f>
        <v/>
      </c>
      <c r="J824" s="9">
        <f>IFERROR(LOOKUP(2,1/('Weekly Tracker'!$E$2:$E$766=$A824)/('Weekly Tracker'!$J$2:$J$766&lt;&gt;""),'Weekly Tracker'!$J$2:$J$766),"")</f>
        <v/>
      </c>
      <c r="K824" s="9">
        <f>IFERROR(LOOKUP(2,1/('Weekly Tracker'!$E$2:$E$766=$A824)/('Weekly Tracker'!$N$2:$N$766&lt;&gt;""),'Weekly Tracker'!$N$2:$N$766),"")</f>
        <v/>
      </c>
      <c r="L824" s="9">
        <f>IFERROR(LOOKUP(2,1/('Weekly Tracker'!$E$2:$E$766=$A824)/('Weekly Tracker'!$O$2:$O$766&lt;&gt;""),'Weekly Tracker'!$O$2:$O$766),"")</f>
        <v/>
      </c>
    </row>
    <row r="825">
      <c r="A825" s="9" t="inlineStr">
        <is>
          <t>Madhavan Madddy Scl</t>
        </is>
      </c>
      <c r="B825" s="9" t="inlineStr">
        <is>
          <t>917205370255</t>
        </is>
      </c>
      <c r="C825" s="9" t="n"/>
      <c r="D825" s="9" t="n"/>
      <c r="E825" s="9" t="n"/>
      <c r="F825" s="9">
        <f>IFERROR(LOOKUP(2,1/('Weekly Tracker'!$E$2:$E$766=$A825)/('Weekly Tracker'!$F$2:$F$766&lt;&gt;""),'Weekly Tracker'!$F$2:$F$766),"")</f>
        <v/>
      </c>
      <c r="G825" s="16">
        <f>IF(F825&lt;&gt;"",LOOKUP(2,1/('Weekly Tracker'!$E$2:$E$766=$A825)/('Weekly Tracker'!$F$2:$F$766&lt;&gt;""),'Weekly Tracker'!$G$2:$G$766),"")</f>
        <v/>
      </c>
      <c r="H825" s="9">
        <f>IFERROR(LOOKUP(2,1/('Weekly Tracker'!$E$2:$E$766=$A825)/('Weekly Tracker'!$H$2:$H$766&lt;&gt;""),'Weekly Tracker'!$H$2:$H$766),"")</f>
        <v/>
      </c>
      <c r="I825" s="16">
        <f>IF(H825&lt;&gt;"",LOOKUP(2,1/('Weekly Tracker'!$E$2:$E$766=$A825)/('Weekly Tracker'!$H$2:$H$766&lt;&gt;""),'Weekly Tracker'!$I$2:$I$766),"")</f>
        <v/>
      </c>
      <c r="J825" s="9">
        <f>IFERROR(LOOKUP(2,1/('Weekly Tracker'!$E$2:$E$766=$A825)/('Weekly Tracker'!$J$2:$J$766&lt;&gt;""),'Weekly Tracker'!$J$2:$J$766),"")</f>
        <v/>
      </c>
      <c r="K825" s="9">
        <f>IFERROR(LOOKUP(2,1/('Weekly Tracker'!$E$2:$E$766=$A825)/('Weekly Tracker'!$N$2:$N$766&lt;&gt;""),'Weekly Tracker'!$N$2:$N$766),"")</f>
        <v/>
      </c>
      <c r="L825" s="9">
        <f>IFERROR(LOOKUP(2,1/('Weekly Tracker'!$E$2:$E$766=$A825)/('Weekly Tracker'!$O$2:$O$766&lt;&gt;""),'Weekly Tracker'!$O$2:$O$766),"")</f>
        <v/>
      </c>
    </row>
    <row r="826">
      <c r="A826" s="9" t="inlineStr">
        <is>
          <t>Loganathan HCL HFN</t>
        </is>
      </c>
      <c r="B826" s="9" t="inlineStr">
        <is>
          <t>+91 97890 01968</t>
        </is>
      </c>
      <c r="C826" s="9" t="n"/>
      <c r="D826" s="9" t="n"/>
      <c r="E826" s="9" t="n"/>
      <c r="F826" s="9">
        <f>IFERROR(LOOKUP(2,1/('Weekly Tracker'!$E$2:$E$766=$A826)/('Weekly Tracker'!$F$2:$F$766&lt;&gt;""),'Weekly Tracker'!$F$2:$F$766),"")</f>
        <v/>
      </c>
      <c r="G826" s="16">
        <f>IF(F826&lt;&gt;"",LOOKUP(2,1/('Weekly Tracker'!$E$2:$E$766=$A826)/('Weekly Tracker'!$F$2:$F$766&lt;&gt;""),'Weekly Tracker'!$G$2:$G$766),"")</f>
        <v/>
      </c>
      <c r="H826" s="9">
        <f>IFERROR(LOOKUP(2,1/('Weekly Tracker'!$E$2:$E$766=$A826)/('Weekly Tracker'!$H$2:$H$766&lt;&gt;""),'Weekly Tracker'!$H$2:$H$766),"")</f>
        <v/>
      </c>
      <c r="I826" s="16">
        <f>IF(H826&lt;&gt;"",LOOKUP(2,1/('Weekly Tracker'!$E$2:$E$766=$A826)/('Weekly Tracker'!$H$2:$H$766&lt;&gt;""),'Weekly Tracker'!$I$2:$I$766),"")</f>
        <v/>
      </c>
      <c r="J826" s="9">
        <f>IFERROR(LOOKUP(2,1/('Weekly Tracker'!$E$2:$E$766=$A826)/('Weekly Tracker'!$J$2:$J$766&lt;&gt;""),'Weekly Tracker'!$J$2:$J$766),"")</f>
        <v/>
      </c>
      <c r="K826" s="9">
        <f>IFERROR(LOOKUP(2,1/('Weekly Tracker'!$E$2:$E$766=$A826)/('Weekly Tracker'!$N$2:$N$766&lt;&gt;""),'Weekly Tracker'!$N$2:$N$766),"")</f>
        <v/>
      </c>
      <c r="L826" s="9">
        <f>IFERROR(LOOKUP(2,1/('Weekly Tracker'!$E$2:$E$766=$A826)/('Weekly Tracker'!$O$2:$O$766&lt;&gt;""),'Weekly Tracker'!$O$2:$O$766),"")</f>
        <v/>
      </c>
    </row>
    <row r="827">
      <c r="A827" s="9" t="inlineStr">
        <is>
          <t>Anandh Venkat FB</t>
        </is>
      </c>
      <c r="B827" s="9" t="inlineStr">
        <is>
          <t>+971 58 962 5413</t>
        </is>
      </c>
      <c r="C827" s="9" t="n"/>
      <c r="D827" s="9" t="n"/>
      <c r="E827" s="9" t="n"/>
      <c r="F827" s="9">
        <f>IFERROR(LOOKUP(2,1/('Weekly Tracker'!$E$2:$E$766=$A827)/('Weekly Tracker'!$F$2:$F$766&lt;&gt;""),'Weekly Tracker'!$F$2:$F$766),"")</f>
        <v/>
      </c>
      <c r="G827" s="16">
        <f>IF(F827&lt;&gt;"",LOOKUP(2,1/('Weekly Tracker'!$E$2:$E$766=$A827)/('Weekly Tracker'!$F$2:$F$766&lt;&gt;""),'Weekly Tracker'!$G$2:$G$766),"")</f>
        <v/>
      </c>
      <c r="H827" s="9">
        <f>IFERROR(LOOKUP(2,1/('Weekly Tracker'!$E$2:$E$766=$A827)/('Weekly Tracker'!$H$2:$H$766&lt;&gt;""),'Weekly Tracker'!$H$2:$H$766),"")</f>
        <v/>
      </c>
      <c r="I827" s="16">
        <f>IF(H827&lt;&gt;"",LOOKUP(2,1/('Weekly Tracker'!$E$2:$E$766=$A827)/('Weekly Tracker'!$H$2:$H$766&lt;&gt;""),'Weekly Tracker'!$I$2:$I$766),"")</f>
        <v/>
      </c>
      <c r="J827" s="9">
        <f>IFERROR(LOOKUP(2,1/('Weekly Tracker'!$E$2:$E$766=$A827)/('Weekly Tracker'!$J$2:$J$766&lt;&gt;""),'Weekly Tracker'!$J$2:$J$766),"")</f>
        <v/>
      </c>
      <c r="K827" s="9">
        <f>IFERROR(LOOKUP(2,1/('Weekly Tracker'!$E$2:$E$766=$A827)/('Weekly Tracker'!$N$2:$N$766&lt;&gt;""),'Weekly Tracker'!$N$2:$N$766),"")</f>
        <v/>
      </c>
      <c r="L827" s="9">
        <f>IFERROR(LOOKUP(2,1/('Weekly Tracker'!$E$2:$E$766=$A827)/('Weekly Tracker'!$O$2:$O$766&lt;&gt;""),'Weekly Tracker'!$O$2:$O$766),"")</f>
        <v/>
      </c>
    </row>
    <row r="828">
      <c r="A828" s="9" t="inlineStr">
        <is>
          <t>Bala Krishna Geetha Cafe</t>
        </is>
      </c>
      <c r="B828" s="9" t="inlineStr">
        <is>
          <t>9600088655</t>
        </is>
      </c>
      <c r="C828" s="9" t="n"/>
      <c r="D828" s="9" t="n"/>
      <c r="E828" s="9" t="n"/>
      <c r="F828" s="9">
        <f>IFERROR(LOOKUP(2,1/('Weekly Tracker'!$E$2:$E$766=$A828)/('Weekly Tracker'!$F$2:$F$766&lt;&gt;""),'Weekly Tracker'!$F$2:$F$766),"")</f>
        <v/>
      </c>
      <c r="G828" s="16">
        <f>IF(F828&lt;&gt;"",LOOKUP(2,1/('Weekly Tracker'!$E$2:$E$766=$A828)/('Weekly Tracker'!$F$2:$F$766&lt;&gt;""),'Weekly Tracker'!$G$2:$G$766),"")</f>
        <v/>
      </c>
      <c r="H828" s="9">
        <f>IFERROR(LOOKUP(2,1/('Weekly Tracker'!$E$2:$E$766=$A828)/('Weekly Tracker'!$H$2:$H$766&lt;&gt;""),'Weekly Tracker'!$H$2:$H$766),"")</f>
        <v/>
      </c>
      <c r="I828" s="16">
        <f>IF(H828&lt;&gt;"",LOOKUP(2,1/('Weekly Tracker'!$E$2:$E$766=$A828)/('Weekly Tracker'!$H$2:$H$766&lt;&gt;""),'Weekly Tracker'!$I$2:$I$766),"")</f>
        <v/>
      </c>
      <c r="J828" s="9">
        <f>IFERROR(LOOKUP(2,1/('Weekly Tracker'!$E$2:$E$766=$A828)/('Weekly Tracker'!$J$2:$J$766&lt;&gt;""),'Weekly Tracker'!$J$2:$J$766),"")</f>
        <v/>
      </c>
      <c r="K828" s="9">
        <f>IFERROR(LOOKUP(2,1/('Weekly Tracker'!$E$2:$E$766=$A828)/('Weekly Tracker'!$N$2:$N$766&lt;&gt;""),'Weekly Tracker'!$N$2:$N$766),"")</f>
        <v/>
      </c>
      <c r="L828" s="9">
        <f>IFERROR(LOOKUP(2,1/('Weekly Tracker'!$E$2:$E$766=$A828)/('Weekly Tracker'!$O$2:$O$766&lt;&gt;""),'Weekly Tracker'!$O$2:$O$766),"")</f>
        <v/>
      </c>
    </row>
    <row r="829">
      <c r="A829" s="9" t="inlineStr">
        <is>
          <t>Mazar Samsung</t>
        </is>
      </c>
      <c r="B829" s="9" t="inlineStr">
        <is>
          <t>917092899828</t>
        </is>
      </c>
      <c r="C829" s="9" t="n"/>
      <c r="D829" s="9" t="n"/>
      <c r="E829" s="9" t="n"/>
      <c r="F829" s="9">
        <f>IFERROR(LOOKUP(2,1/('Weekly Tracker'!$E$2:$E$766=$A829)/('Weekly Tracker'!$F$2:$F$766&lt;&gt;""),'Weekly Tracker'!$F$2:$F$766),"")</f>
        <v/>
      </c>
      <c r="G829" s="16">
        <f>IF(F829&lt;&gt;"",LOOKUP(2,1/('Weekly Tracker'!$E$2:$E$766=$A829)/('Weekly Tracker'!$F$2:$F$766&lt;&gt;""),'Weekly Tracker'!$G$2:$G$766),"")</f>
        <v/>
      </c>
      <c r="H829" s="9">
        <f>IFERROR(LOOKUP(2,1/('Weekly Tracker'!$E$2:$E$766=$A829)/('Weekly Tracker'!$H$2:$H$766&lt;&gt;""),'Weekly Tracker'!$H$2:$H$766),"")</f>
        <v/>
      </c>
      <c r="I829" s="16">
        <f>IF(H829&lt;&gt;"",LOOKUP(2,1/('Weekly Tracker'!$E$2:$E$766=$A829)/('Weekly Tracker'!$H$2:$H$766&lt;&gt;""),'Weekly Tracker'!$I$2:$I$766),"")</f>
        <v/>
      </c>
      <c r="J829" s="9">
        <f>IFERROR(LOOKUP(2,1/('Weekly Tracker'!$E$2:$E$766=$A829)/('Weekly Tracker'!$J$2:$J$766&lt;&gt;""),'Weekly Tracker'!$J$2:$J$766),"")</f>
        <v/>
      </c>
      <c r="K829" s="9">
        <f>IFERROR(LOOKUP(2,1/('Weekly Tracker'!$E$2:$E$766=$A829)/('Weekly Tracker'!$N$2:$N$766&lt;&gt;""),'Weekly Tracker'!$N$2:$N$766),"")</f>
        <v/>
      </c>
      <c r="L829" s="9">
        <f>IFERROR(LOOKUP(2,1/('Weekly Tracker'!$E$2:$E$766=$A829)/('Weekly Tracker'!$O$2:$O$766&lt;&gt;""),'Weekly Tracker'!$O$2:$O$766),"")</f>
        <v/>
      </c>
    </row>
    <row r="830">
      <c r="A830" s="9" t="inlineStr">
        <is>
          <t>Parama Grp Junior</t>
        </is>
      </c>
      <c r="B830" s="9" t="inlineStr">
        <is>
          <t>918098348300</t>
        </is>
      </c>
      <c r="C830" s="9" t="n"/>
      <c r="D830" s="9" t="n"/>
      <c r="E830" s="9" t="n"/>
      <c r="F830" s="9">
        <f>IFERROR(LOOKUP(2,1/('Weekly Tracker'!$E$2:$E$766=$A830)/('Weekly Tracker'!$F$2:$F$766&lt;&gt;""),'Weekly Tracker'!$F$2:$F$766),"")</f>
        <v/>
      </c>
      <c r="G830" s="16">
        <f>IF(F830&lt;&gt;"",LOOKUP(2,1/('Weekly Tracker'!$E$2:$E$766=$A830)/('Weekly Tracker'!$F$2:$F$766&lt;&gt;""),'Weekly Tracker'!$G$2:$G$766),"")</f>
        <v/>
      </c>
      <c r="H830" s="9">
        <f>IFERROR(LOOKUP(2,1/('Weekly Tracker'!$E$2:$E$766=$A830)/('Weekly Tracker'!$H$2:$H$766&lt;&gt;""),'Weekly Tracker'!$H$2:$H$766),"")</f>
        <v/>
      </c>
      <c r="I830" s="16">
        <f>IF(H830&lt;&gt;"",LOOKUP(2,1/('Weekly Tracker'!$E$2:$E$766=$A830)/('Weekly Tracker'!$H$2:$H$766&lt;&gt;""),'Weekly Tracker'!$I$2:$I$766),"")</f>
        <v/>
      </c>
      <c r="J830" s="9">
        <f>IFERROR(LOOKUP(2,1/('Weekly Tracker'!$E$2:$E$766=$A830)/('Weekly Tracker'!$J$2:$J$766&lt;&gt;""),'Weekly Tracker'!$J$2:$J$766),"")</f>
        <v/>
      </c>
      <c r="K830" s="9">
        <f>IFERROR(LOOKUP(2,1/('Weekly Tracker'!$E$2:$E$766=$A830)/('Weekly Tracker'!$N$2:$N$766&lt;&gt;""),'Weekly Tracker'!$N$2:$N$766),"")</f>
        <v/>
      </c>
      <c r="L830" s="9">
        <f>IFERROR(LOOKUP(2,1/('Weekly Tracker'!$E$2:$E$766=$A830)/('Weekly Tracker'!$O$2:$O$766&lt;&gt;""),'Weekly Tracker'!$O$2:$O$766),"")</f>
        <v/>
      </c>
    </row>
    <row r="831">
      <c r="A831" s="9" t="inlineStr">
        <is>
          <t>Ponmani Grp</t>
        </is>
      </c>
      <c r="B831" s="9" t="inlineStr">
        <is>
          <t>918428789905</t>
        </is>
      </c>
      <c r="C831" s="9" t="n"/>
      <c r="D831" s="9" t="n"/>
      <c r="E831" s="9" t="n"/>
      <c r="F831" s="9">
        <f>IFERROR(LOOKUP(2,1/('Weekly Tracker'!$E$2:$E$766=$A831)/('Weekly Tracker'!$F$2:$F$766&lt;&gt;""),'Weekly Tracker'!$F$2:$F$766),"")</f>
        <v/>
      </c>
      <c r="G831" s="16">
        <f>IF(F831&lt;&gt;"",LOOKUP(2,1/('Weekly Tracker'!$E$2:$E$766=$A831)/('Weekly Tracker'!$F$2:$F$766&lt;&gt;""),'Weekly Tracker'!$G$2:$G$766),"")</f>
        <v/>
      </c>
      <c r="H831" s="9">
        <f>IFERROR(LOOKUP(2,1/('Weekly Tracker'!$E$2:$E$766=$A831)/('Weekly Tracker'!$H$2:$H$766&lt;&gt;""),'Weekly Tracker'!$H$2:$H$766),"")</f>
        <v/>
      </c>
      <c r="I831" s="16">
        <f>IF(H831&lt;&gt;"",LOOKUP(2,1/('Weekly Tracker'!$E$2:$E$766=$A831)/('Weekly Tracker'!$H$2:$H$766&lt;&gt;""),'Weekly Tracker'!$I$2:$I$766),"")</f>
        <v/>
      </c>
      <c r="J831" s="9">
        <f>IFERROR(LOOKUP(2,1/('Weekly Tracker'!$E$2:$E$766=$A831)/('Weekly Tracker'!$J$2:$J$766&lt;&gt;""),'Weekly Tracker'!$J$2:$J$766),"")</f>
        <v/>
      </c>
      <c r="K831" s="9">
        <f>IFERROR(LOOKUP(2,1/('Weekly Tracker'!$E$2:$E$766=$A831)/('Weekly Tracker'!$N$2:$N$766&lt;&gt;""),'Weekly Tracker'!$N$2:$N$766),"")</f>
        <v/>
      </c>
      <c r="L831" s="9">
        <f>IFERROR(LOOKUP(2,1/('Weekly Tracker'!$E$2:$E$766=$A831)/('Weekly Tracker'!$O$2:$O$766&lt;&gt;""),'Weekly Tracker'!$O$2:$O$766),"")</f>
        <v/>
      </c>
    </row>
    <row r="832">
      <c r="A832" s="9" t="inlineStr">
        <is>
          <t>VigneshMvn GP</t>
        </is>
      </c>
      <c r="B832" s="9" t="inlineStr">
        <is>
          <t>917708916002</t>
        </is>
      </c>
      <c r="C832" s="9" t="n"/>
      <c r="D832" s="9" t="n"/>
      <c r="E832" s="9" t="n"/>
      <c r="F832" s="9">
        <f>IFERROR(LOOKUP(2,1/('Weekly Tracker'!$E$2:$E$766=$A832)/('Weekly Tracker'!$F$2:$F$766&lt;&gt;""),'Weekly Tracker'!$F$2:$F$766),"")</f>
        <v/>
      </c>
      <c r="G832" s="16">
        <f>IF(F832&lt;&gt;"",LOOKUP(2,1/('Weekly Tracker'!$E$2:$E$766=$A832)/('Weekly Tracker'!$F$2:$F$766&lt;&gt;""),'Weekly Tracker'!$G$2:$G$766),"")</f>
        <v/>
      </c>
      <c r="H832" s="9">
        <f>IFERROR(LOOKUP(2,1/('Weekly Tracker'!$E$2:$E$766=$A832)/('Weekly Tracker'!$H$2:$H$766&lt;&gt;""),'Weekly Tracker'!$H$2:$H$766),"")</f>
        <v/>
      </c>
      <c r="I832" s="16">
        <f>IF(H832&lt;&gt;"",LOOKUP(2,1/('Weekly Tracker'!$E$2:$E$766=$A832)/('Weekly Tracker'!$H$2:$H$766&lt;&gt;""),'Weekly Tracker'!$I$2:$I$766),"")</f>
        <v/>
      </c>
      <c r="J832" s="9">
        <f>IFERROR(LOOKUP(2,1/('Weekly Tracker'!$E$2:$E$766=$A832)/('Weekly Tracker'!$J$2:$J$766&lt;&gt;""),'Weekly Tracker'!$J$2:$J$766),"")</f>
        <v/>
      </c>
      <c r="K832" s="9">
        <f>IFERROR(LOOKUP(2,1/('Weekly Tracker'!$E$2:$E$766=$A832)/('Weekly Tracker'!$N$2:$N$766&lt;&gt;""),'Weekly Tracker'!$N$2:$N$766),"")</f>
        <v/>
      </c>
      <c r="L832" s="9">
        <f>IFERROR(LOOKUP(2,1/('Weekly Tracker'!$E$2:$E$766=$A832)/('Weekly Tracker'!$O$2:$O$766&lt;&gt;""),'Weekly Tracker'!$O$2:$O$766),"")</f>
        <v/>
      </c>
    </row>
    <row r="833">
      <c r="A833" s="9" t="inlineStr">
        <is>
          <t>Arunraja senkathir FB</t>
        </is>
      </c>
      <c r="B833" s="9" t="inlineStr">
        <is>
          <t>9942287092</t>
        </is>
      </c>
      <c r="C833" s="9" t="n"/>
      <c r="D833" s="9" t="n"/>
      <c r="E833" s="9" t="n"/>
      <c r="F833" s="9">
        <f>IFERROR(LOOKUP(2,1/('Weekly Tracker'!$E$2:$E$766=$A833)/('Weekly Tracker'!$F$2:$F$766&lt;&gt;""),'Weekly Tracker'!$F$2:$F$766),"")</f>
        <v/>
      </c>
      <c r="G833" s="16">
        <f>IF(F833&lt;&gt;"",LOOKUP(2,1/('Weekly Tracker'!$E$2:$E$766=$A833)/('Weekly Tracker'!$F$2:$F$766&lt;&gt;""),'Weekly Tracker'!$G$2:$G$766),"")</f>
        <v/>
      </c>
      <c r="H833" s="9">
        <f>IFERROR(LOOKUP(2,1/('Weekly Tracker'!$E$2:$E$766=$A833)/('Weekly Tracker'!$H$2:$H$766&lt;&gt;""),'Weekly Tracker'!$H$2:$H$766),"")</f>
        <v/>
      </c>
      <c r="I833" s="16">
        <f>IF(H833&lt;&gt;"",LOOKUP(2,1/('Weekly Tracker'!$E$2:$E$766=$A833)/('Weekly Tracker'!$H$2:$H$766&lt;&gt;""),'Weekly Tracker'!$I$2:$I$766),"")</f>
        <v/>
      </c>
      <c r="J833" s="9">
        <f>IFERROR(LOOKUP(2,1/('Weekly Tracker'!$E$2:$E$766=$A833)/('Weekly Tracker'!$J$2:$J$766&lt;&gt;""),'Weekly Tracker'!$J$2:$J$766),"")</f>
        <v/>
      </c>
      <c r="K833" s="9">
        <f>IFERROR(LOOKUP(2,1/('Weekly Tracker'!$E$2:$E$766=$A833)/('Weekly Tracker'!$N$2:$N$766&lt;&gt;""),'Weekly Tracker'!$N$2:$N$766),"")</f>
        <v/>
      </c>
      <c r="L833" s="9">
        <f>IFERROR(LOOKUP(2,1/('Weekly Tracker'!$E$2:$E$766=$A833)/('Weekly Tracker'!$O$2:$O$766&lt;&gt;""),'Weekly Tracker'!$O$2:$O$766),"")</f>
        <v/>
      </c>
    </row>
    <row r="834">
      <c r="A834" s="9" t="inlineStr">
        <is>
          <t>Praksh HCL</t>
        </is>
      </c>
      <c r="B834" s="9" t="inlineStr">
        <is>
          <t>9789928278</t>
        </is>
      </c>
      <c r="C834" s="9" t="n"/>
      <c r="D834" s="9" t="n"/>
      <c r="E834" s="9" t="n"/>
      <c r="F834" s="9">
        <f>IFERROR(LOOKUP(2,1/('Weekly Tracker'!$E$2:$E$766=$A834)/('Weekly Tracker'!$F$2:$F$766&lt;&gt;""),'Weekly Tracker'!$F$2:$F$766),"")</f>
        <v/>
      </c>
      <c r="G834" s="16">
        <f>IF(F834&lt;&gt;"",LOOKUP(2,1/('Weekly Tracker'!$E$2:$E$766=$A834)/('Weekly Tracker'!$F$2:$F$766&lt;&gt;""),'Weekly Tracker'!$G$2:$G$766),"")</f>
        <v/>
      </c>
      <c r="H834" s="9">
        <f>IFERROR(LOOKUP(2,1/('Weekly Tracker'!$E$2:$E$766=$A834)/('Weekly Tracker'!$H$2:$H$766&lt;&gt;""),'Weekly Tracker'!$H$2:$H$766),"")</f>
        <v/>
      </c>
      <c r="I834" s="16">
        <f>IF(H834&lt;&gt;"",LOOKUP(2,1/('Weekly Tracker'!$E$2:$E$766=$A834)/('Weekly Tracker'!$H$2:$H$766&lt;&gt;""),'Weekly Tracker'!$I$2:$I$766),"")</f>
        <v/>
      </c>
      <c r="J834" s="9">
        <f>IFERROR(LOOKUP(2,1/('Weekly Tracker'!$E$2:$E$766=$A834)/('Weekly Tracker'!$J$2:$J$766&lt;&gt;""),'Weekly Tracker'!$J$2:$J$766),"")</f>
        <v/>
      </c>
      <c r="K834" s="9">
        <f>IFERROR(LOOKUP(2,1/('Weekly Tracker'!$E$2:$E$766=$A834)/('Weekly Tracker'!$N$2:$N$766&lt;&gt;""),'Weekly Tracker'!$N$2:$N$766),"")</f>
        <v/>
      </c>
      <c r="L834" s="9">
        <f>IFERROR(LOOKUP(2,1/('Weekly Tracker'!$E$2:$E$766=$A834)/('Weekly Tracker'!$O$2:$O$766&lt;&gt;""),'Weekly Tracker'!$O$2:$O$766),"")</f>
        <v/>
      </c>
    </row>
    <row r="835">
      <c r="A835" s="9" t="inlineStr">
        <is>
          <t>PandiyaRaj TcS Swiggy</t>
        </is>
      </c>
      <c r="B835" s="9" t="inlineStr">
        <is>
          <t>8973128746</t>
        </is>
      </c>
      <c r="C835" s="9" t="n"/>
      <c r="D835" s="9" t="n"/>
      <c r="E835" s="9" t="n"/>
      <c r="F835" s="9">
        <f>IFERROR(LOOKUP(2,1/('Weekly Tracker'!$E$2:$E$766=$A835)/('Weekly Tracker'!$F$2:$F$766&lt;&gt;""),'Weekly Tracker'!$F$2:$F$766),"")</f>
        <v/>
      </c>
      <c r="G835" s="16">
        <f>IF(F835&lt;&gt;"",LOOKUP(2,1/('Weekly Tracker'!$E$2:$E$766=$A835)/('Weekly Tracker'!$F$2:$F$766&lt;&gt;""),'Weekly Tracker'!$G$2:$G$766),"")</f>
        <v/>
      </c>
      <c r="H835" s="9">
        <f>IFERROR(LOOKUP(2,1/('Weekly Tracker'!$E$2:$E$766=$A835)/('Weekly Tracker'!$H$2:$H$766&lt;&gt;""),'Weekly Tracker'!$H$2:$H$766),"")</f>
        <v/>
      </c>
      <c r="I835" s="16">
        <f>IF(H835&lt;&gt;"",LOOKUP(2,1/('Weekly Tracker'!$E$2:$E$766=$A835)/('Weekly Tracker'!$H$2:$H$766&lt;&gt;""),'Weekly Tracker'!$I$2:$I$766),"")</f>
        <v/>
      </c>
      <c r="J835" s="9">
        <f>IFERROR(LOOKUP(2,1/('Weekly Tracker'!$E$2:$E$766=$A835)/('Weekly Tracker'!$J$2:$J$766&lt;&gt;""),'Weekly Tracker'!$J$2:$J$766),"")</f>
        <v/>
      </c>
      <c r="K835" s="9">
        <f>IFERROR(LOOKUP(2,1/('Weekly Tracker'!$E$2:$E$766=$A835)/('Weekly Tracker'!$N$2:$N$766&lt;&gt;""),'Weekly Tracker'!$N$2:$N$766),"")</f>
        <v/>
      </c>
      <c r="L835" s="9">
        <f>IFERROR(LOOKUP(2,1/('Weekly Tracker'!$E$2:$E$766=$A835)/('Weekly Tracker'!$O$2:$O$766&lt;&gt;""),'Weekly Tracker'!$O$2:$O$766),"")</f>
        <v/>
      </c>
    </row>
    <row r="836">
      <c r="A836" s="9" t="inlineStr">
        <is>
          <t>Naseem FB</t>
        </is>
      </c>
      <c r="B836" s="9" t="inlineStr">
        <is>
          <t>919080603057</t>
        </is>
      </c>
      <c r="C836" s="9" t="n"/>
      <c r="D836" s="9" t="n"/>
      <c r="E836" s="9" t="n"/>
      <c r="F836" s="9">
        <f>IFERROR(LOOKUP(2,1/('Weekly Tracker'!$E$2:$E$766=$A836)/('Weekly Tracker'!$F$2:$F$766&lt;&gt;""),'Weekly Tracker'!$F$2:$F$766),"")</f>
        <v/>
      </c>
      <c r="G836" s="16">
        <f>IF(F836&lt;&gt;"",LOOKUP(2,1/('Weekly Tracker'!$E$2:$E$766=$A836)/('Weekly Tracker'!$F$2:$F$766&lt;&gt;""),'Weekly Tracker'!$G$2:$G$766),"")</f>
        <v/>
      </c>
      <c r="H836" s="9">
        <f>IFERROR(LOOKUP(2,1/('Weekly Tracker'!$E$2:$E$766=$A836)/('Weekly Tracker'!$H$2:$H$766&lt;&gt;""),'Weekly Tracker'!$H$2:$H$766),"")</f>
        <v/>
      </c>
      <c r="I836" s="16">
        <f>IF(H836&lt;&gt;"",LOOKUP(2,1/('Weekly Tracker'!$E$2:$E$766=$A836)/('Weekly Tracker'!$H$2:$H$766&lt;&gt;""),'Weekly Tracker'!$I$2:$I$766),"")</f>
        <v/>
      </c>
      <c r="J836" s="9">
        <f>IFERROR(LOOKUP(2,1/('Weekly Tracker'!$E$2:$E$766=$A836)/('Weekly Tracker'!$J$2:$J$766&lt;&gt;""),'Weekly Tracker'!$J$2:$J$766),"")</f>
        <v/>
      </c>
      <c r="K836" s="9">
        <f>IFERROR(LOOKUP(2,1/('Weekly Tracker'!$E$2:$E$766=$A836)/('Weekly Tracker'!$N$2:$N$766&lt;&gt;""),'Weekly Tracker'!$N$2:$N$766),"")</f>
        <v/>
      </c>
      <c r="L836" s="9">
        <f>IFERROR(LOOKUP(2,1/('Weekly Tracker'!$E$2:$E$766=$A836)/('Weekly Tracker'!$O$2:$O$766&lt;&gt;""),'Weekly Tracker'!$O$2:$O$766),"")</f>
        <v/>
      </c>
    </row>
    <row r="837">
      <c r="A837" s="9" t="inlineStr">
        <is>
          <t>Rajesh Rajendran FB</t>
        </is>
      </c>
      <c r="B837" s="9" t="inlineStr">
        <is>
          <t>9611702776</t>
        </is>
      </c>
      <c r="C837" s="9" t="n"/>
      <c r="D837" s="9" t="n"/>
      <c r="E837" s="9" t="n"/>
      <c r="F837" s="9">
        <f>IFERROR(LOOKUP(2,1/('Weekly Tracker'!$E$2:$E$766=$A837)/('Weekly Tracker'!$F$2:$F$766&lt;&gt;""),'Weekly Tracker'!$F$2:$F$766),"")</f>
        <v/>
      </c>
      <c r="G837" s="16">
        <f>IF(F837&lt;&gt;"",LOOKUP(2,1/('Weekly Tracker'!$E$2:$E$766=$A837)/('Weekly Tracker'!$F$2:$F$766&lt;&gt;""),'Weekly Tracker'!$G$2:$G$766),"")</f>
        <v/>
      </c>
      <c r="H837" s="9">
        <f>IFERROR(LOOKUP(2,1/('Weekly Tracker'!$E$2:$E$766=$A837)/('Weekly Tracker'!$H$2:$H$766&lt;&gt;""),'Weekly Tracker'!$H$2:$H$766),"")</f>
        <v/>
      </c>
      <c r="I837" s="16">
        <f>IF(H837&lt;&gt;"",LOOKUP(2,1/('Weekly Tracker'!$E$2:$E$766=$A837)/('Weekly Tracker'!$H$2:$H$766&lt;&gt;""),'Weekly Tracker'!$I$2:$I$766),"")</f>
        <v/>
      </c>
      <c r="J837" s="9">
        <f>IFERROR(LOOKUP(2,1/('Weekly Tracker'!$E$2:$E$766=$A837)/('Weekly Tracker'!$J$2:$J$766&lt;&gt;""),'Weekly Tracker'!$J$2:$J$766),"")</f>
        <v/>
      </c>
      <c r="K837" s="9">
        <f>IFERROR(LOOKUP(2,1/('Weekly Tracker'!$E$2:$E$766=$A837)/('Weekly Tracker'!$N$2:$N$766&lt;&gt;""),'Weekly Tracker'!$N$2:$N$766),"")</f>
        <v/>
      </c>
      <c r="L837" s="9">
        <f>IFERROR(LOOKUP(2,1/('Weekly Tracker'!$E$2:$E$766=$A837)/('Weekly Tracker'!$O$2:$O$766&lt;&gt;""),'Weekly Tracker'!$O$2:$O$766),"")</f>
        <v/>
      </c>
    </row>
    <row r="838">
      <c r="A838" s="9" t="inlineStr">
        <is>
          <t>Mathankumar Dev</t>
        </is>
      </c>
      <c r="B838" s="9" t="inlineStr">
        <is>
          <t>9094099339</t>
        </is>
      </c>
      <c r="C838" s="9" t="n"/>
      <c r="D838" s="9" t="n"/>
      <c r="E838" s="9" t="n"/>
      <c r="F838" s="9">
        <f>IFERROR(LOOKUP(2,1/('Weekly Tracker'!$E$2:$E$766=$A838)/('Weekly Tracker'!$F$2:$F$766&lt;&gt;""),'Weekly Tracker'!$F$2:$F$766),"")</f>
        <v/>
      </c>
      <c r="G838" s="16">
        <f>IF(F838&lt;&gt;"",LOOKUP(2,1/('Weekly Tracker'!$E$2:$E$766=$A838)/('Weekly Tracker'!$F$2:$F$766&lt;&gt;""),'Weekly Tracker'!$G$2:$G$766),"")</f>
        <v/>
      </c>
      <c r="H838" s="9">
        <f>IFERROR(LOOKUP(2,1/('Weekly Tracker'!$E$2:$E$766=$A838)/('Weekly Tracker'!$H$2:$H$766&lt;&gt;""),'Weekly Tracker'!$H$2:$H$766),"")</f>
        <v/>
      </c>
      <c r="I838" s="16">
        <f>IF(H838&lt;&gt;"",LOOKUP(2,1/('Weekly Tracker'!$E$2:$E$766=$A838)/('Weekly Tracker'!$H$2:$H$766&lt;&gt;""),'Weekly Tracker'!$I$2:$I$766),"")</f>
        <v/>
      </c>
      <c r="J838" s="9">
        <f>IFERROR(LOOKUP(2,1/('Weekly Tracker'!$E$2:$E$766=$A838)/('Weekly Tracker'!$J$2:$J$766&lt;&gt;""),'Weekly Tracker'!$J$2:$J$766),"")</f>
        <v/>
      </c>
      <c r="K838" s="9">
        <f>IFERROR(LOOKUP(2,1/('Weekly Tracker'!$E$2:$E$766=$A838)/('Weekly Tracker'!$N$2:$N$766&lt;&gt;""),'Weekly Tracker'!$N$2:$N$766),"")</f>
        <v/>
      </c>
      <c r="L838" s="9">
        <f>IFERROR(LOOKUP(2,1/('Weekly Tracker'!$E$2:$E$766=$A838)/('Weekly Tracker'!$O$2:$O$766&lt;&gt;""),'Weekly Tracker'!$O$2:$O$766),"")</f>
        <v/>
      </c>
    </row>
    <row r="839">
      <c r="A839" s="9" t="inlineStr">
        <is>
          <t>Vicky Bro</t>
        </is>
      </c>
      <c r="B839" s="9" t="inlineStr">
        <is>
          <t>919444503922</t>
        </is>
      </c>
      <c r="C839" s="9" t="n"/>
      <c r="D839" s="9" t="n"/>
      <c r="E839" s="9" t="n"/>
      <c r="F839" s="9">
        <f>IFERROR(LOOKUP(2,1/('Weekly Tracker'!$E$2:$E$766=$A839)/('Weekly Tracker'!$F$2:$F$766&lt;&gt;""),'Weekly Tracker'!$F$2:$F$766),"")</f>
        <v/>
      </c>
      <c r="G839" s="16">
        <f>IF(F839&lt;&gt;"",LOOKUP(2,1/('Weekly Tracker'!$E$2:$E$766=$A839)/('Weekly Tracker'!$F$2:$F$766&lt;&gt;""),'Weekly Tracker'!$G$2:$G$766),"")</f>
        <v/>
      </c>
      <c r="H839" s="9">
        <f>IFERROR(LOOKUP(2,1/('Weekly Tracker'!$E$2:$E$766=$A839)/('Weekly Tracker'!$H$2:$H$766&lt;&gt;""),'Weekly Tracker'!$H$2:$H$766),"")</f>
        <v/>
      </c>
      <c r="I839" s="16">
        <f>IF(H839&lt;&gt;"",LOOKUP(2,1/('Weekly Tracker'!$E$2:$E$766=$A839)/('Weekly Tracker'!$H$2:$H$766&lt;&gt;""),'Weekly Tracker'!$I$2:$I$766),"")</f>
        <v/>
      </c>
      <c r="J839" s="9">
        <f>IFERROR(LOOKUP(2,1/('Weekly Tracker'!$E$2:$E$766=$A839)/('Weekly Tracker'!$J$2:$J$766&lt;&gt;""),'Weekly Tracker'!$J$2:$J$766),"")</f>
        <v/>
      </c>
      <c r="K839" s="9">
        <f>IFERROR(LOOKUP(2,1/('Weekly Tracker'!$E$2:$E$766=$A839)/('Weekly Tracker'!$N$2:$N$766&lt;&gt;""),'Weekly Tracker'!$N$2:$N$766),"")</f>
        <v/>
      </c>
      <c r="L839" s="9">
        <f>IFERROR(LOOKUP(2,1/('Weekly Tracker'!$E$2:$E$766=$A839)/('Weekly Tracker'!$O$2:$O$766&lt;&gt;""),'Weekly Tracker'!$O$2:$O$766),"")</f>
        <v/>
      </c>
    </row>
    <row r="840">
      <c r="A840" s="9" t="inlineStr">
        <is>
          <t>Selva Kumar Scl</t>
        </is>
      </c>
      <c r="B840" s="9" t="inlineStr">
        <is>
          <t>918870269195</t>
        </is>
      </c>
      <c r="C840" s="9" t="n"/>
      <c r="D840" s="9" t="n"/>
      <c r="E840" s="9" t="n"/>
      <c r="F840" s="9">
        <f>IFERROR(LOOKUP(2,1/('Weekly Tracker'!$E$2:$E$766=$A840)/('Weekly Tracker'!$F$2:$F$766&lt;&gt;""),'Weekly Tracker'!$F$2:$F$766),"")</f>
        <v/>
      </c>
      <c r="G840" s="16">
        <f>IF(F840&lt;&gt;"",LOOKUP(2,1/('Weekly Tracker'!$E$2:$E$766=$A840)/('Weekly Tracker'!$F$2:$F$766&lt;&gt;""),'Weekly Tracker'!$G$2:$G$766),"")</f>
        <v/>
      </c>
      <c r="H840" s="9">
        <f>IFERROR(LOOKUP(2,1/('Weekly Tracker'!$E$2:$E$766=$A840)/('Weekly Tracker'!$H$2:$H$766&lt;&gt;""),'Weekly Tracker'!$H$2:$H$766),"")</f>
        <v/>
      </c>
      <c r="I840" s="16">
        <f>IF(H840&lt;&gt;"",LOOKUP(2,1/('Weekly Tracker'!$E$2:$E$766=$A840)/('Weekly Tracker'!$H$2:$H$766&lt;&gt;""),'Weekly Tracker'!$I$2:$I$766),"")</f>
        <v/>
      </c>
      <c r="J840" s="9">
        <f>IFERROR(LOOKUP(2,1/('Weekly Tracker'!$E$2:$E$766=$A840)/('Weekly Tracker'!$J$2:$J$766&lt;&gt;""),'Weekly Tracker'!$J$2:$J$766),"")</f>
        <v/>
      </c>
      <c r="K840" s="9">
        <f>IFERROR(LOOKUP(2,1/('Weekly Tracker'!$E$2:$E$766=$A840)/('Weekly Tracker'!$N$2:$N$766&lt;&gt;""),'Weekly Tracker'!$N$2:$N$766),"")</f>
        <v/>
      </c>
      <c r="L840" s="9">
        <f>IFERROR(LOOKUP(2,1/('Weekly Tracker'!$E$2:$E$766=$A840)/('Weekly Tracker'!$O$2:$O$766&lt;&gt;""),'Weekly Tracker'!$O$2:$O$766),"")</f>
        <v/>
      </c>
    </row>
    <row r="841">
      <c r="A841" s="9" t="inlineStr">
        <is>
          <t>My Idea 121</t>
        </is>
      </c>
      <c r="B841" s="9" t="inlineStr">
        <is>
          <t>121</t>
        </is>
      </c>
      <c r="C841" s="9" t="n"/>
      <c r="D841" s="9" t="n"/>
      <c r="E841" s="9" t="n"/>
      <c r="F841" s="9">
        <f>IFERROR(LOOKUP(2,1/('Weekly Tracker'!$E$2:$E$766=$A841)/('Weekly Tracker'!$F$2:$F$766&lt;&gt;""),'Weekly Tracker'!$F$2:$F$766),"")</f>
        <v/>
      </c>
      <c r="G841" s="16">
        <f>IF(F841&lt;&gt;"",LOOKUP(2,1/('Weekly Tracker'!$E$2:$E$766=$A841)/('Weekly Tracker'!$F$2:$F$766&lt;&gt;""),'Weekly Tracker'!$G$2:$G$766),"")</f>
        <v/>
      </c>
      <c r="H841" s="9">
        <f>IFERROR(LOOKUP(2,1/('Weekly Tracker'!$E$2:$E$766=$A841)/('Weekly Tracker'!$H$2:$H$766&lt;&gt;""),'Weekly Tracker'!$H$2:$H$766),"")</f>
        <v/>
      </c>
      <c r="I841" s="16">
        <f>IF(H841&lt;&gt;"",LOOKUP(2,1/('Weekly Tracker'!$E$2:$E$766=$A841)/('Weekly Tracker'!$H$2:$H$766&lt;&gt;""),'Weekly Tracker'!$I$2:$I$766),"")</f>
        <v/>
      </c>
      <c r="J841" s="9">
        <f>IFERROR(LOOKUP(2,1/('Weekly Tracker'!$E$2:$E$766=$A841)/('Weekly Tracker'!$J$2:$J$766&lt;&gt;""),'Weekly Tracker'!$J$2:$J$766),"")</f>
        <v/>
      </c>
      <c r="K841" s="9">
        <f>IFERROR(LOOKUP(2,1/('Weekly Tracker'!$E$2:$E$766=$A841)/('Weekly Tracker'!$N$2:$N$766&lt;&gt;""),'Weekly Tracker'!$N$2:$N$766),"")</f>
        <v/>
      </c>
      <c r="L841" s="9">
        <f>IFERROR(LOOKUP(2,1/('Weekly Tracker'!$E$2:$E$766=$A841)/('Weekly Tracker'!$O$2:$O$766&lt;&gt;""),'Weekly Tracker'!$O$2:$O$766),"")</f>
        <v/>
      </c>
    </row>
    <row r="842">
      <c r="A842" s="9" t="inlineStr">
        <is>
          <t>Ragul Agarwal Infy</t>
        </is>
      </c>
      <c r="B842" s="9" t="inlineStr">
        <is>
          <t>919971566977</t>
        </is>
      </c>
      <c r="C842" s="9" t="n"/>
      <c r="D842" s="9" t="n"/>
      <c r="E842" s="9" t="n"/>
      <c r="F842" s="9">
        <f>IFERROR(LOOKUP(2,1/('Weekly Tracker'!$E$2:$E$766=$A842)/('Weekly Tracker'!$F$2:$F$766&lt;&gt;""),'Weekly Tracker'!$F$2:$F$766),"")</f>
        <v/>
      </c>
      <c r="G842" s="16">
        <f>IF(F842&lt;&gt;"",LOOKUP(2,1/('Weekly Tracker'!$E$2:$E$766=$A842)/('Weekly Tracker'!$F$2:$F$766&lt;&gt;""),'Weekly Tracker'!$G$2:$G$766),"")</f>
        <v/>
      </c>
      <c r="H842" s="9">
        <f>IFERROR(LOOKUP(2,1/('Weekly Tracker'!$E$2:$E$766=$A842)/('Weekly Tracker'!$H$2:$H$766&lt;&gt;""),'Weekly Tracker'!$H$2:$H$766),"")</f>
        <v/>
      </c>
      <c r="I842" s="16">
        <f>IF(H842&lt;&gt;"",LOOKUP(2,1/('Weekly Tracker'!$E$2:$E$766=$A842)/('Weekly Tracker'!$H$2:$H$766&lt;&gt;""),'Weekly Tracker'!$I$2:$I$766),"")</f>
        <v/>
      </c>
      <c r="J842" s="9">
        <f>IFERROR(LOOKUP(2,1/('Weekly Tracker'!$E$2:$E$766=$A842)/('Weekly Tracker'!$J$2:$J$766&lt;&gt;""),'Weekly Tracker'!$J$2:$J$766),"")</f>
        <v/>
      </c>
      <c r="K842" s="9">
        <f>IFERROR(LOOKUP(2,1/('Weekly Tracker'!$E$2:$E$766=$A842)/('Weekly Tracker'!$N$2:$N$766&lt;&gt;""),'Weekly Tracker'!$N$2:$N$766),"")</f>
        <v/>
      </c>
      <c r="L842" s="9">
        <f>IFERROR(LOOKUP(2,1/('Weekly Tracker'!$E$2:$E$766=$A842)/('Weekly Tracker'!$O$2:$O$766&lt;&gt;""),'Weekly Tracker'!$O$2:$O$766),"")</f>
        <v/>
      </c>
    </row>
    <row r="843">
      <c r="A843" s="9" t="inlineStr">
        <is>
          <t>Suchi PD Verz</t>
        </is>
      </c>
      <c r="B843" s="9" t="inlineStr">
        <is>
          <t>919710418728</t>
        </is>
      </c>
      <c r="C843" s="9" t="n"/>
      <c r="D843" s="9" t="n"/>
      <c r="E843" s="9" t="n"/>
      <c r="F843" s="9">
        <f>IFERROR(LOOKUP(2,1/('Weekly Tracker'!$E$2:$E$766=$A843)/('Weekly Tracker'!$F$2:$F$766&lt;&gt;""),'Weekly Tracker'!$F$2:$F$766),"")</f>
        <v/>
      </c>
      <c r="G843" s="16">
        <f>IF(F843&lt;&gt;"",LOOKUP(2,1/('Weekly Tracker'!$E$2:$E$766=$A843)/('Weekly Tracker'!$F$2:$F$766&lt;&gt;""),'Weekly Tracker'!$G$2:$G$766),"")</f>
        <v/>
      </c>
      <c r="H843" s="9">
        <f>IFERROR(LOOKUP(2,1/('Weekly Tracker'!$E$2:$E$766=$A843)/('Weekly Tracker'!$H$2:$H$766&lt;&gt;""),'Weekly Tracker'!$H$2:$H$766),"")</f>
        <v/>
      </c>
      <c r="I843" s="16">
        <f>IF(H843&lt;&gt;"",LOOKUP(2,1/('Weekly Tracker'!$E$2:$E$766=$A843)/('Weekly Tracker'!$H$2:$H$766&lt;&gt;""),'Weekly Tracker'!$I$2:$I$766),"")</f>
        <v/>
      </c>
      <c r="J843" s="9">
        <f>IFERROR(LOOKUP(2,1/('Weekly Tracker'!$E$2:$E$766=$A843)/('Weekly Tracker'!$J$2:$J$766&lt;&gt;""),'Weekly Tracker'!$J$2:$J$766),"")</f>
        <v/>
      </c>
      <c r="K843" s="9">
        <f>IFERROR(LOOKUP(2,1/('Weekly Tracker'!$E$2:$E$766=$A843)/('Weekly Tracker'!$N$2:$N$766&lt;&gt;""),'Weekly Tracker'!$N$2:$N$766),"")</f>
        <v/>
      </c>
      <c r="L843" s="9">
        <f>IFERROR(LOOKUP(2,1/('Weekly Tracker'!$E$2:$E$766=$A843)/('Weekly Tracker'!$O$2:$O$766&lt;&gt;""),'Weekly Tracker'!$O$2:$O$766),"")</f>
        <v/>
      </c>
    </row>
    <row r="844">
      <c r="A844" s="9" t="inlineStr">
        <is>
          <t>Anirudth Urja</t>
        </is>
      </c>
      <c r="B844" s="9" t="inlineStr">
        <is>
          <t>919003071501</t>
        </is>
      </c>
      <c r="C844" s="9" t="n"/>
      <c r="D844" s="9" t="n"/>
      <c r="E844" s="9" t="n"/>
      <c r="F844" s="9">
        <f>IFERROR(LOOKUP(2,1/('Weekly Tracker'!$E$2:$E$766=$A844)/('Weekly Tracker'!$F$2:$F$766&lt;&gt;""),'Weekly Tracker'!$F$2:$F$766),"")</f>
        <v/>
      </c>
      <c r="G844" s="16">
        <f>IF(F844&lt;&gt;"",LOOKUP(2,1/('Weekly Tracker'!$E$2:$E$766=$A844)/('Weekly Tracker'!$F$2:$F$766&lt;&gt;""),'Weekly Tracker'!$G$2:$G$766),"")</f>
        <v/>
      </c>
      <c r="H844" s="9">
        <f>IFERROR(LOOKUP(2,1/('Weekly Tracker'!$E$2:$E$766=$A844)/('Weekly Tracker'!$H$2:$H$766&lt;&gt;""),'Weekly Tracker'!$H$2:$H$766),"")</f>
        <v/>
      </c>
      <c r="I844" s="16">
        <f>IF(H844&lt;&gt;"",LOOKUP(2,1/('Weekly Tracker'!$E$2:$E$766=$A844)/('Weekly Tracker'!$H$2:$H$766&lt;&gt;""),'Weekly Tracker'!$I$2:$I$766),"")</f>
        <v/>
      </c>
      <c r="J844" s="9">
        <f>IFERROR(LOOKUP(2,1/('Weekly Tracker'!$E$2:$E$766=$A844)/('Weekly Tracker'!$J$2:$J$766&lt;&gt;""),'Weekly Tracker'!$J$2:$J$766),"")</f>
        <v/>
      </c>
      <c r="K844" s="9">
        <f>IFERROR(LOOKUP(2,1/('Weekly Tracker'!$E$2:$E$766=$A844)/('Weekly Tracker'!$N$2:$N$766&lt;&gt;""),'Weekly Tracker'!$N$2:$N$766),"")</f>
        <v/>
      </c>
      <c r="L844" s="9">
        <f>IFERROR(LOOKUP(2,1/('Weekly Tracker'!$E$2:$E$766=$A844)/('Weekly Tracker'!$O$2:$O$766&lt;&gt;""),'Weekly Tracker'!$O$2:$O$766),"")</f>
        <v/>
      </c>
    </row>
    <row r="845">
      <c r="A845" s="9" t="inlineStr">
        <is>
          <t>Budupula Kiran HCL</t>
        </is>
      </c>
      <c r="B845" s="9" t="inlineStr">
        <is>
          <t>9505690699</t>
        </is>
      </c>
      <c r="C845" s="9" t="n"/>
      <c r="D845" s="9" t="n"/>
      <c r="E845" s="9" t="n"/>
      <c r="F845" s="9">
        <f>IFERROR(LOOKUP(2,1/('Weekly Tracker'!$E$2:$E$766=$A845)/('Weekly Tracker'!$F$2:$F$766&lt;&gt;""),'Weekly Tracker'!$F$2:$F$766),"")</f>
        <v/>
      </c>
      <c r="G845" s="16">
        <f>IF(F845&lt;&gt;"",LOOKUP(2,1/('Weekly Tracker'!$E$2:$E$766=$A845)/('Weekly Tracker'!$F$2:$F$766&lt;&gt;""),'Weekly Tracker'!$G$2:$G$766),"")</f>
        <v/>
      </c>
      <c r="H845" s="9">
        <f>IFERROR(LOOKUP(2,1/('Weekly Tracker'!$E$2:$E$766=$A845)/('Weekly Tracker'!$H$2:$H$766&lt;&gt;""),'Weekly Tracker'!$H$2:$H$766),"")</f>
        <v/>
      </c>
      <c r="I845" s="16">
        <f>IF(H845&lt;&gt;"",LOOKUP(2,1/('Weekly Tracker'!$E$2:$E$766=$A845)/('Weekly Tracker'!$H$2:$H$766&lt;&gt;""),'Weekly Tracker'!$I$2:$I$766),"")</f>
        <v/>
      </c>
      <c r="J845" s="9">
        <f>IFERROR(LOOKUP(2,1/('Weekly Tracker'!$E$2:$E$766=$A845)/('Weekly Tracker'!$J$2:$J$766&lt;&gt;""),'Weekly Tracker'!$J$2:$J$766),"")</f>
        <v/>
      </c>
      <c r="K845" s="9">
        <f>IFERROR(LOOKUP(2,1/('Weekly Tracker'!$E$2:$E$766=$A845)/('Weekly Tracker'!$N$2:$N$766&lt;&gt;""),'Weekly Tracker'!$N$2:$N$766),"")</f>
        <v/>
      </c>
      <c r="L845" s="9">
        <f>IFERROR(LOOKUP(2,1/('Weekly Tracker'!$E$2:$E$766=$A845)/('Weekly Tracker'!$O$2:$O$766&lt;&gt;""),'Weekly Tracker'!$O$2:$O$766),"")</f>
        <v/>
      </c>
    </row>
    <row r="846">
      <c r="A846" s="9" t="inlineStr">
        <is>
          <t>Dinesh Raina Insta</t>
        </is>
      </c>
      <c r="B846" s="9" t="inlineStr">
        <is>
          <t>7867913303</t>
        </is>
      </c>
      <c r="C846" s="9" t="n"/>
      <c r="D846" s="9" t="n"/>
      <c r="E846" s="9" t="n"/>
      <c r="F846" s="9">
        <f>IFERROR(LOOKUP(2,1/('Weekly Tracker'!$E$2:$E$766=$A846)/('Weekly Tracker'!$F$2:$F$766&lt;&gt;""),'Weekly Tracker'!$F$2:$F$766),"")</f>
        <v/>
      </c>
      <c r="G846" s="16">
        <f>IF(F846&lt;&gt;"",LOOKUP(2,1/('Weekly Tracker'!$E$2:$E$766=$A846)/('Weekly Tracker'!$F$2:$F$766&lt;&gt;""),'Weekly Tracker'!$G$2:$G$766),"")</f>
        <v/>
      </c>
      <c r="H846" s="9">
        <f>IFERROR(LOOKUP(2,1/('Weekly Tracker'!$E$2:$E$766=$A846)/('Weekly Tracker'!$H$2:$H$766&lt;&gt;""),'Weekly Tracker'!$H$2:$H$766),"")</f>
        <v/>
      </c>
      <c r="I846" s="16">
        <f>IF(H846&lt;&gt;"",LOOKUP(2,1/('Weekly Tracker'!$E$2:$E$766=$A846)/('Weekly Tracker'!$H$2:$H$766&lt;&gt;""),'Weekly Tracker'!$I$2:$I$766),"")</f>
        <v/>
      </c>
      <c r="J846" s="9">
        <f>IFERROR(LOOKUP(2,1/('Weekly Tracker'!$E$2:$E$766=$A846)/('Weekly Tracker'!$J$2:$J$766&lt;&gt;""),'Weekly Tracker'!$J$2:$J$766),"")</f>
        <v/>
      </c>
      <c r="K846" s="9">
        <f>IFERROR(LOOKUP(2,1/('Weekly Tracker'!$E$2:$E$766=$A846)/('Weekly Tracker'!$N$2:$N$766&lt;&gt;""),'Weekly Tracker'!$N$2:$N$766),"")</f>
        <v/>
      </c>
      <c r="L846" s="9">
        <f>IFERROR(LOOKUP(2,1/('Weekly Tracker'!$E$2:$E$766=$A846)/('Weekly Tracker'!$O$2:$O$766&lt;&gt;""),'Weekly Tracker'!$O$2:$O$766),"")</f>
        <v/>
      </c>
    </row>
    <row r="847">
      <c r="A847" s="9" t="inlineStr">
        <is>
          <t>J J Grp</t>
        </is>
      </c>
      <c r="B847" s="9" t="inlineStr">
        <is>
          <t>917867979252</t>
        </is>
      </c>
      <c r="C847" s="9" t="n"/>
      <c r="D847" s="9" t="n"/>
      <c r="E847" s="9" t="n"/>
      <c r="F847" s="9">
        <f>IFERROR(LOOKUP(2,1/('Weekly Tracker'!$E$2:$E$766=$A847)/('Weekly Tracker'!$F$2:$F$766&lt;&gt;""),'Weekly Tracker'!$F$2:$F$766),"")</f>
        <v/>
      </c>
      <c r="G847" s="16">
        <f>IF(F847&lt;&gt;"",LOOKUP(2,1/('Weekly Tracker'!$E$2:$E$766=$A847)/('Weekly Tracker'!$F$2:$F$766&lt;&gt;""),'Weekly Tracker'!$G$2:$G$766),"")</f>
        <v/>
      </c>
      <c r="H847" s="9">
        <f>IFERROR(LOOKUP(2,1/('Weekly Tracker'!$E$2:$E$766=$A847)/('Weekly Tracker'!$H$2:$H$766&lt;&gt;""),'Weekly Tracker'!$H$2:$H$766),"")</f>
        <v/>
      </c>
      <c r="I847" s="16">
        <f>IF(H847&lt;&gt;"",LOOKUP(2,1/('Weekly Tracker'!$E$2:$E$766=$A847)/('Weekly Tracker'!$H$2:$H$766&lt;&gt;""),'Weekly Tracker'!$I$2:$I$766),"")</f>
        <v/>
      </c>
      <c r="J847" s="9">
        <f>IFERROR(LOOKUP(2,1/('Weekly Tracker'!$E$2:$E$766=$A847)/('Weekly Tracker'!$J$2:$J$766&lt;&gt;""),'Weekly Tracker'!$J$2:$J$766),"")</f>
        <v/>
      </c>
      <c r="K847" s="9">
        <f>IFERROR(LOOKUP(2,1/('Weekly Tracker'!$E$2:$E$766=$A847)/('Weekly Tracker'!$N$2:$N$766&lt;&gt;""),'Weekly Tracker'!$N$2:$N$766),"")</f>
        <v/>
      </c>
      <c r="L847" s="9">
        <f>IFERROR(LOOKUP(2,1/('Weekly Tracker'!$E$2:$E$766=$A847)/('Weekly Tracker'!$O$2:$O$766&lt;&gt;""),'Weekly Tracker'!$O$2:$O$766),"")</f>
        <v/>
      </c>
    </row>
    <row r="848">
      <c r="A848" s="9" t="inlineStr">
        <is>
          <t>Golden Rain FB</t>
        </is>
      </c>
      <c r="B848" s="9" t="inlineStr">
        <is>
          <t>9698620026</t>
        </is>
      </c>
      <c r="C848" s="9" t="n"/>
      <c r="D848" s="9" t="n"/>
      <c r="E848" s="9" t="n"/>
      <c r="F848" s="9">
        <f>IFERROR(LOOKUP(2,1/('Weekly Tracker'!$E$2:$E$766=$A848)/('Weekly Tracker'!$F$2:$F$766&lt;&gt;""),'Weekly Tracker'!$F$2:$F$766),"")</f>
        <v/>
      </c>
      <c r="G848" s="16">
        <f>IF(F848&lt;&gt;"",LOOKUP(2,1/('Weekly Tracker'!$E$2:$E$766=$A848)/('Weekly Tracker'!$F$2:$F$766&lt;&gt;""),'Weekly Tracker'!$G$2:$G$766),"")</f>
        <v/>
      </c>
      <c r="H848" s="9">
        <f>IFERROR(LOOKUP(2,1/('Weekly Tracker'!$E$2:$E$766=$A848)/('Weekly Tracker'!$H$2:$H$766&lt;&gt;""),'Weekly Tracker'!$H$2:$H$766),"")</f>
        <v/>
      </c>
      <c r="I848" s="16">
        <f>IF(H848&lt;&gt;"",LOOKUP(2,1/('Weekly Tracker'!$E$2:$E$766=$A848)/('Weekly Tracker'!$H$2:$H$766&lt;&gt;""),'Weekly Tracker'!$I$2:$I$766),"")</f>
        <v/>
      </c>
      <c r="J848" s="9">
        <f>IFERROR(LOOKUP(2,1/('Weekly Tracker'!$E$2:$E$766=$A848)/('Weekly Tracker'!$J$2:$J$766&lt;&gt;""),'Weekly Tracker'!$J$2:$J$766),"")</f>
        <v/>
      </c>
      <c r="K848" s="9">
        <f>IFERROR(LOOKUP(2,1/('Weekly Tracker'!$E$2:$E$766=$A848)/('Weekly Tracker'!$N$2:$N$766&lt;&gt;""),'Weekly Tracker'!$N$2:$N$766),"")</f>
        <v/>
      </c>
      <c r="L848" s="9">
        <f>IFERROR(LOOKUP(2,1/('Weekly Tracker'!$E$2:$E$766=$A848)/('Weekly Tracker'!$O$2:$O$766&lt;&gt;""),'Weekly Tracker'!$O$2:$O$766),"")</f>
        <v/>
      </c>
    </row>
    <row r="849">
      <c r="A849" s="9" t="inlineStr">
        <is>
          <t>Advinth Ece</t>
        </is>
      </c>
      <c r="B849" s="9" t="inlineStr">
        <is>
          <t>919047529608</t>
        </is>
      </c>
      <c r="C849" s="9" t="n"/>
      <c r="D849" s="9" t="n"/>
      <c r="E849" s="9" t="n"/>
      <c r="F849" s="9">
        <f>IFERROR(LOOKUP(2,1/('Weekly Tracker'!$E$2:$E$766=$A849)/('Weekly Tracker'!$F$2:$F$766&lt;&gt;""),'Weekly Tracker'!$F$2:$F$766),"")</f>
        <v/>
      </c>
      <c r="G849" s="16">
        <f>IF(F849&lt;&gt;"",LOOKUP(2,1/('Weekly Tracker'!$E$2:$E$766=$A849)/('Weekly Tracker'!$F$2:$F$766&lt;&gt;""),'Weekly Tracker'!$G$2:$G$766),"")</f>
        <v/>
      </c>
      <c r="H849" s="9">
        <f>IFERROR(LOOKUP(2,1/('Weekly Tracker'!$E$2:$E$766=$A849)/('Weekly Tracker'!$H$2:$H$766&lt;&gt;""),'Weekly Tracker'!$H$2:$H$766),"")</f>
        <v/>
      </c>
      <c r="I849" s="16">
        <f>IF(H849&lt;&gt;"",LOOKUP(2,1/('Weekly Tracker'!$E$2:$E$766=$A849)/('Weekly Tracker'!$H$2:$H$766&lt;&gt;""),'Weekly Tracker'!$I$2:$I$766),"")</f>
        <v/>
      </c>
      <c r="J849" s="9">
        <f>IFERROR(LOOKUP(2,1/('Weekly Tracker'!$E$2:$E$766=$A849)/('Weekly Tracker'!$J$2:$J$766&lt;&gt;""),'Weekly Tracker'!$J$2:$J$766),"")</f>
        <v/>
      </c>
      <c r="K849" s="9">
        <f>IFERROR(LOOKUP(2,1/('Weekly Tracker'!$E$2:$E$766=$A849)/('Weekly Tracker'!$N$2:$N$766&lt;&gt;""),'Weekly Tracker'!$N$2:$N$766),"")</f>
        <v/>
      </c>
      <c r="L849" s="9">
        <f>IFERROR(LOOKUP(2,1/('Weekly Tracker'!$E$2:$E$766=$A849)/('Weekly Tracker'!$O$2:$O$766&lt;&gt;""),'Weekly Tracker'!$O$2:$O$766),"")</f>
        <v/>
      </c>
    </row>
    <row r="850">
      <c r="A850" s="9" t="inlineStr">
        <is>
          <t>Thirumalai Kumara Samy Scl</t>
        </is>
      </c>
      <c r="B850" s="9" t="inlineStr">
        <is>
          <t>9944106109</t>
        </is>
      </c>
      <c r="C850" s="9" t="n"/>
      <c r="D850" s="9" t="n"/>
      <c r="E850" s="9" t="n"/>
      <c r="F850" s="9">
        <f>IFERROR(LOOKUP(2,1/('Weekly Tracker'!$E$2:$E$766=$A850)/('Weekly Tracker'!$F$2:$F$766&lt;&gt;""),'Weekly Tracker'!$F$2:$F$766),"")</f>
        <v/>
      </c>
      <c r="G850" s="16">
        <f>IF(F850&lt;&gt;"",LOOKUP(2,1/('Weekly Tracker'!$E$2:$E$766=$A850)/('Weekly Tracker'!$F$2:$F$766&lt;&gt;""),'Weekly Tracker'!$G$2:$G$766),"")</f>
        <v/>
      </c>
      <c r="H850" s="9">
        <f>IFERROR(LOOKUP(2,1/('Weekly Tracker'!$E$2:$E$766=$A850)/('Weekly Tracker'!$H$2:$H$766&lt;&gt;""),'Weekly Tracker'!$H$2:$H$766),"")</f>
        <v/>
      </c>
      <c r="I850" s="16">
        <f>IF(H850&lt;&gt;"",LOOKUP(2,1/('Weekly Tracker'!$E$2:$E$766=$A850)/('Weekly Tracker'!$H$2:$H$766&lt;&gt;""),'Weekly Tracker'!$I$2:$I$766),"")</f>
        <v/>
      </c>
      <c r="J850" s="9">
        <f>IFERROR(LOOKUP(2,1/('Weekly Tracker'!$E$2:$E$766=$A850)/('Weekly Tracker'!$J$2:$J$766&lt;&gt;""),'Weekly Tracker'!$J$2:$J$766),"")</f>
        <v/>
      </c>
      <c r="K850" s="9">
        <f>IFERROR(LOOKUP(2,1/('Weekly Tracker'!$E$2:$E$766=$A850)/('Weekly Tracker'!$N$2:$N$766&lt;&gt;""),'Weekly Tracker'!$N$2:$N$766),"")</f>
        <v/>
      </c>
      <c r="L850" s="9">
        <f>IFERROR(LOOKUP(2,1/('Weekly Tracker'!$E$2:$E$766=$A850)/('Weekly Tracker'!$O$2:$O$766&lt;&gt;""),'Weekly Tracker'!$O$2:$O$766),"")</f>
        <v/>
      </c>
    </row>
    <row r="851">
      <c r="A851" s="9" t="inlineStr">
        <is>
          <t>Raj Arunachalam FB</t>
        </is>
      </c>
      <c r="B851" s="9" t="inlineStr">
        <is>
          <t>9524408239</t>
        </is>
      </c>
      <c r="C851" s="9" t="n"/>
      <c r="D851" s="9" t="n"/>
      <c r="E851" s="9" t="n"/>
      <c r="F851" s="9">
        <f>IFERROR(LOOKUP(2,1/('Weekly Tracker'!$E$2:$E$766=$A851)/('Weekly Tracker'!$F$2:$F$766&lt;&gt;""),'Weekly Tracker'!$F$2:$F$766),"")</f>
        <v/>
      </c>
      <c r="G851" s="16">
        <f>IF(F851&lt;&gt;"",LOOKUP(2,1/('Weekly Tracker'!$E$2:$E$766=$A851)/('Weekly Tracker'!$F$2:$F$766&lt;&gt;""),'Weekly Tracker'!$G$2:$G$766),"")</f>
        <v/>
      </c>
      <c r="H851" s="9">
        <f>IFERROR(LOOKUP(2,1/('Weekly Tracker'!$E$2:$E$766=$A851)/('Weekly Tracker'!$H$2:$H$766&lt;&gt;""),'Weekly Tracker'!$H$2:$H$766),"")</f>
        <v/>
      </c>
      <c r="I851" s="16">
        <f>IF(H851&lt;&gt;"",LOOKUP(2,1/('Weekly Tracker'!$E$2:$E$766=$A851)/('Weekly Tracker'!$H$2:$H$766&lt;&gt;""),'Weekly Tracker'!$I$2:$I$766),"")</f>
        <v/>
      </c>
      <c r="J851" s="9">
        <f>IFERROR(LOOKUP(2,1/('Weekly Tracker'!$E$2:$E$766=$A851)/('Weekly Tracker'!$J$2:$J$766&lt;&gt;""),'Weekly Tracker'!$J$2:$J$766),"")</f>
        <v/>
      </c>
      <c r="K851" s="9">
        <f>IFERROR(LOOKUP(2,1/('Weekly Tracker'!$E$2:$E$766=$A851)/('Weekly Tracker'!$N$2:$N$766&lt;&gt;""),'Weekly Tracker'!$N$2:$N$766),"")</f>
        <v/>
      </c>
      <c r="L851" s="9">
        <f>IFERROR(LOOKUP(2,1/('Weekly Tracker'!$E$2:$E$766=$A851)/('Weekly Tracker'!$O$2:$O$766&lt;&gt;""),'Weekly Tracker'!$O$2:$O$766),"")</f>
        <v/>
      </c>
    </row>
    <row r="852">
      <c r="A852" s="9" t="inlineStr">
        <is>
          <t>Ashok Krishnan Urja</t>
        </is>
      </c>
      <c r="B852" s="9" t="inlineStr">
        <is>
          <t>9787020183</t>
        </is>
      </c>
      <c r="C852" s="9" t="n"/>
      <c r="D852" s="9" t="n"/>
      <c r="E852" s="9" t="n"/>
      <c r="F852" s="9">
        <f>IFERROR(LOOKUP(2,1/('Weekly Tracker'!$E$2:$E$766=$A852)/('Weekly Tracker'!$F$2:$F$766&lt;&gt;""),'Weekly Tracker'!$F$2:$F$766),"")</f>
        <v/>
      </c>
      <c r="G852" s="16">
        <f>IF(F852&lt;&gt;"",LOOKUP(2,1/('Weekly Tracker'!$E$2:$E$766=$A852)/('Weekly Tracker'!$F$2:$F$766&lt;&gt;""),'Weekly Tracker'!$G$2:$G$766),"")</f>
        <v/>
      </c>
      <c r="H852" s="9">
        <f>IFERROR(LOOKUP(2,1/('Weekly Tracker'!$E$2:$E$766=$A852)/('Weekly Tracker'!$H$2:$H$766&lt;&gt;""),'Weekly Tracker'!$H$2:$H$766),"")</f>
        <v/>
      </c>
      <c r="I852" s="16">
        <f>IF(H852&lt;&gt;"",LOOKUP(2,1/('Weekly Tracker'!$E$2:$E$766=$A852)/('Weekly Tracker'!$H$2:$H$766&lt;&gt;""),'Weekly Tracker'!$I$2:$I$766),"")</f>
        <v/>
      </c>
      <c r="J852" s="9">
        <f>IFERROR(LOOKUP(2,1/('Weekly Tracker'!$E$2:$E$766=$A852)/('Weekly Tracker'!$J$2:$J$766&lt;&gt;""),'Weekly Tracker'!$J$2:$J$766),"")</f>
        <v/>
      </c>
      <c r="K852" s="9">
        <f>IFERROR(LOOKUP(2,1/('Weekly Tracker'!$E$2:$E$766=$A852)/('Weekly Tracker'!$N$2:$N$766&lt;&gt;""),'Weekly Tracker'!$N$2:$N$766),"")</f>
        <v/>
      </c>
      <c r="L852" s="9">
        <f>IFERROR(LOOKUP(2,1/('Weekly Tracker'!$E$2:$E$766=$A852)/('Weekly Tracker'!$O$2:$O$766&lt;&gt;""),'Weekly Tracker'!$O$2:$O$766),"")</f>
        <v/>
      </c>
    </row>
    <row r="853">
      <c r="A853" s="9" t="inlineStr">
        <is>
          <t>Sri Krishna Ra</t>
        </is>
      </c>
      <c r="B853" s="9" t="inlineStr">
        <is>
          <t>917708832880</t>
        </is>
      </c>
      <c r="C853" s="9" t="n"/>
      <c r="D853" s="9" t="n"/>
      <c r="E853" s="9" t="n"/>
      <c r="F853" s="9">
        <f>IFERROR(LOOKUP(2,1/('Weekly Tracker'!$E$2:$E$766=$A853)/('Weekly Tracker'!$F$2:$F$766&lt;&gt;""),'Weekly Tracker'!$F$2:$F$766),"")</f>
        <v/>
      </c>
      <c r="G853" s="16">
        <f>IF(F853&lt;&gt;"",LOOKUP(2,1/('Weekly Tracker'!$E$2:$E$766=$A853)/('Weekly Tracker'!$F$2:$F$766&lt;&gt;""),'Weekly Tracker'!$G$2:$G$766),"")</f>
        <v/>
      </c>
      <c r="H853" s="9">
        <f>IFERROR(LOOKUP(2,1/('Weekly Tracker'!$E$2:$E$766=$A853)/('Weekly Tracker'!$H$2:$H$766&lt;&gt;""),'Weekly Tracker'!$H$2:$H$766),"")</f>
        <v/>
      </c>
      <c r="I853" s="16">
        <f>IF(H853&lt;&gt;"",LOOKUP(2,1/('Weekly Tracker'!$E$2:$E$766=$A853)/('Weekly Tracker'!$H$2:$H$766&lt;&gt;""),'Weekly Tracker'!$I$2:$I$766),"")</f>
        <v/>
      </c>
      <c r="J853" s="9">
        <f>IFERROR(LOOKUP(2,1/('Weekly Tracker'!$E$2:$E$766=$A853)/('Weekly Tracker'!$J$2:$J$766&lt;&gt;""),'Weekly Tracker'!$J$2:$J$766),"")</f>
        <v/>
      </c>
      <c r="K853" s="9">
        <f>IFERROR(LOOKUP(2,1/('Weekly Tracker'!$E$2:$E$766=$A853)/('Weekly Tracker'!$N$2:$N$766&lt;&gt;""),'Weekly Tracker'!$N$2:$N$766),"")</f>
        <v/>
      </c>
      <c r="L853" s="9">
        <f>IFERROR(LOOKUP(2,1/('Weekly Tracker'!$E$2:$E$766=$A853)/('Weekly Tracker'!$O$2:$O$766&lt;&gt;""),'Weekly Tracker'!$O$2:$O$766),"")</f>
        <v/>
      </c>
    </row>
    <row r="854">
      <c r="A854" s="9" t="inlineStr">
        <is>
          <t>Deepan Qs</t>
        </is>
      </c>
      <c r="B854" s="9" t="inlineStr">
        <is>
          <t>9994684117</t>
        </is>
      </c>
      <c r="C854" s="9" t="n"/>
      <c r="D854" s="9" t="n"/>
      <c r="E854" s="9" t="n"/>
      <c r="F854" s="9">
        <f>IFERROR(LOOKUP(2,1/('Weekly Tracker'!$E$2:$E$766=$A854)/('Weekly Tracker'!$F$2:$F$766&lt;&gt;""),'Weekly Tracker'!$F$2:$F$766),"")</f>
        <v/>
      </c>
      <c r="G854" s="16">
        <f>IF(F854&lt;&gt;"",LOOKUP(2,1/('Weekly Tracker'!$E$2:$E$766=$A854)/('Weekly Tracker'!$F$2:$F$766&lt;&gt;""),'Weekly Tracker'!$G$2:$G$766),"")</f>
        <v/>
      </c>
      <c r="H854" s="9">
        <f>IFERROR(LOOKUP(2,1/('Weekly Tracker'!$E$2:$E$766=$A854)/('Weekly Tracker'!$H$2:$H$766&lt;&gt;""),'Weekly Tracker'!$H$2:$H$766),"")</f>
        <v/>
      </c>
      <c r="I854" s="16">
        <f>IF(H854&lt;&gt;"",LOOKUP(2,1/('Weekly Tracker'!$E$2:$E$766=$A854)/('Weekly Tracker'!$H$2:$H$766&lt;&gt;""),'Weekly Tracker'!$I$2:$I$766),"")</f>
        <v/>
      </c>
      <c r="J854" s="9">
        <f>IFERROR(LOOKUP(2,1/('Weekly Tracker'!$E$2:$E$766=$A854)/('Weekly Tracker'!$J$2:$J$766&lt;&gt;""),'Weekly Tracker'!$J$2:$J$766),"")</f>
        <v/>
      </c>
      <c r="K854" s="9">
        <f>IFERROR(LOOKUP(2,1/('Weekly Tracker'!$E$2:$E$766=$A854)/('Weekly Tracker'!$N$2:$N$766&lt;&gt;""),'Weekly Tracker'!$N$2:$N$766),"")</f>
        <v/>
      </c>
      <c r="L854" s="9">
        <f>IFERROR(LOOKUP(2,1/('Weekly Tracker'!$E$2:$E$766=$A854)/('Weekly Tracker'!$O$2:$O$766&lt;&gt;""),'Weekly Tracker'!$O$2:$O$766),"")</f>
        <v/>
      </c>
    </row>
    <row r="855">
      <c r="A855" s="9" t="inlineStr">
        <is>
          <t>Vediyappan Junior</t>
        </is>
      </c>
      <c r="B855" s="9" t="inlineStr">
        <is>
          <t>918056448238</t>
        </is>
      </c>
      <c r="C855" s="9" t="n"/>
      <c r="D855" s="9" t="n"/>
      <c r="E855" s="9" t="n"/>
      <c r="F855" s="9">
        <f>IFERROR(LOOKUP(2,1/('Weekly Tracker'!$E$2:$E$766=$A855)/('Weekly Tracker'!$F$2:$F$766&lt;&gt;""),'Weekly Tracker'!$F$2:$F$766),"")</f>
        <v/>
      </c>
      <c r="G855" s="16">
        <f>IF(F855&lt;&gt;"",LOOKUP(2,1/('Weekly Tracker'!$E$2:$E$766=$A855)/('Weekly Tracker'!$F$2:$F$766&lt;&gt;""),'Weekly Tracker'!$G$2:$G$766),"")</f>
        <v/>
      </c>
      <c r="H855" s="9">
        <f>IFERROR(LOOKUP(2,1/('Weekly Tracker'!$E$2:$E$766=$A855)/('Weekly Tracker'!$H$2:$H$766&lt;&gt;""),'Weekly Tracker'!$H$2:$H$766),"")</f>
        <v/>
      </c>
      <c r="I855" s="16">
        <f>IF(H855&lt;&gt;"",LOOKUP(2,1/('Weekly Tracker'!$E$2:$E$766=$A855)/('Weekly Tracker'!$H$2:$H$766&lt;&gt;""),'Weekly Tracker'!$I$2:$I$766),"")</f>
        <v/>
      </c>
      <c r="J855" s="9">
        <f>IFERROR(LOOKUP(2,1/('Weekly Tracker'!$E$2:$E$766=$A855)/('Weekly Tracker'!$J$2:$J$766&lt;&gt;""),'Weekly Tracker'!$J$2:$J$766),"")</f>
        <v/>
      </c>
      <c r="K855" s="9">
        <f>IFERROR(LOOKUP(2,1/('Weekly Tracker'!$E$2:$E$766=$A855)/('Weekly Tracker'!$N$2:$N$766&lt;&gt;""),'Weekly Tracker'!$N$2:$N$766),"")</f>
        <v/>
      </c>
      <c r="L855" s="9">
        <f>IFERROR(LOOKUP(2,1/('Weekly Tracker'!$E$2:$E$766=$A855)/('Weekly Tracker'!$O$2:$O$766&lt;&gt;""),'Weekly Tracker'!$O$2:$O$766),"")</f>
        <v/>
      </c>
    </row>
    <row r="856">
      <c r="A856" s="9" t="inlineStr">
        <is>
          <t>Kowthavarapu Lokesh HCL</t>
        </is>
      </c>
      <c r="B856" s="9" t="inlineStr">
        <is>
          <t>9848750266</t>
        </is>
      </c>
      <c r="C856" s="9" t="n"/>
      <c r="D856" s="9" t="n"/>
      <c r="E856" s="9" t="n"/>
      <c r="F856" s="9">
        <f>IFERROR(LOOKUP(2,1/('Weekly Tracker'!$E$2:$E$766=$A856)/('Weekly Tracker'!$F$2:$F$766&lt;&gt;""),'Weekly Tracker'!$F$2:$F$766),"")</f>
        <v/>
      </c>
      <c r="G856" s="16">
        <f>IF(F856&lt;&gt;"",LOOKUP(2,1/('Weekly Tracker'!$E$2:$E$766=$A856)/('Weekly Tracker'!$F$2:$F$766&lt;&gt;""),'Weekly Tracker'!$G$2:$G$766),"")</f>
        <v/>
      </c>
      <c r="H856" s="9">
        <f>IFERROR(LOOKUP(2,1/('Weekly Tracker'!$E$2:$E$766=$A856)/('Weekly Tracker'!$H$2:$H$766&lt;&gt;""),'Weekly Tracker'!$H$2:$H$766),"")</f>
        <v/>
      </c>
      <c r="I856" s="16">
        <f>IF(H856&lt;&gt;"",LOOKUP(2,1/('Weekly Tracker'!$E$2:$E$766=$A856)/('Weekly Tracker'!$H$2:$H$766&lt;&gt;""),'Weekly Tracker'!$I$2:$I$766),"")</f>
        <v/>
      </c>
      <c r="J856" s="9">
        <f>IFERROR(LOOKUP(2,1/('Weekly Tracker'!$E$2:$E$766=$A856)/('Weekly Tracker'!$J$2:$J$766&lt;&gt;""),'Weekly Tracker'!$J$2:$J$766),"")</f>
        <v/>
      </c>
      <c r="K856" s="9">
        <f>IFERROR(LOOKUP(2,1/('Weekly Tracker'!$E$2:$E$766=$A856)/('Weekly Tracker'!$N$2:$N$766&lt;&gt;""),'Weekly Tracker'!$N$2:$N$766),"")</f>
        <v/>
      </c>
      <c r="L856" s="9">
        <f>IFERROR(LOOKUP(2,1/('Weekly Tracker'!$E$2:$E$766=$A856)/('Weekly Tracker'!$O$2:$O$766&lt;&gt;""),'Weekly Tracker'!$O$2:$O$766),"")</f>
        <v/>
      </c>
    </row>
    <row r="857">
      <c r="A857" s="9" t="inlineStr">
        <is>
          <t>Ramesh Light Foundation</t>
        </is>
      </c>
      <c r="B857" s="9" t="inlineStr">
        <is>
          <t>+91 86089 51239</t>
        </is>
      </c>
      <c r="C857" s="9" t="n"/>
      <c r="D857" s="9" t="n"/>
      <c r="E857" s="9" t="n"/>
      <c r="F857" s="9">
        <f>IFERROR(LOOKUP(2,1/('Weekly Tracker'!$E$2:$E$766=$A857)/('Weekly Tracker'!$F$2:$F$766&lt;&gt;""),'Weekly Tracker'!$F$2:$F$766),"")</f>
        <v/>
      </c>
      <c r="G857" s="16">
        <f>IF(F857&lt;&gt;"",LOOKUP(2,1/('Weekly Tracker'!$E$2:$E$766=$A857)/('Weekly Tracker'!$F$2:$F$766&lt;&gt;""),'Weekly Tracker'!$G$2:$G$766),"")</f>
        <v/>
      </c>
      <c r="H857" s="9">
        <f>IFERROR(LOOKUP(2,1/('Weekly Tracker'!$E$2:$E$766=$A857)/('Weekly Tracker'!$H$2:$H$766&lt;&gt;""),'Weekly Tracker'!$H$2:$H$766),"")</f>
        <v/>
      </c>
      <c r="I857" s="16">
        <f>IF(H857&lt;&gt;"",LOOKUP(2,1/('Weekly Tracker'!$E$2:$E$766=$A857)/('Weekly Tracker'!$H$2:$H$766&lt;&gt;""),'Weekly Tracker'!$I$2:$I$766),"")</f>
        <v/>
      </c>
      <c r="J857" s="9">
        <f>IFERROR(LOOKUP(2,1/('Weekly Tracker'!$E$2:$E$766=$A857)/('Weekly Tracker'!$J$2:$J$766&lt;&gt;""),'Weekly Tracker'!$J$2:$J$766),"")</f>
        <v/>
      </c>
      <c r="K857" s="9">
        <f>IFERROR(LOOKUP(2,1/('Weekly Tracker'!$E$2:$E$766=$A857)/('Weekly Tracker'!$N$2:$N$766&lt;&gt;""),'Weekly Tracker'!$N$2:$N$766),"")</f>
        <v/>
      </c>
      <c r="L857" s="9">
        <f>IFERROR(LOOKUP(2,1/('Weekly Tracker'!$E$2:$E$766=$A857)/('Weekly Tracker'!$O$2:$O$766&lt;&gt;""),'Weekly Tracker'!$O$2:$O$766),"")</f>
        <v/>
      </c>
    </row>
    <row r="858">
      <c r="A858" s="9" t="inlineStr">
        <is>
          <t>Akka Tmb Ac. no</t>
        </is>
      </c>
      <c r="B858" s="9" t="inlineStr">
        <is>
          <t>204-100-050303193</t>
        </is>
      </c>
      <c r="C858" s="9" t="n"/>
      <c r="D858" s="9" t="n"/>
      <c r="E858" s="9" t="n"/>
      <c r="F858" s="9">
        <f>IFERROR(LOOKUP(2,1/('Weekly Tracker'!$E$2:$E$766=$A858)/('Weekly Tracker'!$F$2:$F$766&lt;&gt;""),'Weekly Tracker'!$F$2:$F$766),"")</f>
        <v/>
      </c>
      <c r="G858" s="16">
        <f>IF(F858&lt;&gt;"",LOOKUP(2,1/('Weekly Tracker'!$E$2:$E$766=$A858)/('Weekly Tracker'!$F$2:$F$766&lt;&gt;""),'Weekly Tracker'!$G$2:$G$766),"")</f>
        <v/>
      </c>
      <c r="H858" s="9">
        <f>IFERROR(LOOKUP(2,1/('Weekly Tracker'!$E$2:$E$766=$A858)/('Weekly Tracker'!$H$2:$H$766&lt;&gt;""),'Weekly Tracker'!$H$2:$H$766),"")</f>
        <v/>
      </c>
      <c r="I858" s="16">
        <f>IF(H858&lt;&gt;"",LOOKUP(2,1/('Weekly Tracker'!$E$2:$E$766=$A858)/('Weekly Tracker'!$H$2:$H$766&lt;&gt;""),'Weekly Tracker'!$I$2:$I$766),"")</f>
        <v/>
      </c>
      <c r="J858" s="9">
        <f>IFERROR(LOOKUP(2,1/('Weekly Tracker'!$E$2:$E$766=$A858)/('Weekly Tracker'!$J$2:$J$766&lt;&gt;""),'Weekly Tracker'!$J$2:$J$766),"")</f>
        <v/>
      </c>
      <c r="K858" s="9">
        <f>IFERROR(LOOKUP(2,1/('Weekly Tracker'!$E$2:$E$766=$A858)/('Weekly Tracker'!$N$2:$N$766&lt;&gt;""),'Weekly Tracker'!$N$2:$N$766),"")</f>
        <v/>
      </c>
      <c r="L858" s="9">
        <f>IFERROR(LOOKUP(2,1/('Weekly Tracker'!$E$2:$E$766=$A858)/('Weekly Tracker'!$O$2:$O$766&lt;&gt;""),'Weekly Tracker'!$O$2:$O$766),"")</f>
        <v/>
      </c>
    </row>
    <row r="859">
      <c r="A859" s="9" t="inlineStr">
        <is>
          <t>Venky Devops Urja</t>
        </is>
      </c>
      <c r="B859" s="9" t="inlineStr">
        <is>
          <t>918688429635</t>
        </is>
      </c>
      <c r="C859" s="9" t="n"/>
      <c r="D859" s="9" t="n"/>
      <c r="E859" s="9" t="n"/>
      <c r="F859" s="9">
        <f>IFERROR(LOOKUP(2,1/('Weekly Tracker'!$E$2:$E$766=$A859)/('Weekly Tracker'!$F$2:$F$766&lt;&gt;""),'Weekly Tracker'!$F$2:$F$766),"")</f>
        <v/>
      </c>
      <c r="G859" s="16">
        <f>IF(F859&lt;&gt;"",LOOKUP(2,1/('Weekly Tracker'!$E$2:$E$766=$A859)/('Weekly Tracker'!$F$2:$F$766&lt;&gt;""),'Weekly Tracker'!$G$2:$G$766),"")</f>
        <v/>
      </c>
      <c r="H859" s="9">
        <f>IFERROR(LOOKUP(2,1/('Weekly Tracker'!$E$2:$E$766=$A859)/('Weekly Tracker'!$H$2:$H$766&lt;&gt;""),'Weekly Tracker'!$H$2:$H$766),"")</f>
        <v/>
      </c>
      <c r="I859" s="16">
        <f>IF(H859&lt;&gt;"",LOOKUP(2,1/('Weekly Tracker'!$E$2:$E$766=$A859)/('Weekly Tracker'!$H$2:$H$766&lt;&gt;""),'Weekly Tracker'!$I$2:$I$766),"")</f>
        <v/>
      </c>
      <c r="J859" s="9">
        <f>IFERROR(LOOKUP(2,1/('Weekly Tracker'!$E$2:$E$766=$A859)/('Weekly Tracker'!$J$2:$J$766&lt;&gt;""),'Weekly Tracker'!$J$2:$J$766),"")</f>
        <v/>
      </c>
      <c r="K859" s="9">
        <f>IFERROR(LOOKUP(2,1/('Weekly Tracker'!$E$2:$E$766=$A859)/('Weekly Tracker'!$N$2:$N$766&lt;&gt;""),'Weekly Tracker'!$N$2:$N$766),"")</f>
        <v/>
      </c>
      <c r="L859" s="9">
        <f>IFERROR(LOOKUP(2,1/('Weekly Tracker'!$E$2:$E$766=$A859)/('Weekly Tracker'!$O$2:$O$766&lt;&gt;""),'Weekly Tracker'!$O$2:$O$766),"")</f>
        <v/>
      </c>
    </row>
    <row r="860">
      <c r="A860" s="9" t="inlineStr">
        <is>
          <t>ManoJ KumaR Mech</t>
        </is>
      </c>
      <c r="B860" s="9" t="inlineStr">
        <is>
          <t>971553226798</t>
        </is>
      </c>
      <c r="C860" s="9" t="n"/>
      <c r="D860" s="9" t="n"/>
      <c r="E860" s="9" t="n"/>
      <c r="F860" s="9">
        <f>IFERROR(LOOKUP(2,1/('Weekly Tracker'!$E$2:$E$766=$A860)/('Weekly Tracker'!$F$2:$F$766&lt;&gt;""),'Weekly Tracker'!$F$2:$F$766),"")</f>
        <v/>
      </c>
      <c r="G860" s="16">
        <f>IF(F860&lt;&gt;"",LOOKUP(2,1/('Weekly Tracker'!$E$2:$E$766=$A860)/('Weekly Tracker'!$F$2:$F$766&lt;&gt;""),'Weekly Tracker'!$G$2:$G$766),"")</f>
        <v/>
      </c>
      <c r="H860" s="9">
        <f>IFERROR(LOOKUP(2,1/('Weekly Tracker'!$E$2:$E$766=$A860)/('Weekly Tracker'!$H$2:$H$766&lt;&gt;""),'Weekly Tracker'!$H$2:$H$766),"")</f>
        <v/>
      </c>
      <c r="I860" s="16">
        <f>IF(H860&lt;&gt;"",LOOKUP(2,1/('Weekly Tracker'!$E$2:$E$766=$A860)/('Weekly Tracker'!$H$2:$H$766&lt;&gt;""),'Weekly Tracker'!$I$2:$I$766),"")</f>
        <v/>
      </c>
      <c r="J860" s="9">
        <f>IFERROR(LOOKUP(2,1/('Weekly Tracker'!$E$2:$E$766=$A860)/('Weekly Tracker'!$J$2:$J$766&lt;&gt;""),'Weekly Tracker'!$J$2:$J$766),"")</f>
        <v/>
      </c>
      <c r="K860" s="9">
        <f>IFERROR(LOOKUP(2,1/('Weekly Tracker'!$E$2:$E$766=$A860)/('Weekly Tracker'!$N$2:$N$766&lt;&gt;""),'Weekly Tracker'!$N$2:$N$766),"")</f>
        <v/>
      </c>
      <c r="L860" s="9">
        <f>IFERROR(LOOKUP(2,1/('Weekly Tracker'!$E$2:$E$766=$A860)/('Weekly Tracker'!$O$2:$O$766&lt;&gt;""),'Weekly Tracker'!$O$2:$O$766),"")</f>
        <v/>
      </c>
    </row>
    <row r="861">
      <c r="A861" s="9" t="inlineStr">
        <is>
          <t>Mari Bala FB</t>
        </is>
      </c>
      <c r="B861" s="9" t="inlineStr">
        <is>
          <t>9043544587</t>
        </is>
      </c>
      <c r="C861" s="9" t="n"/>
      <c r="D861" s="9" t="n"/>
      <c r="E861" s="9" t="n"/>
      <c r="F861" s="9">
        <f>IFERROR(LOOKUP(2,1/('Weekly Tracker'!$E$2:$E$766=$A861)/('Weekly Tracker'!$F$2:$F$766&lt;&gt;""),'Weekly Tracker'!$F$2:$F$766),"")</f>
        <v/>
      </c>
      <c r="G861" s="16">
        <f>IF(F861&lt;&gt;"",LOOKUP(2,1/('Weekly Tracker'!$E$2:$E$766=$A861)/('Weekly Tracker'!$F$2:$F$766&lt;&gt;""),'Weekly Tracker'!$G$2:$G$766),"")</f>
        <v/>
      </c>
      <c r="H861" s="9">
        <f>IFERROR(LOOKUP(2,1/('Weekly Tracker'!$E$2:$E$766=$A861)/('Weekly Tracker'!$H$2:$H$766&lt;&gt;""),'Weekly Tracker'!$H$2:$H$766),"")</f>
        <v/>
      </c>
      <c r="I861" s="16">
        <f>IF(H861&lt;&gt;"",LOOKUP(2,1/('Weekly Tracker'!$E$2:$E$766=$A861)/('Weekly Tracker'!$H$2:$H$766&lt;&gt;""),'Weekly Tracker'!$I$2:$I$766),"")</f>
        <v/>
      </c>
      <c r="J861" s="9">
        <f>IFERROR(LOOKUP(2,1/('Weekly Tracker'!$E$2:$E$766=$A861)/('Weekly Tracker'!$J$2:$J$766&lt;&gt;""),'Weekly Tracker'!$J$2:$J$766),"")</f>
        <v/>
      </c>
      <c r="K861" s="9">
        <f>IFERROR(LOOKUP(2,1/('Weekly Tracker'!$E$2:$E$766=$A861)/('Weekly Tracker'!$N$2:$N$766&lt;&gt;""),'Weekly Tracker'!$N$2:$N$766),"")</f>
        <v/>
      </c>
      <c r="L861" s="9">
        <f>IFERROR(LOOKUP(2,1/('Weekly Tracker'!$E$2:$E$766=$A861)/('Weekly Tracker'!$O$2:$O$766&lt;&gt;""),'Weekly Tracker'!$O$2:$O$766),"")</f>
        <v/>
      </c>
    </row>
    <row r="862">
      <c r="A862" s="9" t="inlineStr">
        <is>
          <t>Krish Bala Scl</t>
        </is>
      </c>
      <c r="B862" s="9" t="inlineStr">
        <is>
          <t>8870499086</t>
        </is>
      </c>
      <c r="C862" s="9" t="n"/>
      <c r="D862" s="9" t="n"/>
      <c r="E862" s="9" t="n"/>
      <c r="F862" s="9">
        <f>IFERROR(LOOKUP(2,1/('Weekly Tracker'!$E$2:$E$766=$A862)/('Weekly Tracker'!$F$2:$F$766&lt;&gt;""),'Weekly Tracker'!$F$2:$F$766),"")</f>
        <v/>
      </c>
      <c r="G862" s="16">
        <f>IF(F862&lt;&gt;"",LOOKUP(2,1/('Weekly Tracker'!$E$2:$E$766=$A862)/('Weekly Tracker'!$F$2:$F$766&lt;&gt;""),'Weekly Tracker'!$G$2:$G$766),"")</f>
        <v/>
      </c>
      <c r="H862" s="9">
        <f>IFERROR(LOOKUP(2,1/('Weekly Tracker'!$E$2:$E$766=$A862)/('Weekly Tracker'!$H$2:$H$766&lt;&gt;""),'Weekly Tracker'!$H$2:$H$766),"")</f>
        <v/>
      </c>
      <c r="I862" s="16">
        <f>IF(H862&lt;&gt;"",LOOKUP(2,1/('Weekly Tracker'!$E$2:$E$766=$A862)/('Weekly Tracker'!$H$2:$H$766&lt;&gt;""),'Weekly Tracker'!$I$2:$I$766),"")</f>
        <v/>
      </c>
      <c r="J862" s="9">
        <f>IFERROR(LOOKUP(2,1/('Weekly Tracker'!$E$2:$E$766=$A862)/('Weekly Tracker'!$J$2:$J$766&lt;&gt;""),'Weekly Tracker'!$J$2:$J$766),"")</f>
        <v/>
      </c>
      <c r="K862" s="9">
        <f>IFERROR(LOOKUP(2,1/('Weekly Tracker'!$E$2:$E$766=$A862)/('Weekly Tracker'!$N$2:$N$766&lt;&gt;""),'Weekly Tracker'!$N$2:$N$766),"")</f>
        <v/>
      </c>
      <c r="L862" s="9">
        <f>IFERROR(LOOKUP(2,1/('Weekly Tracker'!$E$2:$E$766=$A862)/('Weekly Tracker'!$O$2:$O$766&lt;&gt;""),'Weekly Tracker'!$O$2:$O$766),"")</f>
        <v/>
      </c>
    </row>
    <row r="863">
      <c r="A863" s="9" t="inlineStr">
        <is>
          <t>Jerin Amirtha Raj Mech</t>
        </is>
      </c>
      <c r="B863" s="9" t="inlineStr">
        <is>
          <t>918870148404</t>
        </is>
      </c>
      <c r="C863" s="9" t="n"/>
      <c r="D863" s="9" t="n"/>
      <c r="E863" s="9" t="n"/>
      <c r="F863" s="9">
        <f>IFERROR(LOOKUP(2,1/('Weekly Tracker'!$E$2:$E$766=$A863)/('Weekly Tracker'!$F$2:$F$766&lt;&gt;""),'Weekly Tracker'!$F$2:$F$766),"")</f>
        <v/>
      </c>
      <c r="G863" s="16">
        <f>IF(F863&lt;&gt;"",LOOKUP(2,1/('Weekly Tracker'!$E$2:$E$766=$A863)/('Weekly Tracker'!$F$2:$F$766&lt;&gt;""),'Weekly Tracker'!$G$2:$G$766),"")</f>
        <v/>
      </c>
      <c r="H863" s="9">
        <f>IFERROR(LOOKUP(2,1/('Weekly Tracker'!$E$2:$E$766=$A863)/('Weekly Tracker'!$H$2:$H$766&lt;&gt;""),'Weekly Tracker'!$H$2:$H$766),"")</f>
        <v/>
      </c>
      <c r="I863" s="16">
        <f>IF(H863&lt;&gt;"",LOOKUP(2,1/('Weekly Tracker'!$E$2:$E$766=$A863)/('Weekly Tracker'!$H$2:$H$766&lt;&gt;""),'Weekly Tracker'!$I$2:$I$766),"")</f>
        <v/>
      </c>
      <c r="J863" s="9">
        <f>IFERROR(LOOKUP(2,1/('Weekly Tracker'!$E$2:$E$766=$A863)/('Weekly Tracker'!$J$2:$J$766&lt;&gt;""),'Weekly Tracker'!$J$2:$J$766),"")</f>
        <v/>
      </c>
      <c r="K863" s="9">
        <f>IFERROR(LOOKUP(2,1/('Weekly Tracker'!$E$2:$E$766=$A863)/('Weekly Tracker'!$N$2:$N$766&lt;&gt;""),'Weekly Tracker'!$N$2:$N$766),"")</f>
        <v/>
      </c>
      <c r="L863" s="9">
        <f>IFERROR(LOOKUP(2,1/('Weekly Tracker'!$E$2:$E$766=$A863)/('Weekly Tracker'!$O$2:$O$766&lt;&gt;""),'Weekly Tracker'!$O$2:$O$766),"")</f>
        <v/>
      </c>
    </row>
    <row r="864">
      <c r="A864" s="9" t="inlineStr">
        <is>
          <t>Vijaylakshmi</t>
        </is>
      </c>
      <c r="B864" s="9" t="inlineStr">
        <is>
          <t>918903507054</t>
        </is>
      </c>
      <c r="C864" s="9" t="n"/>
      <c r="D864" s="9" t="n"/>
      <c r="E864" s="9" t="n"/>
      <c r="F864" s="9">
        <f>IFERROR(LOOKUP(2,1/('Weekly Tracker'!$E$2:$E$766=$A864)/('Weekly Tracker'!$F$2:$F$766&lt;&gt;""),'Weekly Tracker'!$F$2:$F$766),"")</f>
        <v/>
      </c>
      <c r="G864" s="16">
        <f>IF(F864&lt;&gt;"",LOOKUP(2,1/('Weekly Tracker'!$E$2:$E$766=$A864)/('Weekly Tracker'!$F$2:$F$766&lt;&gt;""),'Weekly Tracker'!$G$2:$G$766),"")</f>
        <v/>
      </c>
      <c r="H864" s="9">
        <f>IFERROR(LOOKUP(2,1/('Weekly Tracker'!$E$2:$E$766=$A864)/('Weekly Tracker'!$H$2:$H$766&lt;&gt;""),'Weekly Tracker'!$H$2:$H$766),"")</f>
        <v/>
      </c>
      <c r="I864" s="16">
        <f>IF(H864&lt;&gt;"",LOOKUP(2,1/('Weekly Tracker'!$E$2:$E$766=$A864)/('Weekly Tracker'!$H$2:$H$766&lt;&gt;""),'Weekly Tracker'!$I$2:$I$766),"")</f>
        <v/>
      </c>
      <c r="J864" s="9">
        <f>IFERROR(LOOKUP(2,1/('Weekly Tracker'!$E$2:$E$766=$A864)/('Weekly Tracker'!$J$2:$J$766&lt;&gt;""),'Weekly Tracker'!$J$2:$J$766),"")</f>
        <v/>
      </c>
      <c r="K864" s="9">
        <f>IFERROR(LOOKUP(2,1/('Weekly Tracker'!$E$2:$E$766=$A864)/('Weekly Tracker'!$N$2:$N$766&lt;&gt;""),'Weekly Tracker'!$N$2:$N$766),"")</f>
        <v/>
      </c>
      <c r="L864" s="9">
        <f>IFERROR(LOOKUP(2,1/('Weekly Tracker'!$E$2:$E$766=$A864)/('Weekly Tracker'!$O$2:$O$766&lt;&gt;""),'Weekly Tracker'!$O$2:$O$766),"")</f>
        <v/>
      </c>
    </row>
    <row r="865">
      <c r="A865" s="9" t="inlineStr">
        <is>
          <t>Parthiban Qs</t>
        </is>
      </c>
      <c r="B865" s="9" t="inlineStr">
        <is>
          <t>6581291996</t>
        </is>
      </c>
      <c r="C865" s="9" t="n"/>
      <c r="D865" s="9" t="n"/>
      <c r="E865" s="9" t="n"/>
      <c r="F865" s="9">
        <f>IFERROR(LOOKUP(2,1/('Weekly Tracker'!$E$2:$E$766=$A865)/('Weekly Tracker'!$F$2:$F$766&lt;&gt;""),'Weekly Tracker'!$F$2:$F$766),"")</f>
        <v/>
      </c>
      <c r="G865" s="16">
        <f>IF(F865&lt;&gt;"",LOOKUP(2,1/('Weekly Tracker'!$E$2:$E$766=$A865)/('Weekly Tracker'!$F$2:$F$766&lt;&gt;""),'Weekly Tracker'!$G$2:$G$766),"")</f>
        <v/>
      </c>
      <c r="H865" s="9">
        <f>IFERROR(LOOKUP(2,1/('Weekly Tracker'!$E$2:$E$766=$A865)/('Weekly Tracker'!$H$2:$H$766&lt;&gt;""),'Weekly Tracker'!$H$2:$H$766),"")</f>
        <v/>
      </c>
      <c r="I865" s="16">
        <f>IF(H865&lt;&gt;"",LOOKUP(2,1/('Weekly Tracker'!$E$2:$E$766=$A865)/('Weekly Tracker'!$H$2:$H$766&lt;&gt;""),'Weekly Tracker'!$I$2:$I$766),"")</f>
        <v/>
      </c>
      <c r="J865" s="9">
        <f>IFERROR(LOOKUP(2,1/('Weekly Tracker'!$E$2:$E$766=$A865)/('Weekly Tracker'!$J$2:$J$766&lt;&gt;""),'Weekly Tracker'!$J$2:$J$766),"")</f>
        <v/>
      </c>
      <c r="K865" s="9">
        <f>IFERROR(LOOKUP(2,1/('Weekly Tracker'!$E$2:$E$766=$A865)/('Weekly Tracker'!$N$2:$N$766&lt;&gt;""),'Weekly Tracker'!$N$2:$N$766),"")</f>
        <v/>
      </c>
      <c r="L865" s="9">
        <f>IFERROR(LOOKUP(2,1/('Weekly Tracker'!$E$2:$E$766=$A865)/('Weekly Tracker'!$O$2:$O$766&lt;&gt;""),'Weekly Tracker'!$O$2:$O$766),"")</f>
        <v/>
      </c>
    </row>
    <row r="866">
      <c r="A866" s="9" t="inlineStr">
        <is>
          <t>Ramesh-M FB</t>
        </is>
      </c>
      <c r="B866" s="9" t="inlineStr">
        <is>
          <t>917667151895</t>
        </is>
      </c>
      <c r="C866" s="9" t="n"/>
      <c r="D866" s="9" t="n"/>
      <c r="E866" s="9" t="n"/>
      <c r="F866" s="9">
        <f>IFERROR(LOOKUP(2,1/('Weekly Tracker'!$E$2:$E$766=$A866)/('Weekly Tracker'!$F$2:$F$766&lt;&gt;""),'Weekly Tracker'!$F$2:$F$766),"")</f>
        <v/>
      </c>
      <c r="G866" s="16">
        <f>IF(F866&lt;&gt;"",LOOKUP(2,1/('Weekly Tracker'!$E$2:$E$766=$A866)/('Weekly Tracker'!$F$2:$F$766&lt;&gt;""),'Weekly Tracker'!$G$2:$G$766),"")</f>
        <v/>
      </c>
      <c r="H866" s="9">
        <f>IFERROR(LOOKUP(2,1/('Weekly Tracker'!$E$2:$E$766=$A866)/('Weekly Tracker'!$H$2:$H$766&lt;&gt;""),'Weekly Tracker'!$H$2:$H$766),"")</f>
        <v/>
      </c>
      <c r="I866" s="16">
        <f>IF(H866&lt;&gt;"",LOOKUP(2,1/('Weekly Tracker'!$E$2:$E$766=$A866)/('Weekly Tracker'!$H$2:$H$766&lt;&gt;""),'Weekly Tracker'!$I$2:$I$766),"")</f>
        <v/>
      </c>
      <c r="J866" s="9">
        <f>IFERROR(LOOKUP(2,1/('Weekly Tracker'!$E$2:$E$766=$A866)/('Weekly Tracker'!$J$2:$J$766&lt;&gt;""),'Weekly Tracker'!$J$2:$J$766),"")</f>
        <v/>
      </c>
      <c r="K866" s="9">
        <f>IFERROR(LOOKUP(2,1/('Weekly Tracker'!$E$2:$E$766=$A866)/('Weekly Tracker'!$N$2:$N$766&lt;&gt;""),'Weekly Tracker'!$N$2:$N$766),"")</f>
        <v/>
      </c>
      <c r="L866" s="9">
        <f>IFERROR(LOOKUP(2,1/('Weekly Tracker'!$E$2:$E$766=$A866)/('Weekly Tracker'!$O$2:$O$766&lt;&gt;""),'Weekly Tracker'!$O$2:$O$766),"")</f>
        <v/>
      </c>
    </row>
    <row r="867">
      <c r="A867" s="9" t="inlineStr">
        <is>
          <t>Nagendran Scl</t>
        </is>
      </c>
      <c r="B867" s="9" t="inlineStr">
        <is>
          <t>966571885410</t>
        </is>
      </c>
      <c r="C867" s="9" t="n"/>
      <c r="D867" s="9" t="n"/>
      <c r="E867" s="9" t="n"/>
      <c r="F867" s="9">
        <f>IFERROR(LOOKUP(2,1/('Weekly Tracker'!$E$2:$E$766=$A867)/('Weekly Tracker'!$F$2:$F$766&lt;&gt;""),'Weekly Tracker'!$F$2:$F$766),"")</f>
        <v/>
      </c>
      <c r="G867" s="16">
        <f>IF(F867&lt;&gt;"",LOOKUP(2,1/('Weekly Tracker'!$E$2:$E$766=$A867)/('Weekly Tracker'!$F$2:$F$766&lt;&gt;""),'Weekly Tracker'!$G$2:$G$766),"")</f>
        <v/>
      </c>
      <c r="H867" s="9">
        <f>IFERROR(LOOKUP(2,1/('Weekly Tracker'!$E$2:$E$766=$A867)/('Weekly Tracker'!$H$2:$H$766&lt;&gt;""),'Weekly Tracker'!$H$2:$H$766),"")</f>
        <v/>
      </c>
      <c r="I867" s="16">
        <f>IF(H867&lt;&gt;"",LOOKUP(2,1/('Weekly Tracker'!$E$2:$E$766=$A867)/('Weekly Tracker'!$H$2:$H$766&lt;&gt;""),'Weekly Tracker'!$I$2:$I$766),"")</f>
        <v/>
      </c>
      <c r="J867" s="9">
        <f>IFERROR(LOOKUP(2,1/('Weekly Tracker'!$E$2:$E$766=$A867)/('Weekly Tracker'!$J$2:$J$766&lt;&gt;""),'Weekly Tracker'!$J$2:$J$766),"")</f>
        <v/>
      </c>
      <c r="K867" s="9">
        <f>IFERROR(LOOKUP(2,1/('Weekly Tracker'!$E$2:$E$766=$A867)/('Weekly Tracker'!$N$2:$N$766&lt;&gt;""),'Weekly Tracker'!$N$2:$N$766),"")</f>
        <v/>
      </c>
      <c r="L867" s="9">
        <f>IFERROR(LOOKUP(2,1/('Weekly Tracker'!$E$2:$E$766=$A867)/('Weekly Tracker'!$O$2:$O$766&lt;&gt;""),'Weekly Tracker'!$O$2:$O$766),"")</f>
        <v/>
      </c>
    </row>
    <row r="868">
      <c r="A868" s="9" t="inlineStr">
        <is>
          <t>Vijay A Infy</t>
        </is>
      </c>
      <c r="B868" s="9" t="inlineStr">
        <is>
          <t>918807563115</t>
        </is>
      </c>
      <c r="C868" s="9" t="n"/>
      <c r="D868" s="9" t="n"/>
      <c r="E868" s="9" t="n"/>
      <c r="F868" s="9">
        <f>IFERROR(LOOKUP(2,1/('Weekly Tracker'!$E$2:$E$766=$A868)/('Weekly Tracker'!$F$2:$F$766&lt;&gt;""),'Weekly Tracker'!$F$2:$F$766),"")</f>
        <v/>
      </c>
      <c r="G868" s="16">
        <f>IF(F868&lt;&gt;"",LOOKUP(2,1/('Weekly Tracker'!$E$2:$E$766=$A868)/('Weekly Tracker'!$F$2:$F$766&lt;&gt;""),'Weekly Tracker'!$G$2:$G$766),"")</f>
        <v/>
      </c>
      <c r="H868" s="9">
        <f>IFERROR(LOOKUP(2,1/('Weekly Tracker'!$E$2:$E$766=$A868)/('Weekly Tracker'!$H$2:$H$766&lt;&gt;""),'Weekly Tracker'!$H$2:$H$766),"")</f>
        <v/>
      </c>
      <c r="I868" s="16">
        <f>IF(H868&lt;&gt;"",LOOKUP(2,1/('Weekly Tracker'!$E$2:$E$766=$A868)/('Weekly Tracker'!$H$2:$H$766&lt;&gt;""),'Weekly Tracker'!$I$2:$I$766),"")</f>
        <v/>
      </c>
      <c r="J868" s="9">
        <f>IFERROR(LOOKUP(2,1/('Weekly Tracker'!$E$2:$E$766=$A868)/('Weekly Tracker'!$J$2:$J$766&lt;&gt;""),'Weekly Tracker'!$J$2:$J$766),"")</f>
        <v/>
      </c>
      <c r="K868" s="9">
        <f>IFERROR(LOOKUP(2,1/('Weekly Tracker'!$E$2:$E$766=$A868)/('Weekly Tracker'!$N$2:$N$766&lt;&gt;""),'Weekly Tracker'!$N$2:$N$766),"")</f>
        <v/>
      </c>
      <c r="L868" s="9">
        <f>IFERROR(LOOKUP(2,1/('Weekly Tracker'!$E$2:$E$766=$A868)/('Weekly Tracker'!$O$2:$O$766&lt;&gt;""),'Weekly Tracker'!$O$2:$O$766),"")</f>
        <v/>
      </c>
    </row>
    <row r="869">
      <c r="A869" s="9" t="inlineStr">
        <is>
          <t>Balaji qs. 1</t>
        </is>
      </c>
      <c r="B869" s="9" t="inlineStr">
        <is>
          <t>919500632715</t>
        </is>
      </c>
      <c r="C869" s="9" t="n"/>
      <c r="D869" s="9" t="n"/>
      <c r="E869" s="9" t="n"/>
      <c r="F869" s="9">
        <f>IFERROR(LOOKUP(2,1/('Weekly Tracker'!$E$2:$E$766=$A869)/('Weekly Tracker'!$F$2:$F$766&lt;&gt;""),'Weekly Tracker'!$F$2:$F$766),"")</f>
        <v/>
      </c>
      <c r="G869" s="16">
        <f>IF(F869&lt;&gt;"",LOOKUP(2,1/('Weekly Tracker'!$E$2:$E$766=$A869)/('Weekly Tracker'!$F$2:$F$766&lt;&gt;""),'Weekly Tracker'!$G$2:$G$766),"")</f>
        <v/>
      </c>
      <c r="H869" s="9">
        <f>IFERROR(LOOKUP(2,1/('Weekly Tracker'!$E$2:$E$766=$A869)/('Weekly Tracker'!$H$2:$H$766&lt;&gt;""),'Weekly Tracker'!$H$2:$H$766),"")</f>
        <v/>
      </c>
      <c r="I869" s="16">
        <f>IF(H869&lt;&gt;"",LOOKUP(2,1/('Weekly Tracker'!$E$2:$E$766=$A869)/('Weekly Tracker'!$H$2:$H$766&lt;&gt;""),'Weekly Tracker'!$I$2:$I$766),"")</f>
        <v/>
      </c>
      <c r="J869" s="9">
        <f>IFERROR(LOOKUP(2,1/('Weekly Tracker'!$E$2:$E$766=$A869)/('Weekly Tracker'!$J$2:$J$766&lt;&gt;""),'Weekly Tracker'!$J$2:$J$766),"")</f>
        <v/>
      </c>
      <c r="K869" s="9">
        <f>IFERROR(LOOKUP(2,1/('Weekly Tracker'!$E$2:$E$766=$A869)/('Weekly Tracker'!$N$2:$N$766&lt;&gt;""),'Weekly Tracker'!$N$2:$N$766),"")</f>
        <v/>
      </c>
      <c r="L869" s="9">
        <f>IFERROR(LOOKUP(2,1/('Weekly Tracker'!$E$2:$E$766=$A869)/('Weekly Tracker'!$O$2:$O$766&lt;&gt;""),'Weekly Tracker'!$O$2:$O$766),"")</f>
        <v/>
      </c>
    </row>
    <row r="870">
      <c r="A870" s="9" t="inlineStr">
        <is>
          <t>Mariyaraj FB</t>
        </is>
      </c>
      <c r="B870" s="9" t="inlineStr">
        <is>
          <t>9042203533</t>
        </is>
      </c>
      <c r="C870" s="9" t="n"/>
      <c r="D870" s="9" t="n"/>
      <c r="E870" s="9" t="n"/>
      <c r="F870" s="9">
        <f>IFERROR(LOOKUP(2,1/('Weekly Tracker'!$E$2:$E$766=$A870)/('Weekly Tracker'!$F$2:$F$766&lt;&gt;""),'Weekly Tracker'!$F$2:$F$766),"")</f>
        <v/>
      </c>
      <c r="G870" s="16">
        <f>IF(F870&lt;&gt;"",LOOKUP(2,1/('Weekly Tracker'!$E$2:$E$766=$A870)/('Weekly Tracker'!$F$2:$F$766&lt;&gt;""),'Weekly Tracker'!$G$2:$G$766),"")</f>
        <v/>
      </c>
      <c r="H870" s="9">
        <f>IFERROR(LOOKUP(2,1/('Weekly Tracker'!$E$2:$E$766=$A870)/('Weekly Tracker'!$H$2:$H$766&lt;&gt;""),'Weekly Tracker'!$H$2:$H$766),"")</f>
        <v/>
      </c>
      <c r="I870" s="16">
        <f>IF(H870&lt;&gt;"",LOOKUP(2,1/('Weekly Tracker'!$E$2:$E$766=$A870)/('Weekly Tracker'!$H$2:$H$766&lt;&gt;""),'Weekly Tracker'!$I$2:$I$766),"")</f>
        <v/>
      </c>
      <c r="J870" s="9">
        <f>IFERROR(LOOKUP(2,1/('Weekly Tracker'!$E$2:$E$766=$A870)/('Weekly Tracker'!$J$2:$J$766&lt;&gt;""),'Weekly Tracker'!$J$2:$J$766),"")</f>
        <v/>
      </c>
      <c r="K870" s="9">
        <f>IFERROR(LOOKUP(2,1/('Weekly Tracker'!$E$2:$E$766=$A870)/('Weekly Tracker'!$N$2:$N$766&lt;&gt;""),'Weekly Tracker'!$N$2:$N$766),"")</f>
        <v/>
      </c>
      <c r="L870" s="9">
        <f>IFERROR(LOOKUP(2,1/('Weekly Tracker'!$E$2:$E$766=$A870)/('Weekly Tracker'!$O$2:$O$766&lt;&gt;""),'Weekly Tracker'!$O$2:$O$766),"")</f>
        <v/>
      </c>
    </row>
    <row r="871">
      <c r="A871" s="9" t="inlineStr">
        <is>
          <t>Suji Johnson</t>
        </is>
      </c>
      <c r="B871" s="9" t="inlineStr">
        <is>
          <t>916374319611</t>
        </is>
      </c>
      <c r="C871" s="9" t="n"/>
      <c r="D871" s="9" t="n"/>
      <c r="E871" s="9" t="n"/>
      <c r="F871" s="9">
        <f>IFERROR(LOOKUP(2,1/('Weekly Tracker'!$E$2:$E$766=$A871)/('Weekly Tracker'!$F$2:$F$766&lt;&gt;""),'Weekly Tracker'!$F$2:$F$766),"")</f>
        <v/>
      </c>
      <c r="G871" s="16">
        <f>IF(F871&lt;&gt;"",LOOKUP(2,1/('Weekly Tracker'!$E$2:$E$766=$A871)/('Weekly Tracker'!$F$2:$F$766&lt;&gt;""),'Weekly Tracker'!$G$2:$G$766),"")</f>
        <v/>
      </c>
      <c r="H871" s="9">
        <f>IFERROR(LOOKUP(2,1/('Weekly Tracker'!$E$2:$E$766=$A871)/('Weekly Tracker'!$H$2:$H$766&lt;&gt;""),'Weekly Tracker'!$H$2:$H$766),"")</f>
        <v/>
      </c>
      <c r="I871" s="16">
        <f>IF(H871&lt;&gt;"",LOOKUP(2,1/('Weekly Tracker'!$E$2:$E$766=$A871)/('Weekly Tracker'!$H$2:$H$766&lt;&gt;""),'Weekly Tracker'!$I$2:$I$766),"")</f>
        <v/>
      </c>
      <c r="J871" s="9">
        <f>IFERROR(LOOKUP(2,1/('Weekly Tracker'!$E$2:$E$766=$A871)/('Weekly Tracker'!$J$2:$J$766&lt;&gt;""),'Weekly Tracker'!$J$2:$J$766),"")</f>
        <v/>
      </c>
      <c r="K871" s="9">
        <f>IFERROR(LOOKUP(2,1/('Weekly Tracker'!$E$2:$E$766=$A871)/('Weekly Tracker'!$N$2:$N$766&lt;&gt;""),'Weekly Tracker'!$N$2:$N$766),"")</f>
        <v/>
      </c>
      <c r="L871" s="9">
        <f>IFERROR(LOOKUP(2,1/('Weekly Tracker'!$E$2:$E$766=$A871)/('Weekly Tracker'!$O$2:$O$766&lt;&gt;""),'Weekly Tracker'!$O$2:$O$766),"")</f>
        <v/>
      </c>
    </row>
    <row r="872">
      <c r="A872" s="9" t="inlineStr">
        <is>
          <t>Mohan KMB</t>
        </is>
      </c>
      <c r="B872" s="9" t="inlineStr">
        <is>
          <t>917010152940</t>
        </is>
      </c>
      <c r="C872" s="9" t="n"/>
      <c r="D872" s="9" t="n"/>
      <c r="E872" s="9" t="n"/>
      <c r="F872" s="9">
        <f>IFERROR(LOOKUP(2,1/('Weekly Tracker'!$E$2:$E$766=$A872)/('Weekly Tracker'!$F$2:$F$766&lt;&gt;""),'Weekly Tracker'!$F$2:$F$766),"")</f>
        <v/>
      </c>
      <c r="G872" s="16">
        <f>IF(F872&lt;&gt;"",LOOKUP(2,1/('Weekly Tracker'!$E$2:$E$766=$A872)/('Weekly Tracker'!$F$2:$F$766&lt;&gt;""),'Weekly Tracker'!$G$2:$G$766),"")</f>
        <v/>
      </c>
      <c r="H872" s="9">
        <f>IFERROR(LOOKUP(2,1/('Weekly Tracker'!$E$2:$E$766=$A872)/('Weekly Tracker'!$H$2:$H$766&lt;&gt;""),'Weekly Tracker'!$H$2:$H$766),"")</f>
        <v/>
      </c>
      <c r="I872" s="16">
        <f>IF(H872&lt;&gt;"",LOOKUP(2,1/('Weekly Tracker'!$E$2:$E$766=$A872)/('Weekly Tracker'!$H$2:$H$766&lt;&gt;""),'Weekly Tracker'!$I$2:$I$766),"")</f>
        <v/>
      </c>
      <c r="J872" s="9">
        <f>IFERROR(LOOKUP(2,1/('Weekly Tracker'!$E$2:$E$766=$A872)/('Weekly Tracker'!$J$2:$J$766&lt;&gt;""),'Weekly Tracker'!$J$2:$J$766),"")</f>
        <v/>
      </c>
      <c r="K872" s="9">
        <f>IFERROR(LOOKUP(2,1/('Weekly Tracker'!$E$2:$E$766=$A872)/('Weekly Tracker'!$N$2:$N$766&lt;&gt;""),'Weekly Tracker'!$N$2:$N$766),"")</f>
        <v/>
      </c>
      <c r="L872" s="9">
        <f>IFERROR(LOOKUP(2,1/('Weekly Tracker'!$E$2:$E$766=$A872)/('Weekly Tracker'!$O$2:$O$766&lt;&gt;""),'Weekly Tracker'!$O$2:$O$766),"")</f>
        <v/>
      </c>
    </row>
    <row r="873">
      <c r="A873" s="9" t="inlineStr">
        <is>
          <t>Venkadesh Raja FB</t>
        </is>
      </c>
      <c r="B873" s="9" t="inlineStr">
        <is>
          <t>919791854716</t>
        </is>
      </c>
      <c r="C873" s="9" t="n"/>
      <c r="D873" s="9" t="n"/>
      <c r="E873" s="9" t="n"/>
      <c r="F873" s="9">
        <f>IFERROR(LOOKUP(2,1/('Weekly Tracker'!$E$2:$E$766=$A873)/('Weekly Tracker'!$F$2:$F$766&lt;&gt;""),'Weekly Tracker'!$F$2:$F$766),"")</f>
        <v/>
      </c>
      <c r="G873" s="16">
        <f>IF(F873&lt;&gt;"",LOOKUP(2,1/('Weekly Tracker'!$E$2:$E$766=$A873)/('Weekly Tracker'!$F$2:$F$766&lt;&gt;""),'Weekly Tracker'!$G$2:$G$766),"")</f>
        <v/>
      </c>
      <c r="H873" s="9">
        <f>IFERROR(LOOKUP(2,1/('Weekly Tracker'!$E$2:$E$766=$A873)/('Weekly Tracker'!$H$2:$H$766&lt;&gt;""),'Weekly Tracker'!$H$2:$H$766),"")</f>
        <v/>
      </c>
      <c r="I873" s="16">
        <f>IF(H873&lt;&gt;"",LOOKUP(2,1/('Weekly Tracker'!$E$2:$E$766=$A873)/('Weekly Tracker'!$H$2:$H$766&lt;&gt;""),'Weekly Tracker'!$I$2:$I$766),"")</f>
        <v/>
      </c>
      <c r="J873" s="9">
        <f>IFERROR(LOOKUP(2,1/('Weekly Tracker'!$E$2:$E$766=$A873)/('Weekly Tracker'!$J$2:$J$766&lt;&gt;""),'Weekly Tracker'!$J$2:$J$766),"")</f>
        <v/>
      </c>
      <c r="K873" s="9">
        <f>IFERROR(LOOKUP(2,1/('Weekly Tracker'!$E$2:$E$766=$A873)/('Weekly Tracker'!$N$2:$N$766&lt;&gt;""),'Weekly Tracker'!$N$2:$N$766),"")</f>
        <v/>
      </c>
      <c r="L873" s="9">
        <f>IFERROR(LOOKUP(2,1/('Weekly Tracker'!$E$2:$E$766=$A873)/('Weekly Tracker'!$O$2:$O$766&lt;&gt;""),'Weekly Tracker'!$O$2:$O$766),"")</f>
        <v/>
      </c>
    </row>
    <row r="874">
      <c r="A874" s="9" t="inlineStr">
        <is>
          <t>Kalari Master Sundarraj</t>
        </is>
      </c>
      <c r="B874" s="9" t="inlineStr">
        <is>
          <t>919840882522</t>
        </is>
      </c>
      <c r="C874" s="9" t="n"/>
      <c r="D874" s="9" t="n"/>
      <c r="E874" s="9" t="n"/>
      <c r="F874" s="9">
        <f>IFERROR(LOOKUP(2,1/('Weekly Tracker'!$E$2:$E$766=$A874)/('Weekly Tracker'!$F$2:$F$766&lt;&gt;""),'Weekly Tracker'!$F$2:$F$766),"")</f>
        <v/>
      </c>
      <c r="G874" s="16">
        <f>IF(F874&lt;&gt;"",LOOKUP(2,1/('Weekly Tracker'!$E$2:$E$766=$A874)/('Weekly Tracker'!$F$2:$F$766&lt;&gt;""),'Weekly Tracker'!$G$2:$G$766),"")</f>
        <v/>
      </c>
      <c r="H874" s="9">
        <f>IFERROR(LOOKUP(2,1/('Weekly Tracker'!$E$2:$E$766=$A874)/('Weekly Tracker'!$H$2:$H$766&lt;&gt;""),'Weekly Tracker'!$H$2:$H$766),"")</f>
        <v/>
      </c>
      <c r="I874" s="16">
        <f>IF(H874&lt;&gt;"",LOOKUP(2,1/('Weekly Tracker'!$E$2:$E$766=$A874)/('Weekly Tracker'!$H$2:$H$766&lt;&gt;""),'Weekly Tracker'!$I$2:$I$766),"")</f>
        <v/>
      </c>
      <c r="J874" s="9">
        <f>IFERROR(LOOKUP(2,1/('Weekly Tracker'!$E$2:$E$766=$A874)/('Weekly Tracker'!$J$2:$J$766&lt;&gt;""),'Weekly Tracker'!$J$2:$J$766),"")</f>
        <v/>
      </c>
      <c r="K874" s="9">
        <f>IFERROR(LOOKUP(2,1/('Weekly Tracker'!$E$2:$E$766=$A874)/('Weekly Tracker'!$N$2:$N$766&lt;&gt;""),'Weekly Tracker'!$N$2:$N$766),"")</f>
        <v/>
      </c>
      <c r="L874" s="9">
        <f>IFERROR(LOOKUP(2,1/('Weekly Tracker'!$E$2:$E$766=$A874)/('Weekly Tracker'!$O$2:$O$766&lt;&gt;""),'Weekly Tracker'!$O$2:$O$766),"")</f>
        <v/>
      </c>
    </row>
    <row r="875">
      <c r="A875" s="9" t="inlineStr">
        <is>
          <t>Arul Arumugam Mech</t>
        </is>
      </c>
      <c r="B875" s="9" t="inlineStr">
        <is>
          <t>918056999876</t>
        </is>
      </c>
      <c r="C875" s="9" t="n"/>
      <c r="D875" s="9" t="n"/>
      <c r="E875" s="9" t="n"/>
      <c r="F875" s="9">
        <f>IFERROR(LOOKUP(2,1/('Weekly Tracker'!$E$2:$E$766=$A875)/('Weekly Tracker'!$F$2:$F$766&lt;&gt;""),'Weekly Tracker'!$F$2:$F$766),"")</f>
        <v/>
      </c>
      <c r="G875" s="16">
        <f>IF(F875&lt;&gt;"",LOOKUP(2,1/('Weekly Tracker'!$E$2:$E$766=$A875)/('Weekly Tracker'!$F$2:$F$766&lt;&gt;""),'Weekly Tracker'!$G$2:$G$766),"")</f>
        <v/>
      </c>
      <c r="H875" s="9">
        <f>IFERROR(LOOKUP(2,1/('Weekly Tracker'!$E$2:$E$766=$A875)/('Weekly Tracker'!$H$2:$H$766&lt;&gt;""),'Weekly Tracker'!$H$2:$H$766),"")</f>
        <v/>
      </c>
      <c r="I875" s="16">
        <f>IF(H875&lt;&gt;"",LOOKUP(2,1/('Weekly Tracker'!$E$2:$E$766=$A875)/('Weekly Tracker'!$H$2:$H$766&lt;&gt;""),'Weekly Tracker'!$I$2:$I$766),"")</f>
        <v/>
      </c>
      <c r="J875" s="9">
        <f>IFERROR(LOOKUP(2,1/('Weekly Tracker'!$E$2:$E$766=$A875)/('Weekly Tracker'!$J$2:$J$766&lt;&gt;""),'Weekly Tracker'!$J$2:$J$766),"")</f>
        <v/>
      </c>
      <c r="K875" s="9">
        <f>IFERROR(LOOKUP(2,1/('Weekly Tracker'!$E$2:$E$766=$A875)/('Weekly Tracker'!$N$2:$N$766&lt;&gt;""),'Weekly Tracker'!$N$2:$N$766),"")</f>
        <v/>
      </c>
      <c r="L875" s="9">
        <f>IFERROR(LOOKUP(2,1/('Weekly Tracker'!$E$2:$E$766=$A875)/('Weekly Tracker'!$O$2:$O$766&lt;&gt;""),'Weekly Tracker'!$O$2:$O$766),"")</f>
        <v/>
      </c>
    </row>
    <row r="876">
      <c r="A876" s="9" t="inlineStr">
        <is>
          <t>Velmurugan Scl</t>
        </is>
      </c>
      <c r="B876" s="9" t="inlineStr">
        <is>
          <t>+91 97892 46016, 918925168411</t>
        </is>
      </c>
      <c r="C876" s="9" t="n"/>
      <c r="D876" s="9" t="n"/>
      <c r="E876" s="9" t="n"/>
      <c r="F876" s="9">
        <f>IFERROR(LOOKUP(2,1/('Weekly Tracker'!$E$2:$E$766=$A876)/('Weekly Tracker'!$F$2:$F$766&lt;&gt;""),'Weekly Tracker'!$F$2:$F$766),"")</f>
        <v/>
      </c>
      <c r="G876" s="16">
        <f>IF(F876&lt;&gt;"",LOOKUP(2,1/('Weekly Tracker'!$E$2:$E$766=$A876)/('Weekly Tracker'!$F$2:$F$766&lt;&gt;""),'Weekly Tracker'!$G$2:$G$766),"")</f>
        <v/>
      </c>
      <c r="H876" s="9">
        <f>IFERROR(LOOKUP(2,1/('Weekly Tracker'!$E$2:$E$766=$A876)/('Weekly Tracker'!$H$2:$H$766&lt;&gt;""),'Weekly Tracker'!$H$2:$H$766),"")</f>
        <v/>
      </c>
      <c r="I876" s="16">
        <f>IF(H876&lt;&gt;"",LOOKUP(2,1/('Weekly Tracker'!$E$2:$E$766=$A876)/('Weekly Tracker'!$H$2:$H$766&lt;&gt;""),'Weekly Tracker'!$I$2:$I$766),"")</f>
        <v/>
      </c>
      <c r="J876" s="9">
        <f>IFERROR(LOOKUP(2,1/('Weekly Tracker'!$E$2:$E$766=$A876)/('Weekly Tracker'!$J$2:$J$766&lt;&gt;""),'Weekly Tracker'!$J$2:$J$766),"")</f>
        <v/>
      </c>
      <c r="K876" s="9">
        <f>IFERROR(LOOKUP(2,1/('Weekly Tracker'!$E$2:$E$766=$A876)/('Weekly Tracker'!$N$2:$N$766&lt;&gt;""),'Weekly Tracker'!$N$2:$N$766),"")</f>
        <v/>
      </c>
      <c r="L876" s="9">
        <f>IFERROR(LOOKUP(2,1/('Weekly Tracker'!$E$2:$E$766=$A876)/('Weekly Tracker'!$O$2:$O$766&lt;&gt;""),'Weekly Tracker'!$O$2:$O$766),"")</f>
        <v/>
      </c>
    </row>
    <row r="877">
      <c r="A877" s="9" t="inlineStr">
        <is>
          <t>Mannu Bhai</t>
        </is>
      </c>
      <c r="B877" s="9" t="inlineStr">
        <is>
          <t>918056182708</t>
        </is>
      </c>
      <c r="C877" s="9" t="n"/>
      <c r="D877" s="9" t="n"/>
      <c r="E877" s="9" t="n"/>
      <c r="F877" s="9">
        <f>IFERROR(LOOKUP(2,1/('Weekly Tracker'!$E$2:$E$766=$A877)/('Weekly Tracker'!$F$2:$F$766&lt;&gt;""),'Weekly Tracker'!$F$2:$F$766),"")</f>
        <v/>
      </c>
      <c r="G877" s="16">
        <f>IF(F877&lt;&gt;"",LOOKUP(2,1/('Weekly Tracker'!$E$2:$E$766=$A877)/('Weekly Tracker'!$F$2:$F$766&lt;&gt;""),'Weekly Tracker'!$G$2:$G$766),"")</f>
        <v/>
      </c>
      <c r="H877" s="9">
        <f>IFERROR(LOOKUP(2,1/('Weekly Tracker'!$E$2:$E$766=$A877)/('Weekly Tracker'!$H$2:$H$766&lt;&gt;""),'Weekly Tracker'!$H$2:$H$766),"")</f>
        <v/>
      </c>
      <c r="I877" s="16">
        <f>IF(H877&lt;&gt;"",LOOKUP(2,1/('Weekly Tracker'!$E$2:$E$766=$A877)/('Weekly Tracker'!$H$2:$H$766&lt;&gt;""),'Weekly Tracker'!$I$2:$I$766),"")</f>
        <v/>
      </c>
      <c r="J877" s="9">
        <f>IFERROR(LOOKUP(2,1/('Weekly Tracker'!$E$2:$E$766=$A877)/('Weekly Tracker'!$J$2:$J$766&lt;&gt;""),'Weekly Tracker'!$J$2:$J$766),"")</f>
        <v/>
      </c>
      <c r="K877" s="9">
        <f>IFERROR(LOOKUP(2,1/('Weekly Tracker'!$E$2:$E$766=$A877)/('Weekly Tracker'!$N$2:$N$766&lt;&gt;""),'Weekly Tracker'!$N$2:$N$766),"")</f>
        <v/>
      </c>
      <c r="L877" s="9">
        <f>IFERROR(LOOKUP(2,1/('Weekly Tracker'!$E$2:$E$766=$A877)/('Weekly Tracker'!$O$2:$O$766&lt;&gt;""),'Weekly Tracker'!$O$2:$O$766),"")</f>
        <v/>
      </c>
    </row>
    <row r="878">
      <c r="A878" s="9" t="inlineStr">
        <is>
          <t>Shankar Etms</t>
        </is>
      </c>
      <c r="B878" s="9" t="inlineStr">
        <is>
          <t>919849726291</t>
        </is>
      </c>
      <c r="C878" s="9" t="n"/>
      <c r="D878" s="9" t="n"/>
      <c r="E878" s="9" t="inlineStr">
        <is>
          <t>Andhra Pradesh, India</t>
        </is>
      </c>
      <c r="F878" s="9">
        <f>IFERROR(LOOKUP(2,1/('Weekly Tracker'!$E$2:$E$766=$A878)/('Weekly Tracker'!$F$2:$F$766&lt;&gt;""),'Weekly Tracker'!$F$2:$F$766),"")</f>
        <v/>
      </c>
      <c r="G878" s="16">
        <f>IF(F878&lt;&gt;"",LOOKUP(2,1/('Weekly Tracker'!$E$2:$E$766=$A878)/('Weekly Tracker'!$F$2:$F$766&lt;&gt;""),'Weekly Tracker'!$G$2:$G$766),"")</f>
        <v/>
      </c>
      <c r="H878" s="9">
        <f>IFERROR(LOOKUP(2,1/('Weekly Tracker'!$E$2:$E$766=$A878)/('Weekly Tracker'!$H$2:$H$766&lt;&gt;""),'Weekly Tracker'!$H$2:$H$766),"")</f>
        <v/>
      </c>
      <c r="I878" s="16">
        <f>IF(H878&lt;&gt;"",LOOKUP(2,1/('Weekly Tracker'!$E$2:$E$766=$A878)/('Weekly Tracker'!$H$2:$H$766&lt;&gt;""),'Weekly Tracker'!$I$2:$I$766),"")</f>
        <v/>
      </c>
      <c r="J878" s="9">
        <f>IFERROR(LOOKUP(2,1/('Weekly Tracker'!$E$2:$E$766=$A878)/('Weekly Tracker'!$J$2:$J$766&lt;&gt;""),'Weekly Tracker'!$J$2:$J$766),"")</f>
        <v/>
      </c>
      <c r="K878" s="9">
        <f>IFERROR(LOOKUP(2,1/('Weekly Tracker'!$E$2:$E$766=$A878)/('Weekly Tracker'!$N$2:$N$766&lt;&gt;""),'Weekly Tracker'!$N$2:$N$766),"")</f>
        <v/>
      </c>
      <c r="L878" s="9">
        <f>IFERROR(LOOKUP(2,1/('Weekly Tracker'!$E$2:$E$766=$A878)/('Weekly Tracker'!$O$2:$O$766&lt;&gt;""),'Weekly Tracker'!$O$2:$O$766),"")</f>
        <v/>
      </c>
    </row>
    <row r="879">
      <c r="A879" s="9" t="inlineStr">
        <is>
          <t>Ponmadasamy FB</t>
        </is>
      </c>
      <c r="B879" s="9" t="inlineStr">
        <is>
          <t>9655594040</t>
        </is>
      </c>
      <c r="C879" s="9" t="n"/>
      <c r="D879" s="9" t="n"/>
      <c r="E879" s="9" t="n"/>
      <c r="F879" s="9">
        <f>IFERROR(LOOKUP(2,1/('Weekly Tracker'!$E$2:$E$766=$A879)/('Weekly Tracker'!$F$2:$F$766&lt;&gt;""),'Weekly Tracker'!$F$2:$F$766),"")</f>
        <v/>
      </c>
      <c r="G879" s="16">
        <f>IF(F879&lt;&gt;"",LOOKUP(2,1/('Weekly Tracker'!$E$2:$E$766=$A879)/('Weekly Tracker'!$F$2:$F$766&lt;&gt;""),'Weekly Tracker'!$G$2:$G$766),"")</f>
        <v/>
      </c>
      <c r="H879" s="9">
        <f>IFERROR(LOOKUP(2,1/('Weekly Tracker'!$E$2:$E$766=$A879)/('Weekly Tracker'!$H$2:$H$766&lt;&gt;""),'Weekly Tracker'!$H$2:$H$766),"")</f>
        <v/>
      </c>
      <c r="I879" s="16">
        <f>IF(H879&lt;&gt;"",LOOKUP(2,1/('Weekly Tracker'!$E$2:$E$766=$A879)/('Weekly Tracker'!$H$2:$H$766&lt;&gt;""),'Weekly Tracker'!$I$2:$I$766),"")</f>
        <v/>
      </c>
      <c r="J879" s="9">
        <f>IFERROR(LOOKUP(2,1/('Weekly Tracker'!$E$2:$E$766=$A879)/('Weekly Tracker'!$J$2:$J$766&lt;&gt;""),'Weekly Tracker'!$J$2:$J$766),"")</f>
        <v/>
      </c>
      <c r="K879" s="9">
        <f>IFERROR(LOOKUP(2,1/('Weekly Tracker'!$E$2:$E$766=$A879)/('Weekly Tracker'!$N$2:$N$766&lt;&gt;""),'Weekly Tracker'!$N$2:$N$766),"")</f>
        <v/>
      </c>
      <c r="L879" s="9">
        <f>IFERROR(LOOKUP(2,1/('Weekly Tracker'!$E$2:$E$766=$A879)/('Weekly Tracker'!$O$2:$O$766&lt;&gt;""),'Weekly Tracker'!$O$2:$O$766),"")</f>
        <v/>
      </c>
    </row>
    <row r="880">
      <c r="A880" s="9" t="inlineStr">
        <is>
          <t>Jyothi Infy</t>
        </is>
      </c>
      <c r="B880" s="9" t="inlineStr">
        <is>
          <t>14403594538</t>
        </is>
      </c>
      <c r="C880" s="9" t="n"/>
      <c r="D880" s="9" t="n"/>
      <c r="E880" s="9" t="n"/>
      <c r="F880" s="9">
        <f>IFERROR(LOOKUP(2,1/('Weekly Tracker'!$E$2:$E$766=$A880)/('Weekly Tracker'!$F$2:$F$766&lt;&gt;""),'Weekly Tracker'!$F$2:$F$766),"")</f>
        <v/>
      </c>
      <c r="G880" s="16">
        <f>IF(F880&lt;&gt;"",LOOKUP(2,1/('Weekly Tracker'!$E$2:$E$766=$A880)/('Weekly Tracker'!$F$2:$F$766&lt;&gt;""),'Weekly Tracker'!$G$2:$G$766),"")</f>
        <v/>
      </c>
      <c r="H880" s="9">
        <f>IFERROR(LOOKUP(2,1/('Weekly Tracker'!$E$2:$E$766=$A880)/('Weekly Tracker'!$H$2:$H$766&lt;&gt;""),'Weekly Tracker'!$H$2:$H$766),"")</f>
        <v/>
      </c>
      <c r="I880" s="16">
        <f>IF(H880&lt;&gt;"",LOOKUP(2,1/('Weekly Tracker'!$E$2:$E$766=$A880)/('Weekly Tracker'!$H$2:$H$766&lt;&gt;""),'Weekly Tracker'!$I$2:$I$766),"")</f>
        <v/>
      </c>
      <c r="J880" s="9">
        <f>IFERROR(LOOKUP(2,1/('Weekly Tracker'!$E$2:$E$766=$A880)/('Weekly Tracker'!$J$2:$J$766&lt;&gt;""),'Weekly Tracker'!$J$2:$J$766),"")</f>
        <v/>
      </c>
      <c r="K880" s="9">
        <f>IFERROR(LOOKUP(2,1/('Weekly Tracker'!$E$2:$E$766=$A880)/('Weekly Tracker'!$N$2:$N$766&lt;&gt;""),'Weekly Tracker'!$N$2:$N$766),"")</f>
        <v/>
      </c>
      <c r="L880" s="9">
        <f>IFERROR(LOOKUP(2,1/('Weekly Tracker'!$E$2:$E$766=$A880)/('Weekly Tracker'!$O$2:$O$766&lt;&gt;""),'Weekly Tracker'!$O$2:$O$766),"")</f>
        <v/>
      </c>
    </row>
    <row r="881">
      <c r="A881" s="9" t="inlineStr">
        <is>
          <t>Chennai Mobiles</t>
        </is>
      </c>
      <c r="B881" s="9" t="inlineStr">
        <is>
          <t>919600068722</t>
        </is>
      </c>
      <c r="C881" s="9" t="n"/>
      <c r="D881" s="9" t="n"/>
      <c r="E881" s="9" t="n"/>
      <c r="F881" s="9">
        <f>IFERROR(LOOKUP(2,1/('Weekly Tracker'!$E$2:$E$766=$A881)/('Weekly Tracker'!$F$2:$F$766&lt;&gt;""),'Weekly Tracker'!$F$2:$F$766),"")</f>
        <v/>
      </c>
      <c r="G881" s="16">
        <f>IF(F881&lt;&gt;"",LOOKUP(2,1/('Weekly Tracker'!$E$2:$E$766=$A881)/('Weekly Tracker'!$F$2:$F$766&lt;&gt;""),'Weekly Tracker'!$G$2:$G$766),"")</f>
        <v/>
      </c>
      <c r="H881" s="9">
        <f>IFERROR(LOOKUP(2,1/('Weekly Tracker'!$E$2:$E$766=$A881)/('Weekly Tracker'!$H$2:$H$766&lt;&gt;""),'Weekly Tracker'!$H$2:$H$766),"")</f>
        <v/>
      </c>
      <c r="I881" s="16">
        <f>IF(H881&lt;&gt;"",LOOKUP(2,1/('Weekly Tracker'!$E$2:$E$766=$A881)/('Weekly Tracker'!$H$2:$H$766&lt;&gt;""),'Weekly Tracker'!$I$2:$I$766),"")</f>
        <v/>
      </c>
      <c r="J881" s="9">
        <f>IFERROR(LOOKUP(2,1/('Weekly Tracker'!$E$2:$E$766=$A881)/('Weekly Tracker'!$J$2:$J$766&lt;&gt;""),'Weekly Tracker'!$J$2:$J$766),"")</f>
        <v/>
      </c>
      <c r="K881" s="9">
        <f>IFERROR(LOOKUP(2,1/('Weekly Tracker'!$E$2:$E$766=$A881)/('Weekly Tracker'!$N$2:$N$766&lt;&gt;""),'Weekly Tracker'!$N$2:$N$766),"")</f>
        <v/>
      </c>
      <c r="L881" s="9">
        <f>IFERROR(LOOKUP(2,1/('Weekly Tracker'!$E$2:$E$766=$A881)/('Weekly Tracker'!$O$2:$O$766&lt;&gt;""),'Weekly Tracker'!$O$2:$O$766),"")</f>
        <v/>
      </c>
    </row>
    <row r="882">
      <c r="A882" s="9" t="inlineStr">
        <is>
          <t>Mithun Kumar FB</t>
        </is>
      </c>
      <c r="B882" s="9" t="inlineStr">
        <is>
          <t>6379978410</t>
        </is>
      </c>
      <c r="C882" s="9" t="n"/>
      <c r="D882" s="9" t="n"/>
      <c r="E882" s="9" t="n"/>
      <c r="F882" s="9">
        <f>IFERROR(LOOKUP(2,1/('Weekly Tracker'!$E$2:$E$766=$A882)/('Weekly Tracker'!$F$2:$F$766&lt;&gt;""),'Weekly Tracker'!$F$2:$F$766),"")</f>
        <v/>
      </c>
      <c r="G882" s="16">
        <f>IF(F882&lt;&gt;"",LOOKUP(2,1/('Weekly Tracker'!$E$2:$E$766=$A882)/('Weekly Tracker'!$F$2:$F$766&lt;&gt;""),'Weekly Tracker'!$G$2:$G$766),"")</f>
        <v/>
      </c>
      <c r="H882" s="9">
        <f>IFERROR(LOOKUP(2,1/('Weekly Tracker'!$E$2:$E$766=$A882)/('Weekly Tracker'!$H$2:$H$766&lt;&gt;""),'Weekly Tracker'!$H$2:$H$766),"")</f>
        <v/>
      </c>
      <c r="I882" s="16">
        <f>IF(H882&lt;&gt;"",LOOKUP(2,1/('Weekly Tracker'!$E$2:$E$766=$A882)/('Weekly Tracker'!$H$2:$H$766&lt;&gt;""),'Weekly Tracker'!$I$2:$I$766),"")</f>
        <v/>
      </c>
      <c r="J882" s="9">
        <f>IFERROR(LOOKUP(2,1/('Weekly Tracker'!$E$2:$E$766=$A882)/('Weekly Tracker'!$J$2:$J$766&lt;&gt;""),'Weekly Tracker'!$J$2:$J$766),"")</f>
        <v/>
      </c>
      <c r="K882" s="9">
        <f>IFERROR(LOOKUP(2,1/('Weekly Tracker'!$E$2:$E$766=$A882)/('Weekly Tracker'!$N$2:$N$766&lt;&gt;""),'Weekly Tracker'!$N$2:$N$766),"")</f>
        <v/>
      </c>
      <c r="L882" s="9">
        <f>IFERROR(LOOKUP(2,1/('Weekly Tracker'!$E$2:$E$766=$A882)/('Weekly Tracker'!$O$2:$O$766&lt;&gt;""),'Weekly Tracker'!$O$2:$O$766),"")</f>
        <v/>
      </c>
    </row>
    <row r="883">
      <c r="A883" s="9" t="inlineStr">
        <is>
          <t>Shylaja Urja</t>
        </is>
      </c>
      <c r="B883" s="9" t="inlineStr">
        <is>
          <t>918072931287, 919578895692</t>
        </is>
      </c>
      <c r="C883" s="9" t="n"/>
      <c r="D883" s="9" t="n"/>
      <c r="E883" s="9" t="n"/>
      <c r="F883" s="9">
        <f>IFERROR(LOOKUP(2,1/('Weekly Tracker'!$E$2:$E$766=$A883)/('Weekly Tracker'!$F$2:$F$766&lt;&gt;""),'Weekly Tracker'!$F$2:$F$766),"")</f>
        <v/>
      </c>
      <c r="G883" s="16">
        <f>IF(F883&lt;&gt;"",LOOKUP(2,1/('Weekly Tracker'!$E$2:$E$766=$A883)/('Weekly Tracker'!$F$2:$F$766&lt;&gt;""),'Weekly Tracker'!$G$2:$G$766),"")</f>
        <v/>
      </c>
      <c r="H883" s="9">
        <f>IFERROR(LOOKUP(2,1/('Weekly Tracker'!$E$2:$E$766=$A883)/('Weekly Tracker'!$H$2:$H$766&lt;&gt;""),'Weekly Tracker'!$H$2:$H$766),"")</f>
        <v/>
      </c>
      <c r="I883" s="16">
        <f>IF(H883&lt;&gt;"",LOOKUP(2,1/('Weekly Tracker'!$E$2:$E$766=$A883)/('Weekly Tracker'!$H$2:$H$766&lt;&gt;""),'Weekly Tracker'!$I$2:$I$766),"")</f>
        <v/>
      </c>
      <c r="J883" s="9">
        <f>IFERROR(LOOKUP(2,1/('Weekly Tracker'!$E$2:$E$766=$A883)/('Weekly Tracker'!$J$2:$J$766&lt;&gt;""),'Weekly Tracker'!$J$2:$J$766),"")</f>
        <v/>
      </c>
      <c r="K883" s="9">
        <f>IFERROR(LOOKUP(2,1/('Weekly Tracker'!$E$2:$E$766=$A883)/('Weekly Tracker'!$N$2:$N$766&lt;&gt;""),'Weekly Tracker'!$N$2:$N$766),"")</f>
        <v/>
      </c>
      <c r="L883" s="9">
        <f>IFERROR(LOOKUP(2,1/('Weekly Tracker'!$E$2:$E$766=$A883)/('Weekly Tracker'!$O$2:$O$766&lt;&gt;""),'Weekly Tracker'!$O$2:$O$766),"")</f>
        <v/>
      </c>
    </row>
    <row r="884">
      <c r="A884" s="9" t="inlineStr">
        <is>
          <t>Shankar Subramaniam FB</t>
        </is>
      </c>
      <c r="B884" s="9" t="inlineStr">
        <is>
          <t>82209 95440</t>
        </is>
      </c>
      <c r="C884" s="9" t="n"/>
      <c r="D884" s="9" t="n"/>
      <c r="E884" s="9" t="n"/>
      <c r="F884" s="9">
        <f>IFERROR(LOOKUP(2,1/('Weekly Tracker'!$E$2:$E$766=$A884)/('Weekly Tracker'!$F$2:$F$766&lt;&gt;""),'Weekly Tracker'!$F$2:$F$766),"")</f>
        <v/>
      </c>
      <c r="G884" s="16">
        <f>IF(F884&lt;&gt;"",LOOKUP(2,1/('Weekly Tracker'!$E$2:$E$766=$A884)/('Weekly Tracker'!$F$2:$F$766&lt;&gt;""),'Weekly Tracker'!$G$2:$G$766),"")</f>
        <v/>
      </c>
      <c r="H884" s="9">
        <f>IFERROR(LOOKUP(2,1/('Weekly Tracker'!$E$2:$E$766=$A884)/('Weekly Tracker'!$H$2:$H$766&lt;&gt;""),'Weekly Tracker'!$H$2:$H$766),"")</f>
        <v/>
      </c>
      <c r="I884" s="16">
        <f>IF(H884&lt;&gt;"",LOOKUP(2,1/('Weekly Tracker'!$E$2:$E$766=$A884)/('Weekly Tracker'!$H$2:$H$766&lt;&gt;""),'Weekly Tracker'!$I$2:$I$766),"")</f>
        <v/>
      </c>
      <c r="J884" s="9">
        <f>IFERROR(LOOKUP(2,1/('Weekly Tracker'!$E$2:$E$766=$A884)/('Weekly Tracker'!$J$2:$J$766&lt;&gt;""),'Weekly Tracker'!$J$2:$J$766),"")</f>
        <v/>
      </c>
      <c r="K884" s="9">
        <f>IFERROR(LOOKUP(2,1/('Weekly Tracker'!$E$2:$E$766=$A884)/('Weekly Tracker'!$N$2:$N$766&lt;&gt;""),'Weekly Tracker'!$N$2:$N$766),"")</f>
        <v/>
      </c>
      <c r="L884" s="9">
        <f>IFERROR(LOOKUP(2,1/('Weekly Tracker'!$E$2:$E$766=$A884)/('Weekly Tracker'!$O$2:$O$766&lt;&gt;""),'Weekly Tracker'!$O$2:$O$766),"")</f>
        <v/>
      </c>
    </row>
    <row r="885">
      <c r="A885" s="9" t="inlineStr">
        <is>
          <t>Hari Scl</t>
        </is>
      </c>
      <c r="B885" s="9" t="inlineStr">
        <is>
          <t>8015989801</t>
        </is>
      </c>
      <c r="C885" s="9" t="n"/>
      <c r="D885" s="9" t="n"/>
      <c r="E885" s="9" t="n"/>
      <c r="F885" s="9">
        <f>IFERROR(LOOKUP(2,1/('Weekly Tracker'!$E$2:$E$766=$A885)/('Weekly Tracker'!$F$2:$F$766&lt;&gt;""),'Weekly Tracker'!$F$2:$F$766),"")</f>
        <v/>
      </c>
      <c r="G885" s="16">
        <f>IF(F885&lt;&gt;"",LOOKUP(2,1/('Weekly Tracker'!$E$2:$E$766=$A885)/('Weekly Tracker'!$F$2:$F$766&lt;&gt;""),'Weekly Tracker'!$G$2:$G$766),"")</f>
        <v/>
      </c>
      <c r="H885" s="9">
        <f>IFERROR(LOOKUP(2,1/('Weekly Tracker'!$E$2:$E$766=$A885)/('Weekly Tracker'!$H$2:$H$766&lt;&gt;""),'Weekly Tracker'!$H$2:$H$766),"")</f>
        <v/>
      </c>
      <c r="I885" s="16">
        <f>IF(H885&lt;&gt;"",LOOKUP(2,1/('Weekly Tracker'!$E$2:$E$766=$A885)/('Weekly Tracker'!$H$2:$H$766&lt;&gt;""),'Weekly Tracker'!$I$2:$I$766),"")</f>
        <v/>
      </c>
      <c r="J885" s="9">
        <f>IFERROR(LOOKUP(2,1/('Weekly Tracker'!$E$2:$E$766=$A885)/('Weekly Tracker'!$J$2:$J$766&lt;&gt;""),'Weekly Tracker'!$J$2:$J$766),"")</f>
        <v/>
      </c>
      <c r="K885" s="9">
        <f>IFERROR(LOOKUP(2,1/('Weekly Tracker'!$E$2:$E$766=$A885)/('Weekly Tracker'!$N$2:$N$766&lt;&gt;""),'Weekly Tracker'!$N$2:$N$766),"")</f>
        <v/>
      </c>
      <c r="L885" s="9">
        <f>IFERROR(LOOKUP(2,1/('Weekly Tracker'!$E$2:$E$766=$A885)/('Weekly Tracker'!$O$2:$O$766&lt;&gt;""),'Weekly Tracker'!$O$2:$O$766),"")</f>
        <v/>
      </c>
    </row>
    <row r="886">
      <c r="A886" s="9" t="inlineStr">
        <is>
          <t>Sowmiya ECE</t>
        </is>
      </c>
      <c r="B886" s="9" t="inlineStr">
        <is>
          <t>917708649225</t>
        </is>
      </c>
      <c r="C886" s="9" t="n"/>
      <c r="D886" s="9" t="n"/>
      <c r="E886" s="9" t="n"/>
      <c r="F886" s="9">
        <f>IFERROR(LOOKUP(2,1/('Weekly Tracker'!$E$2:$E$766=$A886)/('Weekly Tracker'!$F$2:$F$766&lt;&gt;""),'Weekly Tracker'!$F$2:$F$766),"")</f>
        <v/>
      </c>
      <c r="G886" s="16">
        <f>IF(F886&lt;&gt;"",LOOKUP(2,1/('Weekly Tracker'!$E$2:$E$766=$A886)/('Weekly Tracker'!$F$2:$F$766&lt;&gt;""),'Weekly Tracker'!$G$2:$G$766),"")</f>
        <v/>
      </c>
      <c r="H886" s="9">
        <f>IFERROR(LOOKUP(2,1/('Weekly Tracker'!$E$2:$E$766=$A886)/('Weekly Tracker'!$H$2:$H$766&lt;&gt;""),'Weekly Tracker'!$H$2:$H$766),"")</f>
        <v/>
      </c>
      <c r="I886" s="16">
        <f>IF(H886&lt;&gt;"",LOOKUP(2,1/('Weekly Tracker'!$E$2:$E$766=$A886)/('Weekly Tracker'!$H$2:$H$766&lt;&gt;""),'Weekly Tracker'!$I$2:$I$766),"")</f>
        <v/>
      </c>
      <c r="J886" s="9">
        <f>IFERROR(LOOKUP(2,1/('Weekly Tracker'!$E$2:$E$766=$A886)/('Weekly Tracker'!$J$2:$J$766&lt;&gt;""),'Weekly Tracker'!$J$2:$J$766),"")</f>
        <v/>
      </c>
      <c r="K886" s="9">
        <f>IFERROR(LOOKUP(2,1/('Weekly Tracker'!$E$2:$E$766=$A886)/('Weekly Tracker'!$N$2:$N$766&lt;&gt;""),'Weekly Tracker'!$N$2:$N$766),"")</f>
        <v/>
      </c>
      <c r="L886" s="9">
        <f>IFERROR(LOOKUP(2,1/('Weekly Tracker'!$E$2:$E$766=$A886)/('Weekly Tracker'!$O$2:$O$766&lt;&gt;""),'Weekly Tracker'!$O$2:$O$766),"")</f>
        <v/>
      </c>
    </row>
    <row r="887">
      <c r="A887" s="9" t="inlineStr">
        <is>
          <t>ACT Fibernet Engineer</t>
        </is>
      </c>
      <c r="B887" s="9" t="inlineStr">
        <is>
          <t>919940678843</t>
        </is>
      </c>
      <c r="C887" s="9" t="n"/>
      <c r="D887" s="9" t="n"/>
      <c r="E887" s="9" t="n"/>
      <c r="F887" s="9">
        <f>IFERROR(LOOKUP(2,1/('Weekly Tracker'!$E$2:$E$766=$A887)/('Weekly Tracker'!$F$2:$F$766&lt;&gt;""),'Weekly Tracker'!$F$2:$F$766),"")</f>
        <v/>
      </c>
      <c r="G887" s="16">
        <f>IF(F887&lt;&gt;"",LOOKUP(2,1/('Weekly Tracker'!$E$2:$E$766=$A887)/('Weekly Tracker'!$F$2:$F$766&lt;&gt;""),'Weekly Tracker'!$G$2:$G$766),"")</f>
        <v/>
      </c>
      <c r="H887" s="9">
        <f>IFERROR(LOOKUP(2,1/('Weekly Tracker'!$E$2:$E$766=$A887)/('Weekly Tracker'!$H$2:$H$766&lt;&gt;""),'Weekly Tracker'!$H$2:$H$766),"")</f>
        <v/>
      </c>
      <c r="I887" s="16">
        <f>IF(H887&lt;&gt;"",LOOKUP(2,1/('Weekly Tracker'!$E$2:$E$766=$A887)/('Weekly Tracker'!$H$2:$H$766&lt;&gt;""),'Weekly Tracker'!$I$2:$I$766),"")</f>
        <v/>
      </c>
      <c r="J887" s="9">
        <f>IFERROR(LOOKUP(2,1/('Weekly Tracker'!$E$2:$E$766=$A887)/('Weekly Tracker'!$J$2:$J$766&lt;&gt;""),'Weekly Tracker'!$J$2:$J$766),"")</f>
        <v/>
      </c>
      <c r="K887" s="9">
        <f>IFERROR(LOOKUP(2,1/('Weekly Tracker'!$E$2:$E$766=$A887)/('Weekly Tracker'!$N$2:$N$766&lt;&gt;""),'Weekly Tracker'!$N$2:$N$766),"")</f>
        <v/>
      </c>
      <c r="L887" s="9">
        <f>IFERROR(LOOKUP(2,1/('Weekly Tracker'!$E$2:$E$766=$A887)/('Weekly Tracker'!$O$2:$O$766&lt;&gt;""),'Weekly Tracker'!$O$2:$O$766),"")</f>
        <v/>
      </c>
    </row>
    <row r="888">
      <c r="A888" s="9" t="inlineStr">
        <is>
          <t>Yash Ford Finance</t>
        </is>
      </c>
      <c r="B888" s="9" t="inlineStr">
        <is>
          <t>917300633011</t>
        </is>
      </c>
      <c r="C888" s="9" t="n"/>
      <c r="D888" s="9" t="n"/>
      <c r="E888" s="9" t="n"/>
      <c r="F888" s="9">
        <f>IFERROR(LOOKUP(2,1/('Weekly Tracker'!$E$2:$E$766=$A888)/('Weekly Tracker'!$F$2:$F$766&lt;&gt;""),'Weekly Tracker'!$F$2:$F$766),"")</f>
        <v/>
      </c>
      <c r="G888" s="16">
        <f>IF(F888&lt;&gt;"",LOOKUP(2,1/('Weekly Tracker'!$E$2:$E$766=$A888)/('Weekly Tracker'!$F$2:$F$766&lt;&gt;""),'Weekly Tracker'!$G$2:$G$766),"")</f>
        <v/>
      </c>
      <c r="H888" s="9">
        <f>IFERROR(LOOKUP(2,1/('Weekly Tracker'!$E$2:$E$766=$A888)/('Weekly Tracker'!$H$2:$H$766&lt;&gt;""),'Weekly Tracker'!$H$2:$H$766),"")</f>
        <v/>
      </c>
      <c r="I888" s="16">
        <f>IF(H888&lt;&gt;"",LOOKUP(2,1/('Weekly Tracker'!$E$2:$E$766=$A888)/('Weekly Tracker'!$H$2:$H$766&lt;&gt;""),'Weekly Tracker'!$I$2:$I$766),"")</f>
        <v/>
      </c>
      <c r="J888" s="9">
        <f>IFERROR(LOOKUP(2,1/('Weekly Tracker'!$E$2:$E$766=$A888)/('Weekly Tracker'!$J$2:$J$766&lt;&gt;""),'Weekly Tracker'!$J$2:$J$766),"")</f>
        <v/>
      </c>
      <c r="K888" s="9">
        <f>IFERROR(LOOKUP(2,1/('Weekly Tracker'!$E$2:$E$766=$A888)/('Weekly Tracker'!$N$2:$N$766&lt;&gt;""),'Weekly Tracker'!$N$2:$N$766),"")</f>
        <v/>
      </c>
      <c r="L888" s="9">
        <f>IFERROR(LOOKUP(2,1/('Weekly Tracker'!$E$2:$E$766=$A888)/('Weekly Tracker'!$O$2:$O$766&lt;&gt;""),'Weekly Tracker'!$O$2:$O$766),"")</f>
        <v/>
      </c>
    </row>
    <row r="889">
      <c r="A889" s="9" t="inlineStr">
        <is>
          <t>Raja Durai FB</t>
        </is>
      </c>
      <c r="B889" s="9" t="inlineStr">
        <is>
          <t>9524637087</t>
        </is>
      </c>
      <c r="C889" s="9" t="n"/>
      <c r="D889" s="9" t="n"/>
      <c r="E889" s="9" t="n"/>
      <c r="F889" s="9">
        <f>IFERROR(LOOKUP(2,1/('Weekly Tracker'!$E$2:$E$766=$A889)/('Weekly Tracker'!$F$2:$F$766&lt;&gt;""),'Weekly Tracker'!$F$2:$F$766),"")</f>
        <v/>
      </c>
      <c r="G889" s="16">
        <f>IF(F889&lt;&gt;"",LOOKUP(2,1/('Weekly Tracker'!$E$2:$E$766=$A889)/('Weekly Tracker'!$F$2:$F$766&lt;&gt;""),'Weekly Tracker'!$G$2:$G$766),"")</f>
        <v/>
      </c>
      <c r="H889" s="9">
        <f>IFERROR(LOOKUP(2,1/('Weekly Tracker'!$E$2:$E$766=$A889)/('Weekly Tracker'!$H$2:$H$766&lt;&gt;""),'Weekly Tracker'!$H$2:$H$766),"")</f>
        <v/>
      </c>
      <c r="I889" s="16">
        <f>IF(H889&lt;&gt;"",LOOKUP(2,1/('Weekly Tracker'!$E$2:$E$766=$A889)/('Weekly Tracker'!$H$2:$H$766&lt;&gt;""),'Weekly Tracker'!$I$2:$I$766),"")</f>
        <v/>
      </c>
      <c r="J889" s="9">
        <f>IFERROR(LOOKUP(2,1/('Weekly Tracker'!$E$2:$E$766=$A889)/('Weekly Tracker'!$J$2:$J$766&lt;&gt;""),'Weekly Tracker'!$J$2:$J$766),"")</f>
        <v/>
      </c>
      <c r="K889" s="9">
        <f>IFERROR(LOOKUP(2,1/('Weekly Tracker'!$E$2:$E$766=$A889)/('Weekly Tracker'!$N$2:$N$766&lt;&gt;""),'Weekly Tracker'!$N$2:$N$766),"")</f>
        <v/>
      </c>
      <c r="L889" s="9">
        <f>IFERROR(LOOKUP(2,1/('Weekly Tracker'!$E$2:$E$766=$A889)/('Weekly Tracker'!$O$2:$O$766&lt;&gt;""),'Weekly Tracker'!$O$2:$O$766),"")</f>
        <v/>
      </c>
    </row>
    <row r="890">
      <c r="A890" s="9" t="inlineStr">
        <is>
          <t>Saran Cab Kumbakonam</t>
        </is>
      </c>
      <c r="B890" s="9" t="inlineStr">
        <is>
          <t>917339538420</t>
        </is>
      </c>
      <c r="C890" s="9" t="n"/>
      <c r="D890" s="9" t="n"/>
      <c r="E890" s="9" t="n"/>
      <c r="F890" s="9">
        <f>IFERROR(LOOKUP(2,1/('Weekly Tracker'!$E$2:$E$766=$A890)/('Weekly Tracker'!$F$2:$F$766&lt;&gt;""),'Weekly Tracker'!$F$2:$F$766),"")</f>
        <v/>
      </c>
      <c r="G890" s="16">
        <f>IF(F890&lt;&gt;"",LOOKUP(2,1/('Weekly Tracker'!$E$2:$E$766=$A890)/('Weekly Tracker'!$F$2:$F$766&lt;&gt;""),'Weekly Tracker'!$G$2:$G$766),"")</f>
        <v/>
      </c>
      <c r="H890" s="9">
        <f>IFERROR(LOOKUP(2,1/('Weekly Tracker'!$E$2:$E$766=$A890)/('Weekly Tracker'!$H$2:$H$766&lt;&gt;""),'Weekly Tracker'!$H$2:$H$766),"")</f>
        <v/>
      </c>
      <c r="I890" s="16">
        <f>IF(H890&lt;&gt;"",LOOKUP(2,1/('Weekly Tracker'!$E$2:$E$766=$A890)/('Weekly Tracker'!$H$2:$H$766&lt;&gt;""),'Weekly Tracker'!$I$2:$I$766),"")</f>
        <v/>
      </c>
      <c r="J890" s="9">
        <f>IFERROR(LOOKUP(2,1/('Weekly Tracker'!$E$2:$E$766=$A890)/('Weekly Tracker'!$J$2:$J$766&lt;&gt;""),'Weekly Tracker'!$J$2:$J$766),"")</f>
        <v/>
      </c>
      <c r="K890" s="9">
        <f>IFERROR(LOOKUP(2,1/('Weekly Tracker'!$E$2:$E$766=$A890)/('Weekly Tracker'!$N$2:$N$766&lt;&gt;""),'Weekly Tracker'!$N$2:$N$766),"")</f>
        <v/>
      </c>
      <c r="L890" s="9">
        <f>IFERROR(LOOKUP(2,1/('Weekly Tracker'!$E$2:$E$766=$A890)/('Weekly Tracker'!$O$2:$O$766&lt;&gt;""),'Weekly Tracker'!$O$2:$O$766),"")</f>
        <v/>
      </c>
    </row>
    <row r="891">
      <c r="A891" s="9" t="inlineStr">
        <is>
          <t>Gajalakshmi IBM</t>
        </is>
      </c>
      <c r="B891" s="9" t="inlineStr">
        <is>
          <t>9894717404</t>
        </is>
      </c>
      <c r="C891" s="9" t="n"/>
      <c r="D891" s="9" t="n"/>
      <c r="E891" s="9" t="n"/>
      <c r="F891" s="9">
        <f>IFERROR(LOOKUP(2,1/('Weekly Tracker'!$E$2:$E$766=$A891)/('Weekly Tracker'!$F$2:$F$766&lt;&gt;""),'Weekly Tracker'!$F$2:$F$766),"")</f>
        <v/>
      </c>
      <c r="G891" s="16">
        <f>IF(F891&lt;&gt;"",LOOKUP(2,1/('Weekly Tracker'!$E$2:$E$766=$A891)/('Weekly Tracker'!$F$2:$F$766&lt;&gt;""),'Weekly Tracker'!$G$2:$G$766),"")</f>
        <v/>
      </c>
      <c r="H891" s="9">
        <f>IFERROR(LOOKUP(2,1/('Weekly Tracker'!$E$2:$E$766=$A891)/('Weekly Tracker'!$H$2:$H$766&lt;&gt;""),'Weekly Tracker'!$H$2:$H$766),"")</f>
        <v/>
      </c>
      <c r="I891" s="16">
        <f>IF(H891&lt;&gt;"",LOOKUP(2,1/('Weekly Tracker'!$E$2:$E$766=$A891)/('Weekly Tracker'!$H$2:$H$766&lt;&gt;""),'Weekly Tracker'!$I$2:$I$766),"")</f>
        <v/>
      </c>
      <c r="J891" s="9">
        <f>IFERROR(LOOKUP(2,1/('Weekly Tracker'!$E$2:$E$766=$A891)/('Weekly Tracker'!$J$2:$J$766&lt;&gt;""),'Weekly Tracker'!$J$2:$J$766),"")</f>
        <v/>
      </c>
      <c r="K891" s="9">
        <f>IFERROR(LOOKUP(2,1/('Weekly Tracker'!$E$2:$E$766=$A891)/('Weekly Tracker'!$N$2:$N$766&lt;&gt;""),'Weekly Tracker'!$N$2:$N$766),"")</f>
        <v/>
      </c>
      <c r="L891" s="9">
        <f>IFERROR(LOOKUP(2,1/('Weekly Tracker'!$E$2:$E$766=$A891)/('Weekly Tracker'!$O$2:$O$766&lt;&gt;""),'Weekly Tracker'!$O$2:$O$766),"")</f>
        <v/>
      </c>
    </row>
    <row r="892">
      <c r="A892" s="9" t="inlineStr">
        <is>
          <t>Mithun shiva Scl</t>
        </is>
      </c>
      <c r="B892" s="9" t="inlineStr">
        <is>
          <t>919952643400</t>
        </is>
      </c>
      <c r="C892" s="9" t="n"/>
      <c r="D892" s="9" t="n"/>
      <c r="E892" s="9" t="n"/>
      <c r="F892" s="9">
        <f>IFERROR(LOOKUP(2,1/('Weekly Tracker'!$E$2:$E$766=$A892)/('Weekly Tracker'!$F$2:$F$766&lt;&gt;""),'Weekly Tracker'!$F$2:$F$766),"")</f>
        <v/>
      </c>
      <c r="G892" s="16">
        <f>IF(F892&lt;&gt;"",LOOKUP(2,1/('Weekly Tracker'!$E$2:$E$766=$A892)/('Weekly Tracker'!$F$2:$F$766&lt;&gt;""),'Weekly Tracker'!$G$2:$G$766),"")</f>
        <v/>
      </c>
      <c r="H892" s="9">
        <f>IFERROR(LOOKUP(2,1/('Weekly Tracker'!$E$2:$E$766=$A892)/('Weekly Tracker'!$H$2:$H$766&lt;&gt;""),'Weekly Tracker'!$H$2:$H$766),"")</f>
        <v/>
      </c>
      <c r="I892" s="16">
        <f>IF(H892&lt;&gt;"",LOOKUP(2,1/('Weekly Tracker'!$E$2:$E$766=$A892)/('Weekly Tracker'!$H$2:$H$766&lt;&gt;""),'Weekly Tracker'!$I$2:$I$766),"")</f>
        <v/>
      </c>
      <c r="J892" s="9">
        <f>IFERROR(LOOKUP(2,1/('Weekly Tracker'!$E$2:$E$766=$A892)/('Weekly Tracker'!$J$2:$J$766&lt;&gt;""),'Weekly Tracker'!$J$2:$J$766),"")</f>
        <v/>
      </c>
      <c r="K892" s="9">
        <f>IFERROR(LOOKUP(2,1/('Weekly Tracker'!$E$2:$E$766=$A892)/('Weekly Tracker'!$N$2:$N$766&lt;&gt;""),'Weekly Tracker'!$N$2:$N$766),"")</f>
        <v/>
      </c>
      <c r="L892" s="9">
        <f>IFERROR(LOOKUP(2,1/('Weekly Tracker'!$E$2:$E$766=$A892)/('Weekly Tracker'!$O$2:$O$766&lt;&gt;""),'Weekly Tracker'!$O$2:$O$766),"")</f>
        <v/>
      </c>
    </row>
    <row r="893">
      <c r="A893" s="9" t="inlineStr">
        <is>
          <t>Thirumalai kumar FB</t>
        </is>
      </c>
      <c r="B893" s="9" t="inlineStr">
        <is>
          <t>9043278760</t>
        </is>
      </c>
      <c r="C893" s="9" t="n"/>
      <c r="D893" s="9" t="n"/>
      <c r="E893" s="9" t="n"/>
      <c r="F893" s="9">
        <f>IFERROR(LOOKUP(2,1/('Weekly Tracker'!$E$2:$E$766=$A893)/('Weekly Tracker'!$F$2:$F$766&lt;&gt;""),'Weekly Tracker'!$F$2:$F$766),"")</f>
        <v/>
      </c>
      <c r="G893" s="16">
        <f>IF(F893&lt;&gt;"",LOOKUP(2,1/('Weekly Tracker'!$E$2:$E$766=$A893)/('Weekly Tracker'!$F$2:$F$766&lt;&gt;""),'Weekly Tracker'!$G$2:$G$766),"")</f>
        <v/>
      </c>
      <c r="H893" s="9">
        <f>IFERROR(LOOKUP(2,1/('Weekly Tracker'!$E$2:$E$766=$A893)/('Weekly Tracker'!$H$2:$H$766&lt;&gt;""),'Weekly Tracker'!$H$2:$H$766),"")</f>
        <v/>
      </c>
      <c r="I893" s="16">
        <f>IF(H893&lt;&gt;"",LOOKUP(2,1/('Weekly Tracker'!$E$2:$E$766=$A893)/('Weekly Tracker'!$H$2:$H$766&lt;&gt;""),'Weekly Tracker'!$I$2:$I$766),"")</f>
        <v/>
      </c>
      <c r="J893" s="9">
        <f>IFERROR(LOOKUP(2,1/('Weekly Tracker'!$E$2:$E$766=$A893)/('Weekly Tracker'!$J$2:$J$766&lt;&gt;""),'Weekly Tracker'!$J$2:$J$766),"")</f>
        <v/>
      </c>
      <c r="K893" s="9">
        <f>IFERROR(LOOKUP(2,1/('Weekly Tracker'!$E$2:$E$766=$A893)/('Weekly Tracker'!$N$2:$N$766&lt;&gt;""),'Weekly Tracker'!$N$2:$N$766),"")</f>
        <v/>
      </c>
      <c r="L893" s="9">
        <f>IFERROR(LOOKUP(2,1/('Weekly Tracker'!$E$2:$E$766=$A893)/('Weekly Tracker'!$O$2:$O$766&lt;&gt;""),'Weekly Tracker'!$O$2:$O$766),"")</f>
        <v/>
      </c>
    </row>
    <row r="894">
      <c r="A894" s="9" t="inlineStr">
        <is>
          <t>Selva Kumar FB Scl</t>
        </is>
      </c>
      <c r="B894" s="9" t="inlineStr">
        <is>
          <t>9092516156</t>
        </is>
      </c>
      <c r="C894" s="9" t="n"/>
      <c r="D894" s="9" t="n"/>
      <c r="E894" s="9" t="n"/>
      <c r="F894" s="9">
        <f>IFERROR(LOOKUP(2,1/('Weekly Tracker'!$E$2:$E$766=$A894)/('Weekly Tracker'!$F$2:$F$766&lt;&gt;""),'Weekly Tracker'!$F$2:$F$766),"")</f>
        <v/>
      </c>
      <c r="G894" s="16">
        <f>IF(F894&lt;&gt;"",LOOKUP(2,1/('Weekly Tracker'!$E$2:$E$766=$A894)/('Weekly Tracker'!$F$2:$F$766&lt;&gt;""),'Weekly Tracker'!$G$2:$G$766),"")</f>
        <v/>
      </c>
      <c r="H894" s="9">
        <f>IFERROR(LOOKUP(2,1/('Weekly Tracker'!$E$2:$E$766=$A894)/('Weekly Tracker'!$H$2:$H$766&lt;&gt;""),'Weekly Tracker'!$H$2:$H$766),"")</f>
        <v/>
      </c>
      <c r="I894" s="16">
        <f>IF(H894&lt;&gt;"",LOOKUP(2,1/('Weekly Tracker'!$E$2:$E$766=$A894)/('Weekly Tracker'!$H$2:$H$766&lt;&gt;""),'Weekly Tracker'!$I$2:$I$766),"")</f>
        <v/>
      </c>
      <c r="J894" s="9">
        <f>IFERROR(LOOKUP(2,1/('Weekly Tracker'!$E$2:$E$766=$A894)/('Weekly Tracker'!$J$2:$J$766&lt;&gt;""),'Weekly Tracker'!$J$2:$J$766),"")</f>
        <v/>
      </c>
      <c r="K894" s="9">
        <f>IFERROR(LOOKUP(2,1/('Weekly Tracker'!$E$2:$E$766=$A894)/('Weekly Tracker'!$N$2:$N$766&lt;&gt;""),'Weekly Tracker'!$N$2:$N$766),"")</f>
        <v/>
      </c>
      <c r="L894" s="9">
        <f>IFERROR(LOOKUP(2,1/('Weekly Tracker'!$E$2:$E$766=$A894)/('Weekly Tracker'!$O$2:$O$766&lt;&gt;""),'Weekly Tracker'!$O$2:$O$766),"")</f>
        <v/>
      </c>
    </row>
    <row r="895">
      <c r="A895" s="9" t="inlineStr">
        <is>
          <t>Kowsalraj amaz</t>
        </is>
      </c>
      <c r="B895" s="9" t="inlineStr">
        <is>
          <t>919943541117</t>
        </is>
      </c>
      <c r="C895" s="9" t="n"/>
      <c r="D895" s="9" t="n"/>
      <c r="E895" s="9" t="n"/>
      <c r="F895" s="9">
        <f>IFERROR(LOOKUP(2,1/('Weekly Tracker'!$E$2:$E$766=$A895)/('Weekly Tracker'!$F$2:$F$766&lt;&gt;""),'Weekly Tracker'!$F$2:$F$766),"")</f>
        <v/>
      </c>
      <c r="G895" s="16">
        <f>IF(F895&lt;&gt;"",LOOKUP(2,1/('Weekly Tracker'!$E$2:$E$766=$A895)/('Weekly Tracker'!$F$2:$F$766&lt;&gt;""),'Weekly Tracker'!$G$2:$G$766),"")</f>
        <v/>
      </c>
      <c r="H895" s="9">
        <f>IFERROR(LOOKUP(2,1/('Weekly Tracker'!$E$2:$E$766=$A895)/('Weekly Tracker'!$H$2:$H$766&lt;&gt;""),'Weekly Tracker'!$H$2:$H$766),"")</f>
        <v/>
      </c>
      <c r="I895" s="16">
        <f>IF(H895&lt;&gt;"",LOOKUP(2,1/('Weekly Tracker'!$E$2:$E$766=$A895)/('Weekly Tracker'!$H$2:$H$766&lt;&gt;""),'Weekly Tracker'!$I$2:$I$766),"")</f>
        <v/>
      </c>
      <c r="J895" s="9">
        <f>IFERROR(LOOKUP(2,1/('Weekly Tracker'!$E$2:$E$766=$A895)/('Weekly Tracker'!$J$2:$J$766&lt;&gt;""),'Weekly Tracker'!$J$2:$J$766),"")</f>
        <v/>
      </c>
      <c r="K895" s="9">
        <f>IFERROR(LOOKUP(2,1/('Weekly Tracker'!$E$2:$E$766=$A895)/('Weekly Tracker'!$N$2:$N$766&lt;&gt;""),'Weekly Tracker'!$N$2:$N$766),"")</f>
        <v/>
      </c>
      <c r="L895" s="9">
        <f>IFERROR(LOOKUP(2,1/('Weekly Tracker'!$E$2:$E$766=$A895)/('Weekly Tracker'!$O$2:$O$766&lt;&gt;""),'Weekly Tracker'!$O$2:$O$766),"")</f>
        <v/>
      </c>
    </row>
    <row r="896">
      <c r="A896" s="9" t="inlineStr">
        <is>
          <t>Ashok D4V</t>
        </is>
      </c>
      <c r="B896" s="9" t="inlineStr">
        <is>
          <t>919994733260</t>
        </is>
      </c>
      <c r="C896" s="9" t="n"/>
      <c r="D896" s="9" t="n"/>
      <c r="E896" s="9" t="n"/>
      <c r="F896" s="9">
        <f>IFERROR(LOOKUP(2,1/('Weekly Tracker'!$E$2:$E$766=$A896)/('Weekly Tracker'!$F$2:$F$766&lt;&gt;""),'Weekly Tracker'!$F$2:$F$766),"")</f>
        <v/>
      </c>
      <c r="G896" s="16">
        <f>IF(F896&lt;&gt;"",LOOKUP(2,1/('Weekly Tracker'!$E$2:$E$766=$A896)/('Weekly Tracker'!$F$2:$F$766&lt;&gt;""),'Weekly Tracker'!$G$2:$G$766),"")</f>
        <v/>
      </c>
      <c r="H896" s="9">
        <f>IFERROR(LOOKUP(2,1/('Weekly Tracker'!$E$2:$E$766=$A896)/('Weekly Tracker'!$H$2:$H$766&lt;&gt;""),'Weekly Tracker'!$H$2:$H$766),"")</f>
        <v/>
      </c>
      <c r="I896" s="16">
        <f>IF(H896&lt;&gt;"",LOOKUP(2,1/('Weekly Tracker'!$E$2:$E$766=$A896)/('Weekly Tracker'!$H$2:$H$766&lt;&gt;""),'Weekly Tracker'!$I$2:$I$766),"")</f>
        <v/>
      </c>
      <c r="J896" s="9">
        <f>IFERROR(LOOKUP(2,1/('Weekly Tracker'!$E$2:$E$766=$A896)/('Weekly Tracker'!$J$2:$J$766&lt;&gt;""),'Weekly Tracker'!$J$2:$J$766),"")</f>
        <v/>
      </c>
      <c r="K896" s="9">
        <f>IFERROR(LOOKUP(2,1/('Weekly Tracker'!$E$2:$E$766=$A896)/('Weekly Tracker'!$N$2:$N$766&lt;&gt;""),'Weekly Tracker'!$N$2:$N$766),"")</f>
        <v/>
      </c>
      <c r="L896" s="9">
        <f>IFERROR(LOOKUP(2,1/('Weekly Tracker'!$E$2:$E$766=$A896)/('Weekly Tracker'!$O$2:$O$766&lt;&gt;""),'Weekly Tracker'!$O$2:$O$766),"")</f>
        <v/>
      </c>
    </row>
    <row r="897">
      <c r="A897" s="9" t="inlineStr">
        <is>
          <t>Muthu Raj ECE</t>
        </is>
      </c>
      <c r="B897" s="9" t="inlineStr">
        <is>
          <t>919585757179</t>
        </is>
      </c>
      <c r="C897" s="9" t="n"/>
      <c r="D897" s="9" t="n"/>
      <c r="E897" s="9" t="n"/>
      <c r="F897" s="9">
        <f>IFERROR(LOOKUP(2,1/('Weekly Tracker'!$E$2:$E$766=$A897)/('Weekly Tracker'!$F$2:$F$766&lt;&gt;""),'Weekly Tracker'!$F$2:$F$766),"")</f>
        <v/>
      </c>
      <c r="G897" s="16">
        <f>IF(F897&lt;&gt;"",LOOKUP(2,1/('Weekly Tracker'!$E$2:$E$766=$A897)/('Weekly Tracker'!$F$2:$F$766&lt;&gt;""),'Weekly Tracker'!$G$2:$G$766),"")</f>
        <v/>
      </c>
      <c r="H897" s="9">
        <f>IFERROR(LOOKUP(2,1/('Weekly Tracker'!$E$2:$E$766=$A897)/('Weekly Tracker'!$H$2:$H$766&lt;&gt;""),'Weekly Tracker'!$H$2:$H$766),"")</f>
        <v/>
      </c>
      <c r="I897" s="16">
        <f>IF(H897&lt;&gt;"",LOOKUP(2,1/('Weekly Tracker'!$E$2:$E$766=$A897)/('Weekly Tracker'!$H$2:$H$766&lt;&gt;""),'Weekly Tracker'!$I$2:$I$766),"")</f>
        <v/>
      </c>
      <c r="J897" s="9">
        <f>IFERROR(LOOKUP(2,1/('Weekly Tracker'!$E$2:$E$766=$A897)/('Weekly Tracker'!$J$2:$J$766&lt;&gt;""),'Weekly Tracker'!$J$2:$J$766),"")</f>
        <v/>
      </c>
      <c r="K897" s="9">
        <f>IFERROR(LOOKUP(2,1/('Weekly Tracker'!$E$2:$E$766=$A897)/('Weekly Tracker'!$N$2:$N$766&lt;&gt;""),'Weekly Tracker'!$N$2:$N$766),"")</f>
        <v/>
      </c>
      <c r="L897" s="9">
        <f>IFERROR(LOOKUP(2,1/('Weekly Tracker'!$E$2:$E$766=$A897)/('Weekly Tracker'!$O$2:$O$766&lt;&gt;""),'Weekly Tracker'!$O$2:$O$766),"")</f>
        <v/>
      </c>
    </row>
    <row r="898">
      <c r="A898" s="9" t="inlineStr">
        <is>
          <t>Karthick lnt Grp</t>
        </is>
      </c>
      <c r="B898" s="9" t="inlineStr">
        <is>
          <t>918122636260</t>
        </is>
      </c>
      <c r="C898" s="9" t="n"/>
      <c r="D898" s="9" t="n"/>
      <c r="E898" s="9" t="n"/>
      <c r="F898" s="9">
        <f>IFERROR(LOOKUP(2,1/('Weekly Tracker'!$E$2:$E$766=$A898)/('Weekly Tracker'!$F$2:$F$766&lt;&gt;""),'Weekly Tracker'!$F$2:$F$766),"")</f>
        <v/>
      </c>
      <c r="G898" s="16">
        <f>IF(F898&lt;&gt;"",LOOKUP(2,1/('Weekly Tracker'!$E$2:$E$766=$A898)/('Weekly Tracker'!$F$2:$F$766&lt;&gt;""),'Weekly Tracker'!$G$2:$G$766),"")</f>
        <v/>
      </c>
      <c r="H898" s="9">
        <f>IFERROR(LOOKUP(2,1/('Weekly Tracker'!$E$2:$E$766=$A898)/('Weekly Tracker'!$H$2:$H$766&lt;&gt;""),'Weekly Tracker'!$H$2:$H$766),"")</f>
        <v/>
      </c>
      <c r="I898" s="16">
        <f>IF(H898&lt;&gt;"",LOOKUP(2,1/('Weekly Tracker'!$E$2:$E$766=$A898)/('Weekly Tracker'!$H$2:$H$766&lt;&gt;""),'Weekly Tracker'!$I$2:$I$766),"")</f>
        <v/>
      </c>
      <c r="J898" s="9">
        <f>IFERROR(LOOKUP(2,1/('Weekly Tracker'!$E$2:$E$766=$A898)/('Weekly Tracker'!$J$2:$J$766&lt;&gt;""),'Weekly Tracker'!$J$2:$J$766),"")</f>
        <v/>
      </c>
      <c r="K898" s="9">
        <f>IFERROR(LOOKUP(2,1/('Weekly Tracker'!$E$2:$E$766=$A898)/('Weekly Tracker'!$N$2:$N$766&lt;&gt;""),'Weekly Tracker'!$N$2:$N$766),"")</f>
        <v/>
      </c>
      <c r="L898" s="9">
        <f>IFERROR(LOOKUP(2,1/('Weekly Tracker'!$E$2:$E$766=$A898)/('Weekly Tracker'!$O$2:$O$766&lt;&gt;""),'Weekly Tracker'!$O$2:$O$766),"")</f>
        <v/>
      </c>
    </row>
    <row r="899">
      <c r="A899" s="9" t="inlineStr">
        <is>
          <t>Srinivas Palli Verizon</t>
        </is>
      </c>
      <c r="B899" s="9" t="inlineStr">
        <is>
          <t>917550012486</t>
        </is>
      </c>
      <c r="C899" s="9" t="n"/>
      <c r="D899" s="9" t="n"/>
      <c r="E899" s="9" t="inlineStr">
        <is>
          <t>Chennai, India</t>
        </is>
      </c>
      <c r="F899" s="9">
        <f>IFERROR(LOOKUP(2,1/('Weekly Tracker'!$E$2:$E$766=$A899)/('Weekly Tracker'!$F$2:$F$766&lt;&gt;""),'Weekly Tracker'!$F$2:$F$766),"")</f>
        <v/>
      </c>
      <c r="G899" s="16">
        <f>IF(F899&lt;&gt;"",LOOKUP(2,1/('Weekly Tracker'!$E$2:$E$766=$A899)/('Weekly Tracker'!$F$2:$F$766&lt;&gt;""),'Weekly Tracker'!$G$2:$G$766),"")</f>
        <v/>
      </c>
      <c r="H899" s="9">
        <f>IFERROR(LOOKUP(2,1/('Weekly Tracker'!$E$2:$E$766=$A899)/('Weekly Tracker'!$H$2:$H$766&lt;&gt;""),'Weekly Tracker'!$H$2:$H$766),"")</f>
        <v/>
      </c>
      <c r="I899" s="16">
        <f>IF(H899&lt;&gt;"",LOOKUP(2,1/('Weekly Tracker'!$E$2:$E$766=$A899)/('Weekly Tracker'!$H$2:$H$766&lt;&gt;""),'Weekly Tracker'!$I$2:$I$766),"")</f>
        <v/>
      </c>
      <c r="J899" s="9">
        <f>IFERROR(LOOKUP(2,1/('Weekly Tracker'!$E$2:$E$766=$A899)/('Weekly Tracker'!$J$2:$J$766&lt;&gt;""),'Weekly Tracker'!$J$2:$J$766),"")</f>
        <v/>
      </c>
      <c r="K899" s="9">
        <f>IFERROR(LOOKUP(2,1/('Weekly Tracker'!$E$2:$E$766=$A899)/('Weekly Tracker'!$N$2:$N$766&lt;&gt;""),'Weekly Tracker'!$N$2:$N$766),"")</f>
        <v/>
      </c>
      <c r="L899" s="9">
        <f>IFERROR(LOOKUP(2,1/('Weekly Tracker'!$E$2:$E$766=$A899)/('Weekly Tracker'!$O$2:$O$766&lt;&gt;""),'Weekly Tracker'!$O$2:$O$766),"")</f>
        <v/>
      </c>
    </row>
    <row r="900">
      <c r="A900" s="9" t="inlineStr">
        <is>
          <t>Gifty ECE</t>
        </is>
      </c>
      <c r="B900" s="9" t="inlineStr">
        <is>
          <t>9488127941</t>
        </is>
      </c>
      <c r="C900" s="9" t="n"/>
      <c r="D900" s="9" t="n"/>
      <c r="E900" s="9" t="n"/>
      <c r="F900" s="9">
        <f>IFERROR(LOOKUP(2,1/('Weekly Tracker'!$E$2:$E$766=$A900)/('Weekly Tracker'!$F$2:$F$766&lt;&gt;""),'Weekly Tracker'!$F$2:$F$766),"")</f>
        <v/>
      </c>
      <c r="G900" s="16">
        <f>IF(F900&lt;&gt;"",LOOKUP(2,1/('Weekly Tracker'!$E$2:$E$766=$A900)/('Weekly Tracker'!$F$2:$F$766&lt;&gt;""),'Weekly Tracker'!$G$2:$G$766),"")</f>
        <v/>
      </c>
      <c r="H900" s="9">
        <f>IFERROR(LOOKUP(2,1/('Weekly Tracker'!$E$2:$E$766=$A900)/('Weekly Tracker'!$H$2:$H$766&lt;&gt;""),'Weekly Tracker'!$H$2:$H$766),"")</f>
        <v/>
      </c>
      <c r="I900" s="16">
        <f>IF(H900&lt;&gt;"",LOOKUP(2,1/('Weekly Tracker'!$E$2:$E$766=$A900)/('Weekly Tracker'!$H$2:$H$766&lt;&gt;""),'Weekly Tracker'!$I$2:$I$766),"")</f>
        <v/>
      </c>
      <c r="J900" s="9">
        <f>IFERROR(LOOKUP(2,1/('Weekly Tracker'!$E$2:$E$766=$A900)/('Weekly Tracker'!$J$2:$J$766&lt;&gt;""),'Weekly Tracker'!$J$2:$J$766),"")</f>
        <v/>
      </c>
      <c r="K900" s="9">
        <f>IFERROR(LOOKUP(2,1/('Weekly Tracker'!$E$2:$E$766=$A900)/('Weekly Tracker'!$N$2:$N$766&lt;&gt;""),'Weekly Tracker'!$N$2:$N$766),"")</f>
        <v/>
      </c>
      <c r="L900" s="9">
        <f>IFERROR(LOOKUP(2,1/('Weekly Tracker'!$E$2:$E$766=$A900)/('Weekly Tracker'!$O$2:$O$766&lt;&gt;""),'Weekly Tracker'!$O$2:$O$766),"")</f>
        <v/>
      </c>
    </row>
    <row r="901">
      <c r="A901" s="9" t="inlineStr">
        <is>
          <t>Rishi Kanth Infy</t>
        </is>
      </c>
      <c r="B901" s="9" t="inlineStr">
        <is>
          <t>918838023835</t>
        </is>
      </c>
      <c r="C901" s="9" t="n"/>
      <c r="D901" s="9" t="n"/>
      <c r="E901" s="9" t="n"/>
      <c r="F901" s="9">
        <f>IFERROR(LOOKUP(2,1/('Weekly Tracker'!$E$2:$E$766=$A901)/('Weekly Tracker'!$F$2:$F$766&lt;&gt;""),'Weekly Tracker'!$F$2:$F$766),"")</f>
        <v/>
      </c>
      <c r="G901" s="16">
        <f>IF(F901&lt;&gt;"",LOOKUP(2,1/('Weekly Tracker'!$E$2:$E$766=$A901)/('Weekly Tracker'!$F$2:$F$766&lt;&gt;""),'Weekly Tracker'!$G$2:$G$766),"")</f>
        <v/>
      </c>
      <c r="H901" s="9">
        <f>IFERROR(LOOKUP(2,1/('Weekly Tracker'!$E$2:$E$766=$A901)/('Weekly Tracker'!$H$2:$H$766&lt;&gt;""),'Weekly Tracker'!$H$2:$H$766),"")</f>
        <v/>
      </c>
      <c r="I901" s="16">
        <f>IF(H901&lt;&gt;"",LOOKUP(2,1/('Weekly Tracker'!$E$2:$E$766=$A901)/('Weekly Tracker'!$H$2:$H$766&lt;&gt;""),'Weekly Tracker'!$I$2:$I$766),"")</f>
        <v/>
      </c>
      <c r="J901" s="9">
        <f>IFERROR(LOOKUP(2,1/('Weekly Tracker'!$E$2:$E$766=$A901)/('Weekly Tracker'!$J$2:$J$766&lt;&gt;""),'Weekly Tracker'!$J$2:$J$766),"")</f>
        <v/>
      </c>
      <c r="K901" s="9">
        <f>IFERROR(LOOKUP(2,1/('Weekly Tracker'!$E$2:$E$766=$A901)/('Weekly Tracker'!$N$2:$N$766&lt;&gt;""),'Weekly Tracker'!$N$2:$N$766),"")</f>
        <v/>
      </c>
      <c r="L901" s="9">
        <f>IFERROR(LOOKUP(2,1/('Weekly Tracker'!$E$2:$E$766=$A901)/('Weekly Tracker'!$O$2:$O$766&lt;&gt;""),'Weekly Tracker'!$O$2:$O$766),"")</f>
        <v/>
      </c>
    </row>
    <row r="902">
      <c r="A902" s="9" t="inlineStr">
        <is>
          <t>Kannan Scl</t>
        </is>
      </c>
      <c r="B902" s="9" t="inlineStr">
        <is>
          <t>919384717341</t>
        </is>
      </c>
      <c r="C902" s="9" t="n"/>
      <c r="D902" s="9" t="n"/>
      <c r="E902" s="9" t="n"/>
      <c r="F902" s="9">
        <f>IFERROR(LOOKUP(2,1/('Weekly Tracker'!$E$2:$E$766=$A902)/('Weekly Tracker'!$F$2:$F$766&lt;&gt;""),'Weekly Tracker'!$F$2:$F$766),"")</f>
        <v/>
      </c>
      <c r="G902" s="16">
        <f>IF(F902&lt;&gt;"",LOOKUP(2,1/('Weekly Tracker'!$E$2:$E$766=$A902)/('Weekly Tracker'!$F$2:$F$766&lt;&gt;""),'Weekly Tracker'!$G$2:$G$766),"")</f>
        <v/>
      </c>
      <c r="H902" s="9">
        <f>IFERROR(LOOKUP(2,1/('Weekly Tracker'!$E$2:$E$766=$A902)/('Weekly Tracker'!$H$2:$H$766&lt;&gt;""),'Weekly Tracker'!$H$2:$H$766),"")</f>
        <v/>
      </c>
      <c r="I902" s="16">
        <f>IF(H902&lt;&gt;"",LOOKUP(2,1/('Weekly Tracker'!$E$2:$E$766=$A902)/('Weekly Tracker'!$H$2:$H$766&lt;&gt;""),'Weekly Tracker'!$I$2:$I$766),"")</f>
        <v/>
      </c>
      <c r="J902" s="9">
        <f>IFERROR(LOOKUP(2,1/('Weekly Tracker'!$E$2:$E$766=$A902)/('Weekly Tracker'!$J$2:$J$766&lt;&gt;""),'Weekly Tracker'!$J$2:$J$766),"")</f>
        <v/>
      </c>
      <c r="K902" s="9">
        <f>IFERROR(LOOKUP(2,1/('Weekly Tracker'!$E$2:$E$766=$A902)/('Weekly Tracker'!$N$2:$N$766&lt;&gt;""),'Weekly Tracker'!$N$2:$N$766),"")</f>
        <v/>
      </c>
      <c r="L902" s="9">
        <f>IFERROR(LOOKUP(2,1/('Weekly Tracker'!$E$2:$E$766=$A902)/('Weekly Tracker'!$O$2:$O$766&lt;&gt;""),'Weekly Tracker'!$O$2:$O$766),"")</f>
        <v/>
      </c>
    </row>
    <row r="903">
      <c r="A903" s="9" t="inlineStr">
        <is>
          <t>Palani Accenture</t>
        </is>
      </c>
      <c r="B903" s="9" t="inlineStr">
        <is>
          <t>919790991321</t>
        </is>
      </c>
      <c r="C903" s="9" t="n"/>
      <c r="D903" s="9" t="n"/>
      <c r="E903" s="9" t="n"/>
      <c r="F903" s="9">
        <f>IFERROR(LOOKUP(2,1/('Weekly Tracker'!$E$2:$E$766=$A903)/('Weekly Tracker'!$F$2:$F$766&lt;&gt;""),'Weekly Tracker'!$F$2:$F$766),"")</f>
        <v/>
      </c>
      <c r="G903" s="16">
        <f>IF(F903&lt;&gt;"",LOOKUP(2,1/('Weekly Tracker'!$E$2:$E$766=$A903)/('Weekly Tracker'!$F$2:$F$766&lt;&gt;""),'Weekly Tracker'!$G$2:$G$766),"")</f>
        <v/>
      </c>
      <c r="H903" s="9">
        <f>IFERROR(LOOKUP(2,1/('Weekly Tracker'!$E$2:$E$766=$A903)/('Weekly Tracker'!$H$2:$H$766&lt;&gt;""),'Weekly Tracker'!$H$2:$H$766),"")</f>
        <v/>
      </c>
      <c r="I903" s="16">
        <f>IF(H903&lt;&gt;"",LOOKUP(2,1/('Weekly Tracker'!$E$2:$E$766=$A903)/('Weekly Tracker'!$H$2:$H$766&lt;&gt;""),'Weekly Tracker'!$I$2:$I$766),"")</f>
        <v/>
      </c>
      <c r="J903" s="9">
        <f>IFERROR(LOOKUP(2,1/('Weekly Tracker'!$E$2:$E$766=$A903)/('Weekly Tracker'!$J$2:$J$766&lt;&gt;""),'Weekly Tracker'!$J$2:$J$766),"")</f>
        <v/>
      </c>
      <c r="K903" s="9">
        <f>IFERROR(LOOKUP(2,1/('Weekly Tracker'!$E$2:$E$766=$A903)/('Weekly Tracker'!$N$2:$N$766&lt;&gt;""),'Weekly Tracker'!$N$2:$N$766),"")</f>
        <v/>
      </c>
      <c r="L903" s="9">
        <f>IFERROR(LOOKUP(2,1/('Weekly Tracker'!$E$2:$E$766=$A903)/('Weekly Tracker'!$O$2:$O$766&lt;&gt;""),'Weekly Tracker'!$O$2:$O$766),"")</f>
        <v/>
      </c>
    </row>
    <row r="904">
      <c r="A904" s="9" t="inlineStr">
        <is>
          <t>Venkatesan S Mech</t>
        </is>
      </c>
      <c r="B904" s="9" t="inlineStr">
        <is>
          <t>919751060225</t>
        </is>
      </c>
      <c r="C904" s="9" t="n"/>
      <c r="D904" s="9" t="n"/>
      <c r="E904" s="9" t="n"/>
      <c r="F904" s="9">
        <f>IFERROR(LOOKUP(2,1/('Weekly Tracker'!$E$2:$E$766=$A904)/('Weekly Tracker'!$F$2:$F$766&lt;&gt;""),'Weekly Tracker'!$F$2:$F$766),"")</f>
        <v/>
      </c>
      <c r="G904" s="16">
        <f>IF(F904&lt;&gt;"",LOOKUP(2,1/('Weekly Tracker'!$E$2:$E$766=$A904)/('Weekly Tracker'!$F$2:$F$766&lt;&gt;""),'Weekly Tracker'!$G$2:$G$766),"")</f>
        <v/>
      </c>
      <c r="H904" s="9">
        <f>IFERROR(LOOKUP(2,1/('Weekly Tracker'!$E$2:$E$766=$A904)/('Weekly Tracker'!$H$2:$H$766&lt;&gt;""),'Weekly Tracker'!$H$2:$H$766),"")</f>
        <v/>
      </c>
      <c r="I904" s="16">
        <f>IF(H904&lt;&gt;"",LOOKUP(2,1/('Weekly Tracker'!$E$2:$E$766=$A904)/('Weekly Tracker'!$H$2:$H$766&lt;&gt;""),'Weekly Tracker'!$I$2:$I$766),"")</f>
        <v/>
      </c>
      <c r="J904" s="9">
        <f>IFERROR(LOOKUP(2,1/('Weekly Tracker'!$E$2:$E$766=$A904)/('Weekly Tracker'!$J$2:$J$766&lt;&gt;""),'Weekly Tracker'!$J$2:$J$766),"")</f>
        <v/>
      </c>
      <c r="K904" s="9">
        <f>IFERROR(LOOKUP(2,1/('Weekly Tracker'!$E$2:$E$766=$A904)/('Weekly Tracker'!$N$2:$N$766&lt;&gt;""),'Weekly Tracker'!$N$2:$N$766),"")</f>
        <v/>
      </c>
      <c r="L904" s="9">
        <f>IFERROR(LOOKUP(2,1/('Weekly Tracker'!$E$2:$E$766=$A904)/('Weekly Tracker'!$O$2:$O$766&lt;&gt;""),'Weekly Tracker'!$O$2:$O$766),"")</f>
        <v/>
      </c>
    </row>
    <row r="905">
      <c r="A905" s="9" t="inlineStr">
        <is>
          <t>Siva Ranjan FB</t>
        </is>
      </c>
      <c r="B905" s="9" t="inlineStr">
        <is>
          <t>916380562158, 9790394352</t>
        </is>
      </c>
      <c r="C905" s="9" t="n"/>
      <c r="D905" s="9" t="n"/>
      <c r="E905" s="9" t="n"/>
      <c r="F905" s="9">
        <f>IFERROR(LOOKUP(2,1/('Weekly Tracker'!$E$2:$E$766=$A905)/('Weekly Tracker'!$F$2:$F$766&lt;&gt;""),'Weekly Tracker'!$F$2:$F$766),"")</f>
        <v/>
      </c>
      <c r="G905" s="16">
        <f>IF(F905&lt;&gt;"",LOOKUP(2,1/('Weekly Tracker'!$E$2:$E$766=$A905)/('Weekly Tracker'!$F$2:$F$766&lt;&gt;""),'Weekly Tracker'!$G$2:$G$766),"")</f>
        <v/>
      </c>
      <c r="H905" s="9">
        <f>IFERROR(LOOKUP(2,1/('Weekly Tracker'!$E$2:$E$766=$A905)/('Weekly Tracker'!$H$2:$H$766&lt;&gt;""),'Weekly Tracker'!$H$2:$H$766),"")</f>
        <v/>
      </c>
      <c r="I905" s="16">
        <f>IF(H905&lt;&gt;"",LOOKUP(2,1/('Weekly Tracker'!$E$2:$E$766=$A905)/('Weekly Tracker'!$H$2:$H$766&lt;&gt;""),'Weekly Tracker'!$I$2:$I$766),"")</f>
        <v/>
      </c>
      <c r="J905" s="9">
        <f>IFERROR(LOOKUP(2,1/('Weekly Tracker'!$E$2:$E$766=$A905)/('Weekly Tracker'!$J$2:$J$766&lt;&gt;""),'Weekly Tracker'!$J$2:$J$766),"")</f>
        <v/>
      </c>
      <c r="K905" s="9">
        <f>IFERROR(LOOKUP(2,1/('Weekly Tracker'!$E$2:$E$766=$A905)/('Weekly Tracker'!$N$2:$N$766&lt;&gt;""),'Weekly Tracker'!$N$2:$N$766),"")</f>
        <v/>
      </c>
      <c r="L905" s="9">
        <f>IFERROR(LOOKUP(2,1/('Weekly Tracker'!$E$2:$E$766=$A905)/('Weekly Tracker'!$O$2:$O$766&lt;&gt;""),'Weekly Tracker'!$O$2:$O$766),"")</f>
        <v/>
      </c>
    </row>
    <row r="906">
      <c r="A906" s="9" t="inlineStr">
        <is>
          <t>Krishnan MuthuKrishnan FB</t>
        </is>
      </c>
      <c r="B906" s="9" t="inlineStr">
        <is>
          <t>8189889624</t>
        </is>
      </c>
      <c r="C906" s="9" t="n"/>
      <c r="D906" s="9" t="n"/>
      <c r="E906" s="9" t="n"/>
      <c r="F906" s="9">
        <f>IFERROR(LOOKUP(2,1/('Weekly Tracker'!$E$2:$E$766=$A906)/('Weekly Tracker'!$F$2:$F$766&lt;&gt;""),'Weekly Tracker'!$F$2:$F$766),"")</f>
        <v/>
      </c>
      <c r="G906" s="16">
        <f>IF(F906&lt;&gt;"",LOOKUP(2,1/('Weekly Tracker'!$E$2:$E$766=$A906)/('Weekly Tracker'!$F$2:$F$766&lt;&gt;""),'Weekly Tracker'!$G$2:$G$766),"")</f>
        <v/>
      </c>
      <c r="H906" s="9">
        <f>IFERROR(LOOKUP(2,1/('Weekly Tracker'!$E$2:$E$766=$A906)/('Weekly Tracker'!$H$2:$H$766&lt;&gt;""),'Weekly Tracker'!$H$2:$H$766),"")</f>
        <v/>
      </c>
      <c r="I906" s="16">
        <f>IF(H906&lt;&gt;"",LOOKUP(2,1/('Weekly Tracker'!$E$2:$E$766=$A906)/('Weekly Tracker'!$H$2:$H$766&lt;&gt;""),'Weekly Tracker'!$I$2:$I$766),"")</f>
        <v/>
      </c>
      <c r="J906" s="9">
        <f>IFERROR(LOOKUP(2,1/('Weekly Tracker'!$E$2:$E$766=$A906)/('Weekly Tracker'!$J$2:$J$766&lt;&gt;""),'Weekly Tracker'!$J$2:$J$766),"")</f>
        <v/>
      </c>
      <c r="K906" s="9">
        <f>IFERROR(LOOKUP(2,1/('Weekly Tracker'!$E$2:$E$766=$A906)/('Weekly Tracker'!$N$2:$N$766&lt;&gt;""),'Weekly Tracker'!$N$2:$N$766),"")</f>
        <v/>
      </c>
      <c r="L906" s="9">
        <f>IFERROR(LOOKUP(2,1/('Weekly Tracker'!$E$2:$E$766=$A906)/('Weekly Tracker'!$O$2:$O$766&lt;&gt;""),'Weekly Tracker'!$O$2:$O$766),"")</f>
        <v/>
      </c>
    </row>
    <row r="907">
      <c r="A907" s="9" t="inlineStr">
        <is>
          <t>Mari Selvam Kprm Scl</t>
        </is>
      </c>
      <c r="B907" s="9" t="inlineStr">
        <is>
          <t>918807271846</t>
        </is>
      </c>
      <c r="C907" s="9" t="n"/>
      <c r="D907" s="9" t="n"/>
      <c r="E907" s="9" t="n"/>
      <c r="F907" s="9">
        <f>IFERROR(LOOKUP(2,1/('Weekly Tracker'!$E$2:$E$766=$A907)/('Weekly Tracker'!$F$2:$F$766&lt;&gt;""),'Weekly Tracker'!$F$2:$F$766),"")</f>
        <v/>
      </c>
      <c r="G907" s="16">
        <f>IF(F907&lt;&gt;"",LOOKUP(2,1/('Weekly Tracker'!$E$2:$E$766=$A907)/('Weekly Tracker'!$F$2:$F$766&lt;&gt;""),'Weekly Tracker'!$G$2:$G$766),"")</f>
        <v/>
      </c>
      <c r="H907" s="9">
        <f>IFERROR(LOOKUP(2,1/('Weekly Tracker'!$E$2:$E$766=$A907)/('Weekly Tracker'!$H$2:$H$766&lt;&gt;""),'Weekly Tracker'!$H$2:$H$766),"")</f>
        <v/>
      </c>
      <c r="I907" s="16">
        <f>IF(H907&lt;&gt;"",LOOKUP(2,1/('Weekly Tracker'!$E$2:$E$766=$A907)/('Weekly Tracker'!$H$2:$H$766&lt;&gt;""),'Weekly Tracker'!$I$2:$I$766),"")</f>
        <v/>
      </c>
      <c r="J907" s="9">
        <f>IFERROR(LOOKUP(2,1/('Weekly Tracker'!$E$2:$E$766=$A907)/('Weekly Tracker'!$J$2:$J$766&lt;&gt;""),'Weekly Tracker'!$J$2:$J$766),"")</f>
        <v/>
      </c>
      <c r="K907" s="9">
        <f>IFERROR(LOOKUP(2,1/('Weekly Tracker'!$E$2:$E$766=$A907)/('Weekly Tracker'!$N$2:$N$766&lt;&gt;""),'Weekly Tracker'!$N$2:$N$766),"")</f>
        <v/>
      </c>
      <c r="L907" s="9">
        <f>IFERROR(LOOKUP(2,1/('Weekly Tracker'!$E$2:$E$766=$A907)/('Weekly Tracker'!$O$2:$O$766&lt;&gt;""),'Weekly Tracker'!$O$2:$O$766),"")</f>
        <v/>
      </c>
    </row>
    <row r="908">
      <c r="A908" s="9" t="inlineStr">
        <is>
          <t>Blessing Sam FB</t>
        </is>
      </c>
      <c r="B908" s="9" t="inlineStr">
        <is>
          <t>918344565396</t>
        </is>
      </c>
      <c r="C908" s="9" t="n"/>
      <c r="D908" s="9" t="n"/>
      <c r="E908" s="9" t="n"/>
      <c r="F908" s="9">
        <f>IFERROR(LOOKUP(2,1/('Weekly Tracker'!$E$2:$E$766=$A908)/('Weekly Tracker'!$F$2:$F$766&lt;&gt;""),'Weekly Tracker'!$F$2:$F$766),"")</f>
        <v/>
      </c>
      <c r="G908" s="16">
        <f>IF(F908&lt;&gt;"",LOOKUP(2,1/('Weekly Tracker'!$E$2:$E$766=$A908)/('Weekly Tracker'!$F$2:$F$766&lt;&gt;""),'Weekly Tracker'!$G$2:$G$766),"")</f>
        <v/>
      </c>
      <c r="H908" s="9">
        <f>IFERROR(LOOKUP(2,1/('Weekly Tracker'!$E$2:$E$766=$A908)/('Weekly Tracker'!$H$2:$H$766&lt;&gt;""),'Weekly Tracker'!$H$2:$H$766),"")</f>
        <v/>
      </c>
      <c r="I908" s="16">
        <f>IF(H908&lt;&gt;"",LOOKUP(2,1/('Weekly Tracker'!$E$2:$E$766=$A908)/('Weekly Tracker'!$H$2:$H$766&lt;&gt;""),'Weekly Tracker'!$I$2:$I$766),"")</f>
        <v/>
      </c>
      <c r="J908" s="9">
        <f>IFERROR(LOOKUP(2,1/('Weekly Tracker'!$E$2:$E$766=$A908)/('Weekly Tracker'!$J$2:$J$766&lt;&gt;""),'Weekly Tracker'!$J$2:$J$766),"")</f>
        <v/>
      </c>
      <c r="K908" s="9">
        <f>IFERROR(LOOKUP(2,1/('Weekly Tracker'!$E$2:$E$766=$A908)/('Weekly Tracker'!$N$2:$N$766&lt;&gt;""),'Weekly Tracker'!$N$2:$N$766),"")</f>
        <v/>
      </c>
      <c r="L908" s="9">
        <f>IFERROR(LOOKUP(2,1/('Weekly Tracker'!$E$2:$E$766=$A908)/('Weekly Tracker'!$O$2:$O$766&lt;&gt;""),'Weekly Tracker'!$O$2:$O$766),"")</f>
        <v/>
      </c>
    </row>
    <row r="909">
      <c r="A909" s="9" t="inlineStr">
        <is>
          <t>ICICI- Bank Acc Opp Rep</t>
        </is>
      </c>
      <c r="B909" s="9" t="inlineStr">
        <is>
          <t>9444588726</t>
        </is>
      </c>
      <c r="C909" s="9" t="n"/>
      <c r="D909" s="9" t="n"/>
      <c r="E909" s="9" t="n"/>
      <c r="F909" s="9">
        <f>IFERROR(LOOKUP(2,1/('Weekly Tracker'!$E$2:$E$766=$A909)/('Weekly Tracker'!$F$2:$F$766&lt;&gt;""),'Weekly Tracker'!$F$2:$F$766),"")</f>
        <v/>
      </c>
      <c r="G909" s="16">
        <f>IF(F909&lt;&gt;"",LOOKUP(2,1/('Weekly Tracker'!$E$2:$E$766=$A909)/('Weekly Tracker'!$F$2:$F$766&lt;&gt;""),'Weekly Tracker'!$G$2:$G$766),"")</f>
        <v/>
      </c>
      <c r="H909" s="9">
        <f>IFERROR(LOOKUP(2,1/('Weekly Tracker'!$E$2:$E$766=$A909)/('Weekly Tracker'!$H$2:$H$766&lt;&gt;""),'Weekly Tracker'!$H$2:$H$766),"")</f>
        <v/>
      </c>
      <c r="I909" s="16">
        <f>IF(H909&lt;&gt;"",LOOKUP(2,1/('Weekly Tracker'!$E$2:$E$766=$A909)/('Weekly Tracker'!$H$2:$H$766&lt;&gt;""),'Weekly Tracker'!$I$2:$I$766),"")</f>
        <v/>
      </c>
      <c r="J909" s="9">
        <f>IFERROR(LOOKUP(2,1/('Weekly Tracker'!$E$2:$E$766=$A909)/('Weekly Tracker'!$J$2:$J$766&lt;&gt;""),'Weekly Tracker'!$J$2:$J$766),"")</f>
        <v/>
      </c>
      <c r="K909" s="9">
        <f>IFERROR(LOOKUP(2,1/('Weekly Tracker'!$E$2:$E$766=$A909)/('Weekly Tracker'!$N$2:$N$766&lt;&gt;""),'Weekly Tracker'!$N$2:$N$766),"")</f>
        <v/>
      </c>
      <c r="L909" s="9">
        <f>IFERROR(LOOKUP(2,1/('Weekly Tracker'!$E$2:$E$766=$A909)/('Weekly Tracker'!$O$2:$O$766&lt;&gt;""),'Weekly Tracker'!$O$2:$O$766),"")</f>
        <v/>
      </c>
    </row>
    <row r="910">
      <c r="A910" s="9" t="inlineStr">
        <is>
          <t>Mohana Murali Urja</t>
        </is>
      </c>
      <c r="B910" s="9" t="inlineStr">
        <is>
          <t>918883333151</t>
        </is>
      </c>
      <c r="C910" s="9" t="n"/>
      <c r="D910" s="9" t="n"/>
      <c r="E910" s="9" t="n"/>
      <c r="F910" s="9">
        <f>IFERROR(LOOKUP(2,1/('Weekly Tracker'!$E$2:$E$766=$A910)/('Weekly Tracker'!$F$2:$F$766&lt;&gt;""),'Weekly Tracker'!$F$2:$F$766),"")</f>
        <v/>
      </c>
      <c r="G910" s="16">
        <f>IF(F910&lt;&gt;"",LOOKUP(2,1/('Weekly Tracker'!$E$2:$E$766=$A910)/('Weekly Tracker'!$F$2:$F$766&lt;&gt;""),'Weekly Tracker'!$G$2:$G$766),"")</f>
        <v/>
      </c>
      <c r="H910" s="9">
        <f>IFERROR(LOOKUP(2,1/('Weekly Tracker'!$E$2:$E$766=$A910)/('Weekly Tracker'!$H$2:$H$766&lt;&gt;""),'Weekly Tracker'!$H$2:$H$766),"")</f>
        <v/>
      </c>
      <c r="I910" s="16">
        <f>IF(H910&lt;&gt;"",LOOKUP(2,1/('Weekly Tracker'!$E$2:$E$766=$A910)/('Weekly Tracker'!$H$2:$H$766&lt;&gt;""),'Weekly Tracker'!$I$2:$I$766),"")</f>
        <v/>
      </c>
      <c r="J910" s="9">
        <f>IFERROR(LOOKUP(2,1/('Weekly Tracker'!$E$2:$E$766=$A910)/('Weekly Tracker'!$J$2:$J$766&lt;&gt;""),'Weekly Tracker'!$J$2:$J$766),"")</f>
        <v/>
      </c>
      <c r="K910" s="9">
        <f>IFERROR(LOOKUP(2,1/('Weekly Tracker'!$E$2:$E$766=$A910)/('Weekly Tracker'!$N$2:$N$766&lt;&gt;""),'Weekly Tracker'!$N$2:$N$766),"")</f>
        <v/>
      </c>
      <c r="L910" s="9">
        <f>IFERROR(LOOKUP(2,1/('Weekly Tracker'!$E$2:$E$766=$A910)/('Weekly Tracker'!$O$2:$O$766&lt;&gt;""),'Weekly Tracker'!$O$2:$O$766),"")</f>
        <v/>
      </c>
    </row>
    <row r="911">
      <c r="A911" s="9" t="inlineStr">
        <is>
          <t>Gopi Auditor</t>
        </is>
      </c>
      <c r="B911" s="9" t="inlineStr">
        <is>
          <t>919042001200</t>
        </is>
      </c>
      <c r="C911" s="9" t="n"/>
      <c r="D911" s="9" t="n"/>
      <c r="E911" s="9" t="n"/>
      <c r="F911" s="9">
        <f>IFERROR(LOOKUP(2,1/('Weekly Tracker'!$E$2:$E$766=$A911)/('Weekly Tracker'!$F$2:$F$766&lt;&gt;""),'Weekly Tracker'!$F$2:$F$766),"")</f>
        <v/>
      </c>
      <c r="G911" s="16">
        <f>IF(F911&lt;&gt;"",LOOKUP(2,1/('Weekly Tracker'!$E$2:$E$766=$A911)/('Weekly Tracker'!$F$2:$F$766&lt;&gt;""),'Weekly Tracker'!$G$2:$G$766),"")</f>
        <v/>
      </c>
      <c r="H911" s="9">
        <f>IFERROR(LOOKUP(2,1/('Weekly Tracker'!$E$2:$E$766=$A911)/('Weekly Tracker'!$H$2:$H$766&lt;&gt;""),'Weekly Tracker'!$H$2:$H$766),"")</f>
        <v/>
      </c>
      <c r="I911" s="16">
        <f>IF(H911&lt;&gt;"",LOOKUP(2,1/('Weekly Tracker'!$E$2:$E$766=$A911)/('Weekly Tracker'!$H$2:$H$766&lt;&gt;""),'Weekly Tracker'!$I$2:$I$766),"")</f>
        <v/>
      </c>
      <c r="J911" s="9">
        <f>IFERROR(LOOKUP(2,1/('Weekly Tracker'!$E$2:$E$766=$A911)/('Weekly Tracker'!$J$2:$J$766&lt;&gt;""),'Weekly Tracker'!$J$2:$J$766),"")</f>
        <v/>
      </c>
      <c r="K911" s="9">
        <f>IFERROR(LOOKUP(2,1/('Weekly Tracker'!$E$2:$E$766=$A911)/('Weekly Tracker'!$N$2:$N$766&lt;&gt;""),'Weekly Tracker'!$N$2:$N$766),"")</f>
        <v/>
      </c>
      <c r="L911" s="9">
        <f>IFERROR(LOOKUP(2,1/('Weekly Tracker'!$E$2:$E$766=$A911)/('Weekly Tracker'!$O$2:$O$766&lt;&gt;""),'Weekly Tracker'!$O$2:$O$766),"")</f>
        <v/>
      </c>
    </row>
    <row r="912">
      <c r="A912" s="9" t="inlineStr">
        <is>
          <t>Subash HCL</t>
        </is>
      </c>
      <c r="B912" s="9" t="inlineStr">
        <is>
          <t>8825443856</t>
        </is>
      </c>
      <c r="C912" s="9" t="n"/>
      <c r="D912" s="9" t="n"/>
      <c r="E912" s="9" t="n"/>
      <c r="F912" s="9">
        <f>IFERROR(LOOKUP(2,1/('Weekly Tracker'!$E$2:$E$766=$A912)/('Weekly Tracker'!$F$2:$F$766&lt;&gt;""),'Weekly Tracker'!$F$2:$F$766),"")</f>
        <v/>
      </c>
      <c r="G912" s="16">
        <f>IF(F912&lt;&gt;"",LOOKUP(2,1/('Weekly Tracker'!$E$2:$E$766=$A912)/('Weekly Tracker'!$F$2:$F$766&lt;&gt;""),'Weekly Tracker'!$G$2:$G$766),"")</f>
        <v/>
      </c>
      <c r="H912" s="9">
        <f>IFERROR(LOOKUP(2,1/('Weekly Tracker'!$E$2:$E$766=$A912)/('Weekly Tracker'!$H$2:$H$766&lt;&gt;""),'Weekly Tracker'!$H$2:$H$766),"")</f>
        <v/>
      </c>
      <c r="I912" s="16">
        <f>IF(H912&lt;&gt;"",LOOKUP(2,1/('Weekly Tracker'!$E$2:$E$766=$A912)/('Weekly Tracker'!$H$2:$H$766&lt;&gt;""),'Weekly Tracker'!$I$2:$I$766),"")</f>
        <v/>
      </c>
      <c r="J912" s="9">
        <f>IFERROR(LOOKUP(2,1/('Weekly Tracker'!$E$2:$E$766=$A912)/('Weekly Tracker'!$J$2:$J$766&lt;&gt;""),'Weekly Tracker'!$J$2:$J$766),"")</f>
        <v/>
      </c>
      <c r="K912" s="9">
        <f>IFERROR(LOOKUP(2,1/('Weekly Tracker'!$E$2:$E$766=$A912)/('Weekly Tracker'!$N$2:$N$766&lt;&gt;""),'Weekly Tracker'!$N$2:$N$766),"")</f>
        <v/>
      </c>
      <c r="L912" s="9">
        <f>IFERROR(LOOKUP(2,1/('Weekly Tracker'!$E$2:$E$766=$A912)/('Weekly Tracker'!$O$2:$O$766&lt;&gt;""),'Weekly Tracker'!$O$2:$O$766),"")</f>
        <v/>
      </c>
    </row>
    <row r="913">
      <c r="A913" s="9" t="inlineStr">
        <is>
          <t>Kannan Civil</t>
        </is>
      </c>
      <c r="B913" s="9" t="inlineStr">
        <is>
          <t>919944327226</t>
        </is>
      </c>
      <c r="C913" s="9" t="n"/>
      <c r="D913" s="9" t="n"/>
      <c r="E913" s="9" t="n"/>
      <c r="F913" s="9">
        <f>IFERROR(LOOKUP(2,1/('Weekly Tracker'!$E$2:$E$766=$A913)/('Weekly Tracker'!$F$2:$F$766&lt;&gt;""),'Weekly Tracker'!$F$2:$F$766),"")</f>
        <v/>
      </c>
      <c r="G913" s="16">
        <f>IF(F913&lt;&gt;"",LOOKUP(2,1/('Weekly Tracker'!$E$2:$E$766=$A913)/('Weekly Tracker'!$F$2:$F$766&lt;&gt;""),'Weekly Tracker'!$G$2:$G$766),"")</f>
        <v/>
      </c>
      <c r="H913" s="9">
        <f>IFERROR(LOOKUP(2,1/('Weekly Tracker'!$E$2:$E$766=$A913)/('Weekly Tracker'!$H$2:$H$766&lt;&gt;""),'Weekly Tracker'!$H$2:$H$766),"")</f>
        <v/>
      </c>
      <c r="I913" s="16">
        <f>IF(H913&lt;&gt;"",LOOKUP(2,1/('Weekly Tracker'!$E$2:$E$766=$A913)/('Weekly Tracker'!$H$2:$H$766&lt;&gt;""),'Weekly Tracker'!$I$2:$I$766),"")</f>
        <v/>
      </c>
      <c r="J913" s="9">
        <f>IFERROR(LOOKUP(2,1/('Weekly Tracker'!$E$2:$E$766=$A913)/('Weekly Tracker'!$J$2:$J$766&lt;&gt;""),'Weekly Tracker'!$J$2:$J$766),"")</f>
        <v/>
      </c>
      <c r="K913" s="9">
        <f>IFERROR(LOOKUP(2,1/('Weekly Tracker'!$E$2:$E$766=$A913)/('Weekly Tracker'!$N$2:$N$766&lt;&gt;""),'Weekly Tracker'!$N$2:$N$766),"")</f>
        <v/>
      </c>
      <c r="L913" s="9">
        <f>IFERROR(LOOKUP(2,1/('Weekly Tracker'!$E$2:$E$766=$A913)/('Weekly Tracker'!$O$2:$O$766&lt;&gt;""),'Weekly Tracker'!$O$2:$O$766),"")</f>
        <v/>
      </c>
    </row>
    <row r="914">
      <c r="A914" s="9" t="inlineStr">
        <is>
          <t>Vignesh Mariyan Urja</t>
        </is>
      </c>
      <c r="B914" s="9" t="inlineStr">
        <is>
          <t>9791243193</t>
        </is>
      </c>
      <c r="C914" s="9" t="n"/>
      <c r="D914" s="9" t="n"/>
      <c r="E914" s="9" t="n"/>
      <c r="F914" s="9">
        <f>IFERROR(LOOKUP(2,1/('Weekly Tracker'!$E$2:$E$766=$A914)/('Weekly Tracker'!$F$2:$F$766&lt;&gt;""),'Weekly Tracker'!$F$2:$F$766),"")</f>
        <v/>
      </c>
      <c r="G914" s="16">
        <f>IF(F914&lt;&gt;"",LOOKUP(2,1/('Weekly Tracker'!$E$2:$E$766=$A914)/('Weekly Tracker'!$F$2:$F$766&lt;&gt;""),'Weekly Tracker'!$G$2:$G$766),"")</f>
        <v/>
      </c>
      <c r="H914" s="9">
        <f>IFERROR(LOOKUP(2,1/('Weekly Tracker'!$E$2:$E$766=$A914)/('Weekly Tracker'!$H$2:$H$766&lt;&gt;""),'Weekly Tracker'!$H$2:$H$766),"")</f>
        <v/>
      </c>
      <c r="I914" s="16">
        <f>IF(H914&lt;&gt;"",LOOKUP(2,1/('Weekly Tracker'!$E$2:$E$766=$A914)/('Weekly Tracker'!$H$2:$H$766&lt;&gt;""),'Weekly Tracker'!$I$2:$I$766),"")</f>
        <v/>
      </c>
      <c r="J914" s="9">
        <f>IFERROR(LOOKUP(2,1/('Weekly Tracker'!$E$2:$E$766=$A914)/('Weekly Tracker'!$J$2:$J$766&lt;&gt;""),'Weekly Tracker'!$J$2:$J$766),"")</f>
        <v/>
      </c>
      <c r="K914" s="9">
        <f>IFERROR(LOOKUP(2,1/('Weekly Tracker'!$E$2:$E$766=$A914)/('Weekly Tracker'!$N$2:$N$766&lt;&gt;""),'Weekly Tracker'!$N$2:$N$766),"")</f>
        <v/>
      </c>
      <c r="L914" s="9">
        <f>IFERROR(LOOKUP(2,1/('Weekly Tracker'!$E$2:$E$766=$A914)/('Weekly Tracker'!$O$2:$O$766&lt;&gt;""),'Weekly Tracker'!$O$2:$O$766),"")</f>
        <v/>
      </c>
    </row>
    <row r="915">
      <c r="A915" s="9" t="inlineStr">
        <is>
          <t>Ranjith Investment</t>
        </is>
      </c>
      <c r="B915" s="9" t="inlineStr">
        <is>
          <t>918778609246</t>
        </is>
      </c>
      <c r="C915" s="9" t="n"/>
      <c r="D915" s="9" t="n"/>
      <c r="E915" s="9" t="n"/>
      <c r="F915" s="9">
        <f>IFERROR(LOOKUP(2,1/('Weekly Tracker'!$E$2:$E$766=$A915)/('Weekly Tracker'!$F$2:$F$766&lt;&gt;""),'Weekly Tracker'!$F$2:$F$766),"")</f>
        <v/>
      </c>
      <c r="G915" s="16">
        <f>IF(F915&lt;&gt;"",LOOKUP(2,1/('Weekly Tracker'!$E$2:$E$766=$A915)/('Weekly Tracker'!$F$2:$F$766&lt;&gt;""),'Weekly Tracker'!$G$2:$G$766),"")</f>
        <v/>
      </c>
      <c r="H915" s="9">
        <f>IFERROR(LOOKUP(2,1/('Weekly Tracker'!$E$2:$E$766=$A915)/('Weekly Tracker'!$H$2:$H$766&lt;&gt;""),'Weekly Tracker'!$H$2:$H$766),"")</f>
        <v/>
      </c>
      <c r="I915" s="16">
        <f>IF(H915&lt;&gt;"",LOOKUP(2,1/('Weekly Tracker'!$E$2:$E$766=$A915)/('Weekly Tracker'!$H$2:$H$766&lt;&gt;""),'Weekly Tracker'!$I$2:$I$766),"")</f>
        <v/>
      </c>
      <c r="J915" s="9">
        <f>IFERROR(LOOKUP(2,1/('Weekly Tracker'!$E$2:$E$766=$A915)/('Weekly Tracker'!$J$2:$J$766&lt;&gt;""),'Weekly Tracker'!$J$2:$J$766),"")</f>
        <v/>
      </c>
      <c r="K915" s="9">
        <f>IFERROR(LOOKUP(2,1/('Weekly Tracker'!$E$2:$E$766=$A915)/('Weekly Tracker'!$N$2:$N$766&lt;&gt;""),'Weekly Tracker'!$N$2:$N$766),"")</f>
        <v/>
      </c>
      <c r="L915" s="9">
        <f>IFERROR(LOOKUP(2,1/('Weekly Tracker'!$E$2:$E$766=$A915)/('Weekly Tracker'!$O$2:$O$766&lt;&gt;""),'Weekly Tracker'!$O$2:$O$766),"")</f>
        <v/>
      </c>
    </row>
    <row r="916">
      <c r="A916" s="9" t="inlineStr">
        <is>
          <t>Bharathi mam</t>
        </is>
      </c>
      <c r="B916" s="9" t="inlineStr">
        <is>
          <t>919894973141</t>
        </is>
      </c>
      <c r="C916" s="9" t="n"/>
      <c r="D916" s="9" t="n"/>
      <c r="E916" s="9" t="n"/>
      <c r="F916" s="9">
        <f>IFERROR(LOOKUP(2,1/('Weekly Tracker'!$E$2:$E$766=$A916)/('Weekly Tracker'!$F$2:$F$766&lt;&gt;""),'Weekly Tracker'!$F$2:$F$766),"")</f>
        <v/>
      </c>
      <c r="G916" s="16">
        <f>IF(F916&lt;&gt;"",LOOKUP(2,1/('Weekly Tracker'!$E$2:$E$766=$A916)/('Weekly Tracker'!$F$2:$F$766&lt;&gt;""),'Weekly Tracker'!$G$2:$G$766),"")</f>
        <v/>
      </c>
      <c r="H916" s="9">
        <f>IFERROR(LOOKUP(2,1/('Weekly Tracker'!$E$2:$E$766=$A916)/('Weekly Tracker'!$H$2:$H$766&lt;&gt;""),'Weekly Tracker'!$H$2:$H$766),"")</f>
        <v/>
      </c>
      <c r="I916" s="16">
        <f>IF(H916&lt;&gt;"",LOOKUP(2,1/('Weekly Tracker'!$E$2:$E$766=$A916)/('Weekly Tracker'!$H$2:$H$766&lt;&gt;""),'Weekly Tracker'!$I$2:$I$766),"")</f>
        <v/>
      </c>
      <c r="J916" s="9">
        <f>IFERROR(LOOKUP(2,1/('Weekly Tracker'!$E$2:$E$766=$A916)/('Weekly Tracker'!$J$2:$J$766&lt;&gt;""),'Weekly Tracker'!$J$2:$J$766),"")</f>
        <v/>
      </c>
      <c r="K916" s="9">
        <f>IFERROR(LOOKUP(2,1/('Weekly Tracker'!$E$2:$E$766=$A916)/('Weekly Tracker'!$N$2:$N$766&lt;&gt;""),'Weekly Tracker'!$N$2:$N$766),"")</f>
        <v/>
      </c>
      <c r="L916" s="9">
        <f>IFERROR(LOOKUP(2,1/('Weekly Tracker'!$E$2:$E$766=$A916)/('Weekly Tracker'!$O$2:$O$766&lt;&gt;""),'Weekly Tracker'!$O$2:$O$766),"")</f>
        <v/>
      </c>
    </row>
    <row r="917">
      <c r="A917" s="9" t="inlineStr">
        <is>
          <t>Infy Uthaman Arockisamy</t>
        </is>
      </c>
      <c r="B917" s="9" t="inlineStr">
        <is>
          <t>918778073075</t>
        </is>
      </c>
      <c r="C917" s="9" t="n"/>
      <c r="D917" s="9" t="n"/>
      <c r="E917" s="9" t="n"/>
      <c r="F917" s="9">
        <f>IFERROR(LOOKUP(2,1/('Weekly Tracker'!$E$2:$E$766=$A917)/('Weekly Tracker'!$F$2:$F$766&lt;&gt;""),'Weekly Tracker'!$F$2:$F$766),"")</f>
        <v/>
      </c>
      <c r="G917" s="16">
        <f>IF(F917&lt;&gt;"",LOOKUP(2,1/('Weekly Tracker'!$E$2:$E$766=$A917)/('Weekly Tracker'!$F$2:$F$766&lt;&gt;""),'Weekly Tracker'!$G$2:$G$766),"")</f>
        <v/>
      </c>
      <c r="H917" s="9">
        <f>IFERROR(LOOKUP(2,1/('Weekly Tracker'!$E$2:$E$766=$A917)/('Weekly Tracker'!$H$2:$H$766&lt;&gt;""),'Weekly Tracker'!$H$2:$H$766),"")</f>
        <v/>
      </c>
      <c r="I917" s="16">
        <f>IF(H917&lt;&gt;"",LOOKUP(2,1/('Weekly Tracker'!$E$2:$E$766=$A917)/('Weekly Tracker'!$H$2:$H$766&lt;&gt;""),'Weekly Tracker'!$I$2:$I$766),"")</f>
        <v/>
      </c>
      <c r="J917" s="9">
        <f>IFERROR(LOOKUP(2,1/('Weekly Tracker'!$E$2:$E$766=$A917)/('Weekly Tracker'!$J$2:$J$766&lt;&gt;""),'Weekly Tracker'!$J$2:$J$766),"")</f>
        <v/>
      </c>
      <c r="K917" s="9">
        <f>IFERROR(LOOKUP(2,1/('Weekly Tracker'!$E$2:$E$766=$A917)/('Weekly Tracker'!$N$2:$N$766&lt;&gt;""),'Weekly Tracker'!$N$2:$N$766),"")</f>
        <v/>
      </c>
      <c r="L917" s="9">
        <f>IFERROR(LOOKUP(2,1/('Weekly Tracker'!$E$2:$E$766=$A917)/('Weekly Tracker'!$O$2:$O$766&lt;&gt;""),'Weekly Tracker'!$O$2:$O$766),"")</f>
        <v/>
      </c>
    </row>
    <row r="918">
      <c r="A918" s="9" t="inlineStr">
        <is>
          <t>Prem Bro QS</t>
        </is>
      </c>
      <c r="B918" s="9" t="inlineStr">
        <is>
          <t>919600090410</t>
        </is>
      </c>
      <c r="C918" s="9" t="n"/>
      <c r="D918" s="9" t="n"/>
      <c r="E918" s="9" t="n"/>
      <c r="F918" s="9">
        <f>IFERROR(LOOKUP(2,1/('Weekly Tracker'!$E$2:$E$766=$A918)/('Weekly Tracker'!$F$2:$F$766&lt;&gt;""),'Weekly Tracker'!$F$2:$F$766),"")</f>
        <v/>
      </c>
      <c r="G918" s="16">
        <f>IF(F918&lt;&gt;"",LOOKUP(2,1/('Weekly Tracker'!$E$2:$E$766=$A918)/('Weekly Tracker'!$F$2:$F$766&lt;&gt;""),'Weekly Tracker'!$G$2:$G$766),"")</f>
        <v/>
      </c>
      <c r="H918" s="9">
        <f>IFERROR(LOOKUP(2,1/('Weekly Tracker'!$E$2:$E$766=$A918)/('Weekly Tracker'!$H$2:$H$766&lt;&gt;""),'Weekly Tracker'!$H$2:$H$766),"")</f>
        <v/>
      </c>
      <c r="I918" s="16">
        <f>IF(H918&lt;&gt;"",LOOKUP(2,1/('Weekly Tracker'!$E$2:$E$766=$A918)/('Weekly Tracker'!$H$2:$H$766&lt;&gt;""),'Weekly Tracker'!$I$2:$I$766),"")</f>
        <v/>
      </c>
      <c r="J918" s="9">
        <f>IFERROR(LOOKUP(2,1/('Weekly Tracker'!$E$2:$E$766=$A918)/('Weekly Tracker'!$J$2:$J$766&lt;&gt;""),'Weekly Tracker'!$J$2:$J$766),"")</f>
        <v/>
      </c>
      <c r="K918" s="9">
        <f>IFERROR(LOOKUP(2,1/('Weekly Tracker'!$E$2:$E$766=$A918)/('Weekly Tracker'!$N$2:$N$766&lt;&gt;""),'Weekly Tracker'!$N$2:$N$766),"")</f>
        <v/>
      </c>
      <c r="L918" s="9">
        <f>IFERROR(LOOKUP(2,1/('Weekly Tracker'!$E$2:$E$766=$A918)/('Weekly Tracker'!$O$2:$O$766&lt;&gt;""),'Weekly Tracker'!$O$2:$O$766),"")</f>
        <v/>
      </c>
    </row>
    <row r="919">
      <c r="A919" s="9" t="inlineStr">
        <is>
          <t>RK Rasu FB</t>
        </is>
      </c>
      <c r="B919" s="9" t="inlineStr">
        <is>
          <t>9786390245</t>
        </is>
      </c>
      <c r="C919" s="9" t="n"/>
      <c r="D919" s="9" t="n"/>
      <c r="E919" s="9" t="n"/>
      <c r="F919" s="9">
        <f>IFERROR(LOOKUP(2,1/('Weekly Tracker'!$E$2:$E$766=$A919)/('Weekly Tracker'!$F$2:$F$766&lt;&gt;""),'Weekly Tracker'!$F$2:$F$766),"")</f>
        <v/>
      </c>
      <c r="G919" s="16">
        <f>IF(F919&lt;&gt;"",LOOKUP(2,1/('Weekly Tracker'!$E$2:$E$766=$A919)/('Weekly Tracker'!$F$2:$F$766&lt;&gt;""),'Weekly Tracker'!$G$2:$G$766),"")</f>
        <v/>
      </c>
      <c r="H919" s="9">
        <f>IFERROR(LOOKUP(2,1/('Weekly Tracker'!$E$2:$E$766=$A919)/('Weekly Tracker'!$H$2:$H$766&lt;&gt;""),'Weekly Tracker'!$H$2:$H$766),"")</f>
        <v/>
      </c>
      <c r="I919" s="16">
        <f>IF(H919&lt;&gt;"",LOOKUP(2,1/('Weekly Tracker'!$E$2:$E$766=$A919)/('Weekly Tracker'!$H$2:$H$766&lt;&gt;""),'Weekly Tracker'!$I$2:$I$766),"")</f>
        <v/>
      </c>
      <c r="J919" s="9">
        <f>IFERROR(LOOKUP(2,1/('Weekly Tracker'!$E$2:$E$766=$A919)/('Weekly Tracker'!$J$2:$J$766&lt;&gt;""),'Weekly Tracker'!$J$2:$J$766),"")</f>
        <v/>
      </c>
      <c r="K919" s="9">
        <f>IFERROR(LOOKUP(2,1/('Weekly Tracker'!$E$2:$E$766=$A919)/('Weekly Tracker'!$N$2:$N$766&lt;&gt;""),'Weekly Tracker'!$N$2:$N$766),"")</f>
        <v/>
      </c>
      <c r="L919" s="9">
        <f>IFERROR(LOOKUP(2,1/('Weekly Tracker'!$E$2:$E$766=$A919)/('Weekly Tracker'!$O$2:$O$766&lt;&gt;""),'Weekly Tracker'!$O$2:$O$766),"")</f>
        <v/>
      </c>
    </row>
    <row r="920">
      <c r="A920" s="9" t="inlineStr">
        <is>
          <t>Cell Mount Icare</t>
        </is>
      </c>
      <c r="B920" s="9" t="inlineStr">
        <is>
          <t>9444210101</t>
        </is>
      </c>
      <c r="C920" s="9" t="n"/>
      <c r="D920" s="9" t="n"/>
      <c r="E920" s="9" t="n"/>
      <c r="F920" s="9">
        <f>IFERROR(LOOKUP(2,1/('Weekly Tracker'!$E$2:$E$766=$A920)/('Weekly Tracker'!$F$2:$F$766&lt;&gt;""),'Weekly Tracker'!$F$2:$F$766),"")</f>
        <v/>
      </c>
      <c r="G920" s="16">
        <f>IF(F920&lt;&gt;"",LOOKUP(2,1/('Weekly Tracker'!$E$2:$E$766=$A920)/('Weekly Tracker'!$F$2:$F$766&lt;&gt;""),'Weekly Tracker'!$G$2:$G$766),"")</f>
        <v/>
      </c>
      <c r="H920" s="9">
        <f>IFERROR(LOOKUP(2,1/('Weekly Tracker'!$E$2:$E$766=$A920)/('Weekly Tracker'!$H$2:$H$766&lt;&gt;""),'Weekly Tracker'!$H$2:$H$766),"")</f>
        <v/>
      </c>
      <c r="I920" s="16">
        <f>IF(H920&lt;&gt;"",LOOKUP(2,1/('Weekly Tracker'!$E$2:$E$766=$A920)/('Weekly Tracker'!$H$2:$H$766&lt;&gt;""),'Weekly Tracker'!$I$2:$I$766),"")</f>
        <v/>
      </c>
      <c r="J920" s="9">
        <f>IFERROR(LOOKUP(2,1/('Weekly Tracker'!$E$2:$E$766=$A920)/('Weekly Tracker'!$J$2:$J$766&lt;&gt;""),'Weekly Tracker'!$J$2:$J$766),"")</f>
        <v/>
      </c>
      <c r="K920" s="9">
        <f>IFERROR(LOOKUP(2,1/('Weekly Tracker'!$E$2:$E$766=$A920)/('Weekly Tracker'!$N$2:$N$766&lt;&gt;""),'Weekly Tracker'!$N$2:$N$766),"")</f>
        <v/>
      </c>
      <c r="L920" s="9">
        <f>IFERROR(LOOKUP(2,1/('Weekly Tracker'!$E$2:$E$766=$A920)/('Weekly Tracker'!$O$2:$O$766&lt;&gt;""),'Weekly Tracker'!$O$2:$O$766),"")</f>
        <v/>
      </c>
    </row>
    <row r="921">
      <c r="A921" s="9" t="inlineStr">
        <is>
          <t>Arun Prem Prof</t>
        </is>
      </c>
      <c r="B921" s="9" t="inlineStr">
        <is>
          <t>919884823385</t>
        </is>
      </c>
      <c r="C921" s="9" t="n"/>
      <c r="D921" s="9" t="n"/>
      <c r="E921" s="9" t="n"/>
      <c r="F921" s="9">
        <f>IFERROR(LOOKUP(2,1/('Weekly Tracker'!$E$2:$E$766=$A921)/('Weekly Tracker'!$F$2:$F$766&lt;&gt;""),'Weekly Tracker'!$F$2:$F$766),"")</f>
        <v/>
      </c>
      <c r="G921" s="16">
        <f>IF(F921&lt;&gt;"",LOOKUP(2,1/('Weekly Tracker'!$E$2:$E$766=$A921)/('Weekly Tracker'!$F$2:$F$766&lt;&gt;""),'Weekly Tracker'!$G$2:$G$766),"")</f>
        <v/>
      </c>
      <c r="H921" s="9">
        <f>IFERROR(LOOKUP(2,1/('Weekly Tracker'!$E$2:$E$766=$A921)/('Weekly Tracker'!$H$2:$H$766&lt;&gt;""),'Weekly Tracker'!$H$2:$H$766),"")</f>
        <v/>
      </c>
      <c r="I921" s="16">
        <f>IF(H921&lt;&gt;"",LOOKUP(2,1/('Weekly Tracker'!$E$2:$E$766=$A921)/('Weekly Tracker'!$H$2:$H$766&lt;&gt;""),'Weekly Tracker'!$I$2:$I$766),"")</f>
        <v/>
      </c>
      <c r="J921" s="9">
        <f>IFERROR(LOOKUP(2,1/('Weekly Tracker'!$E$2:$E$766=$A921)/('Weekly Tracker'!$J$2:$J$766&lt;&gt;""),'Weekly Tracker'!$J$2:$J$766),"")</f>
        <v/>
      </c>
      <c r="K921" s="9">
        <f>IFERROR(LOOKUP(2,1/('Weekly Tracker'!$E$2:$E$766=$A921)/('Weekly Tracker'!$N$2:$N$766&lt;&gt;""),'Weekly Tracker'!$N$2:$N$766),"")</f>
        <v/>
      </c>
      <c r="L921" s="9">
        <f>IFERROR(LOOKUP(2,1/('Weekly Tracker'!$E$2:$E$766=$A921)/('Weekly Tracker'!$O$2:$O$766&lt;&gt;""),'Weekly Tracker'!$O$2:$O$766),"")</f>
        <v/>
      </c>
    </row>
    <row r="922">
      <c r="A922" s="9" t="inlineStr">
        <is>
          <t>Arun Mozhi Urja</t>
        </is>
      </c>
      <c r="B922" s="9" t="inlineStr">
        <is>
          <t>8220231818</t>
        </is>
      </c>
      <c r="C922" s="9" t="n"/>
      <c r="D922" s="9" t="n"/>
      <c r="E922" s="9" t="n"/>
      <c r="F922" s="9">
        <f>IFERROR(LOOKUP(2,1/('Weekly Tracker'!$E$2:$E$766=$A922)/('Weekly Tracker'!$F$2:$F$766&lt;&gt;""),'Weekly Tracker'!$F$2:$F$766),"")</f>
        <v/>
      </c>
      <c r="G922" s="16">
        <f>IF(F922&lt;&gt;"",LOOKUP(2,1/('Weekly Tracker'!$E$2:$E$766=$A922)/('Weekly Tracker'!$F$2:$F$766&lt;&gt;""),'Weekly Tracker'!$G$2:$G$766),"")</f>
        <v/>
      </c>
      <c r="H922" s="9">
        <f>IFERROR(LOOKUP(2,1/('Weekly Tracker'!$E$2:$E$766=$A922)/('Weekly Tracker'!$H$2:$H$766&lt;&gt;""),'Weekly Tracker'!$H$2:$H$766),"")</f>
        <v/>
      </c>
      <c r="I922" s="16">
        <f>IF(H922&lt;&gt;"",LOOKUP(2,1/('Weekly Tracker'!$E$2:$E$766=$A922)/('Weekly Tracker'!$H$2:$H$766&lt;&gt;""),'Weekly Tracker'!$I$2:$I$766),"")</f>
        <v/>
      </c>
      <c r="J922" s="9">
        <f>IFERROR(LOOKUP(2,1/('Weekly Tracker'!$E$2:$E$766=$A922)/('Weekly Tracker'!$J$2:$J$766&lt;&gt;""),'Weekly Tracker'!$J$2:$J$766),"")</f>
        <v/>
      </c>
      <c r="K922" s="9">
        <f>IFERROR(LOOKUP(2,1/('Weekly Tracker'!$E$2:$E$766=$A922)/('Weekly Tracker'!$N$2:$N$766&lt;&gt;""),'Weekly Tracker'!$N$2:$N$766),"")</f>
        <v/>
      </c>
      <c r="L922" s="9">
        <f>IFERROR(LOOKUP(2,1/('Weekly Tracker'!$E$2:$E$766=$A922)/('Weekly Tracker'!$O$2:$O$766&lt;&gt;""),'Weekly Tracker'!$O$2:$O$766),"")</f>
        <v/>
      </c>
    </row>
    <row r="923">
      <c r="A923" s="9" t="inlineStr">
        <is>
          <t>Saravanan Arjun Frd</t>
        </is>
      </c>
      <c r="B923" s="9" t="inlineStr">
        <is>
          <t>917010042436</t>
        </is>
      </c>
      <c r="C923" s="9" t="n"/>
      <c r="D923" s="9" t="n"/>
      <c r="E923" s="9" t="n"/>
      <c r="F923" s="9">
        <f>IFERROR(LOOKUP(2,1/('Weekly Tracker'!$E$2:$E$766=$A923)/('Weekly Tracker'!$F$2:$F$766&lt;&gt;""),'Weekly Tracker'!$F$2:$F$766),"")</f>
        <v/>
      </c>
      <c r="G923" s="16">
        <f>IF(F923&lt;&gt;"",LOOKUP(2,1/('Weekly Tracker'!$E$2:$E$766=$A923)/('Weekly Tracker'!$F$2:$F$766&lt;&gt;""),'Weekly Tracker'!$G$2:$G$766),"")</f>
        <v/>
      </c>
      <c r="H923" s="9">
        <f>IFERROR(LOOKUP(2,1/('Weekly Tracker'!$E$2:$E$766=$A923)/('Weekly Tracker'!$H$2:$H$766&lt;&gt;""),'Weekly Tracker'!$H$2:$H$766),"")</f>
        <v/>
      </c>
      <c r="I923" s="16">
        <f>IF(H923&lt;&gt;"",LOOKUP(2,1/('Weekly Tracker'!$E$2:$E$766=$A923)/('Weekly Tracker'!$H$2:$H$766&lt;&gt;""),'Weekly Tracker'!$I$2:$I$766),"")</f>
        <v/>
      </c>
      <c r="J923" s="9">
        <f>IFERROR(LOOKUP(2,1/('Weekly Tracker'!$E$2:$E$766=$A923)/('Weekly Tracker'!$J$2:$J$766&lt;&gt;""),'Weekly Tracker'!$J$2:$J$766),"")</f>
        <v/>
      </c>
      <c r="K923" s="9">
        <f>IFERROR(LOOKUP(2,1/('Weekly Tracker'!$E$2:$E$766=$A923)/('Weekly Tracker'!$N$2:$N$766&lt;&gt;""),'Weekly Tracker'!$N$2:$N$766),"")</f>
        <v/>
      </c>
      <c r="L923" s="9">
        <f>IFERROR(LOOKUP(2,1/('Weekly Tracker'!$E$2:$E$766=$A923)/('Weekly Tracker'!$O$2:$O$766&lt;&gt;""),'Weekly Tracker'!$O$2:$O$766),"")</f>
        <v/>
      </c>
    </row>
    <row r="924">
      <c r="A924" s="9" t="inlineStr">
        <is>
          <t>Raja Pandian College</t>
        </is>
      </c>
      <c r="B924" s="9" t="inlineStr">
        <is>
          <t>+91 94892 91730</t>
        </is>
      </c>
      <c r="C924" s="9" t="n"/>
      <c r="D924" s="9" t="n"/>
      <c r="E924" s="9" t="n"/>
      <c r="F924" s="9">
        <f>IFERROR(LOOKUP(2,1/('Weekly Tracker'!$E$2:$E$766=$A924)/('Weekly Tracker'!$F$2:$F$766&lt;&gt;""),'Weekly Tracker'!$F$2:$F$766),"")</f>
        <v/>
      </c>
      <c r="G924" s="16">
        <f>IF(F924&lt;&gt;"",LOOKUP(2,1/('Weekly Tracker'!$E$2:$E$766=$A924)/('Weekly Tracker'!$F$2:$F$766&lt;&gt;""),'Weekly Tracker'!$G$2:$G$766),"")</f>
        <v/>
      </c>
      <c r="H924" s="9">
        <f>IFERROR(LOOKUP(2,1/('Weekly Tracker'!$E$2:$E$766=$A924)/('Weekly Tracker'!$H$2:$H$766&lt;&gt;""),'Weekly Tracker'!$H$2:$H$766),"")</f>
        <v/>
      </c>
      <c r="I924" s="16">
        <f>IF(H924&lt;&gt;"",LOOKUP(2,1/('Weekly Tracker'!$E$2:$E$766=$A924)/('Weekly Tracker'!$H$2:$H$766&lt;&gt;""),'Weekly Tracker'!$I$2:$I$766),"")</f>
        <v/>
      </c>
      <c r="J924" s="9">
        <f>IFERROR(LOOKUP(2,1/('Weekly Tracker'!$E$2:$E$766=$A924)/('Weekly Tracker'!$J$2:$J$766&lt;&gt;""),'Weekly Tracker'!$J$2:$J$766),"")</f>
        <v/>
      </c>
      <c r="K924" s="9">
        <f>IFERROR(LOOKUP(2,1/('Weekly Tracker'!$E$2:$E$766=$A924)/('Weekly Tracker'!$N$2:$N$766&lt;&gt;""),'Weekly Tracker'!$N$2:$N$766),"")</f>
        <v/>
      </c>
      <c r="L924" s="9">
        <f>IFERROR(LOOKUP(2,1/('Weekly Tracker'!$E$2:$E$766=$A924)/('Weekly Tracker'!$O$2:$O$766&lt;&gt;""),'Weekly Tracker'!$O$2:$O$766),"")</f>
        <v/>
      </c>
    </row>
    <row r="925">
      <c r="A925" s="9" t="inlineStr">
        <is>
          <t>Jeba Seelam FB</t>
        </is>
      </c>
      <c r="B925" s="9" t="inlineStr">
        <is>
          <t>916383743331, 918012817670</t>
        </is>
      </c>
      <c r="C925" s="9" t="n"/>
      <c r="D925" s="9" t="n"/>
      <c r="E925" s="9" t="n"/>
      <c r="F925" s="9">
        <f>IFERROR(LOOKUP(2,1/('Weekly Tracker'!$E$2:$E$766=$A925)/('Weekly Tracker'!$F$2:$F$766&lt;&gt;""),'Weekly Tracker'!$F$2:$F$766),"")</f>
        <v/>
      </c>
      <c r="G925" s="16">
        <f>IF(F925&lt;&gt;"",LOOKUP(2,1/('Weekly Tracker'!$E$2:$E$766=$A925)/('Weekly Tracker'!$F$2:$F$766&lt;&gt;""),'Weekly Tracker'!$G$2:$G$766),"")</f>
        <v/>
      </c>
      <c r="H925" s="9">
        <f>IFERROR(LOOKUP(2,1/('Weekly Tracker'!$E$2:$E$766=$A925)/('Weekly Tracker'!$H$2:$H$766&lt;&gt;""),'Weekly Tracker'!$H$2:$H$766),"")</f>
        <v/>
      </c>
      <c r="I925" s="16">
        <f>IF(H925&lt;&gt;"",LOOKUP(2,1/('Weekly Tracker'!$E$2:$E$766=$A925)/('Weekly Tracker'!$H$2:$H$766&lt;&gt;""),'Weekly Tracker'!$I$2:$I$766),"")</f>
        <v/>
      </c>
      <c r="J925" s="9">
        <f>IFERROR(LOOKUP(2,1/('Weekly Tracker'!$E$2:$E$766=$A925)/('Weekly Tracker'!$J$2:$J$766&lt;&gt;""),'Weekly Tracker'!$J$2:$J$766),"")</f>
        <v/>
      </c>
      <c r="K925" s="9">
        <f>IFERROR(LOOKUP(2,1/('Weekly Tracker'!$E$2:$E$766=$A925)/('Weekly Tracker'!$N$2:$N$766&lt;&gt;""),'Weekly Tracker'!$N$2:$N$766),"")</f>
        <v/>
      </c>
      <c r="L925" s="9">
        <f>IFERROR(LOOKUP(2,1/('Weekly Tracker'!$E$2:$E$766=$A925)/('Weekly Tracker'!$O$2:$O$766&lt;&gt;""),'Weekly Tracker'!$O$2:$O$766),"")</f>
        <v/>
      </c>
    </row>
    <row r="926">
      <c r="A926" s="9" t="inlineStr">
        <is>
          <t>Chandu(Ravi Bhai) Bhai</t>
        </is>
      </c>
      <c r="B926" s="9" t="inlineStr">
        <is>
          <t>916382115736</t>
        </is>
      </c>
      <c r="C926" s="9" t="n"/>
      <c r="D926" s="9" t="n"/>
      <c r="E926" s="9" t="inlineStr">
        <is>
          <t>Tamil Nadu, India</t>
        </is>
      </c>
      <c r="F926" s="9">
        <f>IFERROR(LOOKUP(2,1/('Weekly Tracker'!$E$2:$E$766=$A926)/('Weekly Tracker'!$F$2:$F$766&lt;&gt;""),'Weekly Tracker'!$F$2:$F$766),"")</f>
        <v/>
      </c>
      <c r="G926" s="16">
        <f>IF(F926&lt;&gt;"",LOOKUP(2,1/('Weekly Tracker'!$E$2:$E$766=$A926)/('Weekly Tracker'!$F$2:$F$766&lt;&gt;""),'Weekly Tracker'!$G$2:$G$766),"")</f>
        <v/>
      </c>
      <c r="H926" s="9">
        <f>IFERROR(LOOKUP(2,1/('Weekly Tracker'!$E$2:$E$766=$A926)/('Weekly Tracker'!$H$2:$H$766&lt;&gt;""),'Weekly Tracker'!$H$2:$H$766),"")</f>
        <v/>
      </c>
      <c r="I926" s="16">
        <f>IF(H926&lt;&gt;"",LOOKUP(2,1/('Weekly Tracker'!$E$2:$E$766=$A926)/('Weekly Tracker'!$H$2:$H$766&lt;&gt;""),'Weekly Tracker'!$I$2:$I$766),"")</f>
        <v/>
      </c>
      <c r="J926" s="9">
        <f>IFERROR(LOOKUP(2,1/('Weekly Tracker'!$E$2:$E$766=$A926)/('Weekly Tracker'!$J$2:$J$766&lt;&gt;""),'Weekly Tracker'!$J$2:$J$766),"")</f>
        <v/>
      </c>
      <c r="K926" s="9">
        <f>IFERROR(LOOKUP(2,1/('Weekly Tracker'!$E$2:$E$766=$A926)/('Weekly Tracker'!$N$2:$N$766&lt;&gt;""),'Weekly Tracker'!$N$2:$N$766),"")</f>
        <v/>
      </c>
      <c r="L926" s="9">
        <f>IFERROR(LOOKUP(2,1/('Weekly Tracker'!$E$2:$E$766=$A926)/('Weekly Tracker'!$O$2:$O$766&lt;&gt;""),'Weekly Tracker'!$O$2:$O$766),"")</f>
        <v/>
      </c>
    </row>
    <row r="927">
      <c r="A927" s="9" t="inlineStr">
        <is>
          <t>Robert Fdo FB</t>
        </is>
      </c>
      <c r="B927" s="9" t="inlineStr">
        <is>
          <t>919524432015</t>
        </is>
      </c>
      <c r="C927" s="9" t="n"/>
      <c r="D927" s="9" t="n"/>
      <c r="E927" s="9" t="n"/>
      <c r="F927" s="9">
        <f>IFERROR(LOOKUP(2,1/('Weekly Tracker'!$E$2:$E$766=$A927)/('Weekly Tracker'!$F$2:$F$766&lt;&gt;""),'Weekly Tracker'!$F$2:$F$766),"")</f>
        <v/>
      </c>
      <c r="G927" s="16">
        <f>IF(F927&lt;&gt;"",LOOKUP(2,1/('Weekly Tracker'!$E$2:$E$766=$A927)/('Weekly Tracker'!$F$2:$F$766&lt;&gt;""),'Weekly Tracker'!$G$2:$G$766),"")</f>
        <v/>
      </c>
      <c r="H927" s="9">
        <f>IFERROR(LOOKUP(2,1/('Weekly Tracker'!$E$2:$E$766=$A927)/('Weekly Tracker'!$H$2:$H$766&lt;&gt;""),'Weekly Tracker'!$H$2:$H$766),"")</f>
        <v/>
      </c>
      <c r="I927" s="16">
        <f>IF(H927&lt;&gt;"",LOOKUP(2,1/('Weekly Tracker'!$E$2:$E$766=$A927)/('Weekly Tracker'!$H$2:$H$766&lt;&gt;""),'Weekly Tracker'!$I$2:$I$766),"")</f>
        <v/>
      </c>
      <c r="J927" s="9">
        <f>IFERROR(LOOKUP(2,1/('Weekly Tracker'!$E$2:$E$766=$A927)/('Weekly Tracker'!$J$2:$J$766&lt;&gt;""),'Weekly Tracker'!$J$2:$J$766),"")</f>
        <v/>
      </c>
      <c r="K927" s="9">
        <f>IFERROR(LOOKUP(2,1/('Weekly Tracker'!$E$2:$E$766=$A927)/('Weekly Tracker'!$N$2:$N$766&lt;&gt;""),'Weekly Tracker'!$N$2:$N$766),"")</f>
        <v/>
      </c>
      <c r="L927" s="9">
        <f>IFERROR(LOOKUP(2,1/('Weekly Tracker'!$E$2:$E$766=$A927)/('Weekly Tracker'!$O$2:$O$766&lt;&gt;""),'Weekly Tracker'!$O$2:$O$766),"")</f>
        <v/>
      </c>
    </row>
    <row r="928">
      <c r="A928" s="9" t="inlineStr">
        <is>
          <t>Jenifer Selvam FB</t>
        </is>
      </c>
      <c r="B928" s="9" t="inlineStr">
        <is>
          <t>81246 94692</t>
        </is>
      </c>
      <c r="C928" s="9" t="n"/>
      <c r="D928" s="9" t="n"/>
      <c r="E928" s="9" t="n"/>
      <c r="F928" s="9">
        <f>IFERROR(LOOKUP(2,1/('Weekly Tracker'!$E$2:$E$766=$A928)/('Weekly Tracker'!$F$2:$F$766&lt;&gt;""),'Weekly Tracker'!$F$2:$F$766),"")</f>
        <v/>
      </c>
      <c r="G928" s="16">
        <f>IF(F928&lt;&gt;"",LOOKUP(2,1/('Weekly Tracker'!$E$2:$E$766=$A928)/('Weekly Tracker'!$F$2:$F$766&lt;&gt;""),'Weekly Tracker'!$G$2:$G$766),"")</f>
        <v/>
      </c>
      <c r="H928" s="9">
        <f>IFERROR(LOOKUP(2,1/('Weekly Tracker'!$E$2:$E$766=$A928)/('Weekly Tracker'!$H$2:$H$766&lt;&gt;""),'Weekly Tracker'!$H$2:$H$766),"")</f>
        <v/>
      </c>
      <c r="I928" s="16">
        <f>IF(H928&lt;&gt;"",LOOKUP(2,1/('Weekly Tracker'!$E$2:$E$766=$A928)/('Weekly Tracker'!$H$2:$H$766&lt;&gt;""),'Weekly Tracker'!$I$2:$I$766),"")</f>
        <v/>
      </c>
      <c r="J928" s="9">
        <f>IFERROR(LOOKUP(2,1/('Weekly Tracker'!$E$2:$E$766=$A928)/('Weekly Tracker'!$J$2:$J$766&lt;&gt;""),'Weekly Tracker'!$J$2:$J$766),"")</f>
        <v/>
      </c>
      <c r="K928" s="9">
        <f>IFERROR(LOOKUP(2,1/('Weekly Tracker'!$E$2:$E$766=$A928)/('Weekly Tracker'!$N$2:$N$766&lt;&gt;""),'Weekly Tracker'!$N$2:$N$766),"")</f>
        <v/>
      </c>
      <c r="L928" s="9">
        <f>IFERROR(LOOKUP(2,1/('Weekly Tracker'!$E$2:$E$766=$A928)/('Weekly Tracker'!$O$2:$O$766&lt;&gt;""),'Weekly Tracker'!$O$2:$O$766),"")</f>
        <v/>
      </c>
    </row>
    <row r="929">
      <c r="A929" s="9" t="inlineStr">
        <is>
          <t>Arun Raj Scl</t>
        </is>
      </c>
      <c r="B929" s="9" t="inlineStr">
        <is>
          <t>919942153661</t>
        </is>
      </c>
      <c r="C929" s="9" t="n"/>
      <c r="D929" s="9" t="n"/>
      <c r="E929" s="9" t="n"/>
      <c r="F929" s="9">
        <f>IFERROR(LOOKUP(2,1/('Weekly Tracker'!$E$2:$E$766=$A929)/('Weekly Tracker'!$F$2:$F$766&lt;&gt;""),'Weekly Tracker'!$F$2:$F$766),"")</f>
        <v/>
      </c>
      <c r="G929" s="16">
        <f>IF(F929&lt;&gt;"",LOOKUP(2,1/('Weekly Tracker'!$E$2:$E$766=$A929)/('Weekly Tracker'!$F$2:$F$766&lt;&gt;""),'Weekly Tracker'!$G$2:$G$766),"")</f>
        <v/>
      </c>
      <c r="H929" s="9">
        <f>IFERROR(LOOKUP(2,1/('Weekly Tracker'!$E$2:$E$766=$A929)/('Weekly Tracker'!$H$2:$H$766&lt;&gt;""),'Weekly Tracker'!$H$2:$H$766),"")</f>
        <v/>
      </c>
      <c r="I929" s="16">
        <f>IF(H929&lt;&gt;"",LOOKUP(2,1/('Weekly Tracker'!$E$2:$E$766=$A929)/('Weekly Tracker'!$H$2:$H$766&lt;&gt;""),'Weekly Tracker'!$I$2:$I$766),"")</f>
        <v/>
      </c>
      <c r="J929" s="9">
        <f>IFERROR(LOOKUP(2,1/('Weekly Tracker'!$E$2:$E$766=$A929)/('Weekly Tracker'!$J$2:$J$766&lt;&gt;""),'Weekly Tracker'!$J$2:$J$766),"")</f>
        <v/>
      </c>
      <c r="K929" s="9">
        <f>IFERROR(LOOKUP(2,1/('Weekly Tracker'!$E$2:$E$766=$A929)/('Weekly Tracker'!$N$2:$N$766&lt;&gt;""),'Weekly Tracker'!$N$2:$N$766),"")</f>
        <v/>
      </c>
      <c r="L929" s="9">
        <f>IFERROR(LOOKUP(2,1/('Weekly Tracker'!$E$2:$E$766=$A929)/('Weekly Tracker'!$O$2:$O$766&lt;&gt;""),'Weekly Tracker'!$O$2:$O$766),"")</f>
        <v/>
      </c>
    </row>
    <row r="930">
      <c r="A930" s="9" t="inlineStr">
        <is>
          <t>Ohm Prakash NDLF</t>
        </is>
      </c>
      <c r="B930" s="9" t="inlineStr">
        <is>
          <t>919952977745</t>
        </is>
      </c>
      <c r="C930" s="9" t="n"/>
      <c r="D930" s="9" t="n"/>
      <c r="E930" s="9" t="n"/>
      <c r="F930" s="9">
        <f>IFERROR(LOOKUP(2,1/('Weekly Tracker'!$E$2:$E$766=$A930)/('Weekly Tracker'!$F$2:$F$766&lt;&gt;""),'Weekly Tracker'!$F$2:$F$766),"")</f>
        <v/>
      </c>
      <c r="G930" s="16">
        <f>IF(F930&lt;&gt;"",LOOKUP(2,1/('Weekly Tracker'!$E$2:$E$766=$A930)/('Weekly Tracker'!$F$2:$F$766&lt;&gt;""),'Weekly Tracker'!$G$2:$G$766),"")</f>
        <v/>
      </c>
      <c r="H930" s="9">
        <f>IFERROR(LOOKUP(2,1/('Weekly Tracker'!$E$2:$E$766=$A930)/('Weekly Tracker'!$H$2:$H$766&lt;&gt;""),'Weekly Tracker'!$H$2:$H$766),"")</f>
        <v/>
      </c>
      <c r="I930" s="16">
        <f>IF(H930&lt;&gt;"",LOOKUP(2,1/('Weekly Tracker'!$E$2:$E$766=$A930)/('Weekly Tracker'!$H$2:$H$766&lt;&gt;""),'Weekly Tracker'!$I$2:$I$766),"")</f>
        <v/>
      </c>
      <c r="J930" s="9">
        <f>IFERROR(LOOKUP(2,1/('Weekly Tracker'!$E$2:$E$766=$A930)/('Weekly Tracker'!$J$2:$J$766&lt;&gt;""),'Weekly Tracker'!$J$2:$J$766),"")</f>
        <v/>
      </c>
      <c r="K930" s="9">
        <f>IFERROR(LOOKUP(2,1/('Weekly Tracker'!$E$2:$E$766=$A930)/('Weekly Tracker'!$N$2:$N$766&lt;&gt;""),'Weekly Tracker'!$N$2:$N$766),"")</f>
        <v/>
      </c>
      <c r="L930" s="9">
        <f>IFERROR(LOOKUP(2,1/('Weekly Tracker'!$E$2:$E$766=$A930)/('Weekly Tracker'!$O$2:$O$766&lt;&gt;""),'Weekly Tracker'!$O$2:$O$766),"")</f>
        <v/>
      </c>
    </row>
    <row r="931">
      <c r="A931" s="9" t="inlineStr">
        <is>
          <t>Udayam Tailor Kundrathur</t>
        </is>
      </c>
      <c r="B931" s="9" t="inlineStr">
        <is>
          <t>9894649539</t>
        </is>
      </c>
      <c r="C931" s="9" t="n"/>
      <c r="D931" s="9" t="n"/>
      <c r="E931" s="9" t="n"/>
      <c r="F931" s="9">
        <f>IFERROR(LOOKUP(2,1/('Weekly Tracker'!$E$2:$E$766=$A931)/('Weekly Tracker'!$F$2:$F$766&lt;&gt;""),'Weekly Tracker'!$F$2:$F$766),"")</f>
        <v/>
      </c>
      <c r="G931" s="16">
        <f>IF(F931&lt;&gt;"",LOOKUP(2,1/('Weekly Tracker'!$E$2:$E$766=$A931)/('Weekly Tracker'!$F$2:$F$766&lt;&gt;""),'Weekly Tracker'!$G$2:$G$766),"")</f>
        <v/>
      </c>
      <c r="H931" s="9">
        <f>IFERROR(LOOKUP(2,1/('Weekly Tracker'!$E$2:$E$766=$A931)/('Weekly Tracker'!$H$2:$H$766&lt;&gt;""),'Weekly Tracker'!$H$2:$H$766),"")</f>
        <v/>
      </c>
      <c r="I931" s="16">
        <f>IF(H931&lt;&gt;"",LOOKUP(2,1/('Weekly Tracker'!$E$2:$E$766=$A931)/('Weekly Tracker'!$H$2:$H$766&lt;&gt;""),'Weekly Tracker'!$I$2:$I$766),"")</f>
        <v/>
      </c>
      <c r="J931" s="9">
        <f>IFERROR(LOOKUP(2,1/('Weekly Tracker'!$E$2:$E$766=$A931)/('Weekly Tracker'!$J$2:$J$766&lt;&gt;""),'Weekly Tracker'!$J$2:$J$766),"")</f>
        <v/>
      </c>
      <c r="K931" s="9">
        <f>IFERROR(LOOKUP(2,1/('Weekly Tracker'!$E$2:$E$766=$A931)/('Weekly Tracker'!$N$2:$N$766&lt;&gt;""),'Weekly Tracker'!$N$2:$N$766),"")</f>
        <v/>
      </c>
      <c r="L931" s="9">
        <f>IFERROR(LOOKUP(2,1/('Weekly Tracker'!$E$2:$E$766=$A931)/('Weekly Tracker'!$O$2:$O$766&lt;&gt;""),'Weekly Tracker'!$O$2:$O$766),"")</f>
        <v/>
      </c>
    </row>
    <row r="932">
      <c r="A932" s="9" t="inlineStr">
        <is>
          <t>Vignesh Agasthian GP</t>
        </is>
      </c>
      <c r="B932" s="9" t="inlineStr">
        <is>
          <t>919384730095</t>
        </is>
      </c>
      <c r="C932" s="9" t="n"/>
      <c r="D932" s="9" t="n"/>
      <c r="E932" s="9" t="n"/>
      <c r="F932" s="9">
        <f>IFERROR(LOOKUP(2,1/('Weekly Tracker'!$E$2:$E$766=$A932)/('Weekly Tracker'!$F$2:$F$766&lt;&gt;""),'Weekly Tracker'!$F$2:$F$766),"")</f>
        <v/>
      </c>
      <c r="G932" s="16">
        <f>IF(F932&lt;&gt;"",LOOKUP(2,1/('Weekly Tracker'!$E$2:$E$766=$A932)/('Weekly Tracker'!$F$2:$F$766&lt;&gt;""),'Weekly Tracker'!$G$2:$G$766),"")</f>
        <v/>
      </c>
      <c r="H932" s="9">
        <f>IFERROR(LOOKUP(2,1/('Weekly Tracker'!$E$2:$E$766=$A932)/('Weekly Tracker'!$H$2:$H$766&lt;&gt;""),'Weekly Tracker'!$H$2:$H$766),"")</f>
        <v/>
      </c>
      <c r="I932" s="16">
        <f>IF(H932&lt;&gt;"",LOOKUP(2,1/('Weekly Tracker'!$E$2:$E$766=$A932)/('Weekly Tracker'!$H$2:$H$766&lt;&gt;""),'Weekly Tracker'!$I$2:$I$766),"")</f>
        <v/>
      </c>
      <c r="J932" s="9">
        <f>IFERROR(LOOKUP(2,1/('Weekly Tracker'!$E$2:$E$766=$A932)/('Weekly Tracker'!$J$2:$J$766&lt;&gt;""),'Weekly Tracker'!$J$2:$J$766),"")</f>
        <v/>
      </c>
      <c r="K932" s="9">
        <f>IFERROR(LOOKUP(2,1/('Weekly Tracker'!$E$2:$E$766=$A932)/('Weekly Tracker'!$N$2:$N$766&lt;&gt;""),'Weekly Tracker'!$N$2:$N$766),"")</f>
        <v/>
      </c>
      <c r="L932" s="9">
        <f>IFERROR(LOOKUP(2,1/('Weekly Tracker'!$E$2:$E$766=$A932)/('Weekly Tracker'!$O$2:$O$766&lt;&gt;""),'Weekly Tracker'!$O$2:$O$766),"")</f>
        <v/>
      </c>
    </row>
    <row r="933">
      <c r="A933" s="9" t="inlineStr">
        <is>
          <t>Nagarajan Grp</t>
        </is>
      </c>
      <c r="B933" s="9" t="inlineStr">
        <is>
          <t>918526252455</t>
        </is>
      </c>
      <c r="C933" s="9" t="n"/>
      <c r="D933" s="9" t="n"/>
      <c r="E933" s="9" t="n"/>
      <c r="F933" s="9">
        <f>IFERROR(LOOKUP(2,1/('Weekly Tracker'!$E$2:$E$766=$A933)/('Weekly Tracker'!$F$2:$F$766&lt;&gt;""),'Weekly Tracker'!$F$2:$F$766),"")</f>
        <v/>
      </c>
      <c r="G933" s="16">
        <f>IF(F933&lt;&gt;"",LOOKUP(2,1/('Weekly Tracker'!$E$2:$E$766=$A933)/('Weekly Tracker'!$F$2:$F$766&lt;&gt;""),'Weekly Tracker'!$G$2:$G$766),"")</f>
        <v/>
      </c>
      <c r="H933" s="9">
        <f>IFERROR(LOOKUP(2,1/('Weekly Tracker'!$E$2:$E$766=$A933)/('Weekly Tracker'!$H$2:$H$766&lt;&gt;""),'Weekly Tracker'!$H$2:$H$766),"")</f>
        <v/>
      </c>
      <c r="I933" s="16">
        <f>IF(H933&lt;&gt;"",LOOKUP(2,1/('Weekly Tracker'!$E$2:$E$766=$A933)/('Weekly Tracker'!$H$2:$H$766&lt;&gt;""),'Weekly Tracker'!$I$2:$I$766),"")</f>
        <v/>
      </c>
      <c r="J933" s="9">
        <f>IFERROR(LOOKUP(2,1/('Weekly Tracker'!$E$2:$E$766=$A933)/('Weekly Tracker'!$J$2:$J$766&lt;&gt;""),'Weekly Tracker'!$J$2:$J$766),"")</f>
        <v/>
      </c>
      <c r="K933" s="9">
        <f>IFERROR(LOOKUP(2,1/('Weekly Tracker'!$E$2:$E$766=$A933)/('Weekly Tracker'!$N$2:$N$766&lt;&gt;""),'Weekly Tracker'!$N$2:$N$766),"")</f>
        <v/>
      </c>
      <c r="L933" s="9">
        <f>IFERROR(LOOKUP(2,1/('Weekly Tracker'!$E$2:$E$766=$A933)/('Weekly Tracker'!$O$2:$O$766&lt;&gt;""),'Weekly Tracker'!$O$2:$O$766),"")</f>
        <v/>
      </c>
    </row>
    <row r="934">
      <c r="A934" s="9" t="inlineStr">
        <is>
          <t>Vinish Mukesh FB</t>
        </is>
      </c>
      <c r="B934" s="9" t="inlineStr">
        <is>
          <t>9043977189</t>
        </is>
      </c>
      <c r="C934" s="9" t="n"/>
      <c r="D934" s="9" t="n"/>
      <c r="E934" s="9" t="n"/>
      <c r="F934" s="9">
        <f>IFERROR(LOOKUP(2,1/('Weekly Tracker'!$E$2:$E$766=$A934)/('Weekly Tracker'!$F$2:$F$766&lt;&gt;""),'Weekly Tracker'!$F$2:$F$766),"")</f>
        <v/>
      </c>
      <c r="G934" s="16">
        <f>IF(F934&lt;&gt;"",LOOKUP(2,1/('Weekly Tracker'!$E$2:$E$766=$A934)/('Weekly Tracker'!$F$2:$F$766&lt;&gt;""),'Weekly Tracker'!$G$2:$G$766),"")</f>
        <v/>
      </c>
      <c r="H934" s="9">
        <f>IFERROR(LOOKUP(2,1/('Weekly Tracker'!$E$2:$E$766=$A934)/('Weekly Tracker'!$H$2:$H$766&lt;&gt;""),'Weekly Tracker'!$H$2:$H$766),"")</f>
        <v/>
      </c>
      <c r="I934" s="16">
        <f>IF(H934&lt;&gt;"",LOOKUP(2,1/('Weekly Tracker'!$E$2:$E$766=$A934)/('Weekly Tracker'!$H$2:$H$766&lt;&gt;""),'Weekly Tracker'!$I$2:$I$766),"")</f>
        <v/>
      </c>
      <c r="J934" s="9">
        <f>IFERROR(LOOKUP(2,1/('Weekly Tracker'!$E$2:$E$766=$A934)/('Weekly Tracker'!$J$2:$J$766&lt;&gt;""),'Weekly Tracker'!$J$2:$J$766),"")</f>
        <v/>
      </c>
      <c r="K934" s="9">
        <f>IFERROR(LOOKUP(2,1/('Weekly Tracker'!$E$2:$E$766=$A934)/('Weekly Tracker'!$N$2:$N$766&lt;&gt;""),'Weekly Tracker'!$N$2:$N$766),"")</f>
        <v/>
      </c>
      <c r="L934" s="9">
        <f>IFERROR(LOOKUP(2,1/('Weekly Tracker'!$E$2:$E$766=$A934)/('Weekly Tracker'!$O$2:$O$766&lt;&gt;""),'Weekly Tracker'!$O$2:$O$766),"")</f>
        <v/>
      </c>
    </row>
    <row r="935">
      <c r="A935" s="9" t="inlineStr">
        <is>
          <t>Sagayaraj Anna Urja</t>
        </is>
      </c>
      <c r="B935" s="9" t="inlineStr">
        <is>
          <t>919941901095</t>
        </is>
      </c>
      <c r="C935" s="9" t="n"/>
      <c r="D935" s="9" t="n"/>
      <c r="E935" s="9" t="n"/>
      <c r="F935" s="9">
        <f>IFERROR(LOOKUP(2,1/('Weekly Tracker'!$E$2:$E$766=$A935)/('Weekly Tracker'!$F$2:$F$766&lt;&gt;""),'Weekly Tracker'!$F$2:$F$766),"")</f>
        <v/>
      </c>
      <c r="G935" s="16">
        <f>IF(F935&lt;&gt;"",LOOKUP(2,1/('Weekly Tracker'!$E$2:$E$766=$A935)/('Weekly Tracker'!$F$2:$F$766&lt;&gt;""),'Weekly Tracker'!$G$2:$G$766),"")</f>
        <v/>
      </c>
      <c r="H935" s="9">
        <f>IFERROR(LOOKUP(2,1/('Weekly Tracker'!$E$2:$E$766=$A935)/('Weekly Tracker'!$H$2:$H$766&lt;&gt;""),'Weekly Tracker'!$H$2:$H$766),"")</f>
        <v/>
      </c>
      <c r="I935" s="16">
        <f>IF(H935&lt;&gt;"",LOOKUP(2,1/('Weekly Tracker'!$E$2:$E$766=$A935)/('Weekly Tracker'!$H$2:$H$766&lt;&gt;""),'Weekly Tracker'!$I$2:$I$766),"")</f>
        <v/>
      </c>
      <c r="J935" s="9">
        <f>IFERROR(LOOKUP(2,1/('Weekly Tracker'!$E$2:$E$766=$A935)/('Weekly Tracker'!$J$2:$J$766&lt;&gt;""),'Weekly Tracker'!$J$2:$J$766),"")</f>
        <v/>
      </c>
      <c r="K935" s="9">
        <f>IFERROR(LOOKUP(2,1/('Weekly Tracker'!$E$2:$E$766=$A935)/('Weekly Tracker'!$N$2:$N$766&lt;&gt;""),'Weekly Tracker'!$N$2:$N$766),"")</f>
        <v/>
      </c>
      <c r="L935" s="9">
        <f>IFERROR(LOOKUP(2,1/('Weekly Tracker'!$E$2:$E$766=$A935)/('Weekly Tracker'!$O$2:$O$766&lt;&gt;""),'Weekly Tracker'!$O$2:$O$766),"")</f>
        <v/>
      </c>
    </row>
    <row r="936">
      <c r="A936" s="9" t="inlineStr">
        <is>
          <t>Gunadev Kannan Mech</t>
        </is>
      </c>
      <c r="B936" s="9" t="inlineStr">
        <is>
          <t>919500807199</t>
        </is>
      </c>
      <c r="C936" s="9" t="n"/>
      <c r="D936" s="9" t="n"/>
      <c r="E936" s="9" t="n"/>
      <c r="F936" s="9">
        <f>IFERROR(LOOKUP(2,1/('Weekly Tracker'!$E$2:$E$766=$A936)/('Weekly Tracker'!$F$2:$F$766&lt;&gt;""),'Weekly Tracker'!$F$2:$F$766),"")</f>
        <v/>
      </c>
      <c r="G936" s="16">
        <f>IF(F936&lt;&gt;"",LOOKUP(2,1/('Weekly Tracker'!$E$2:$E$766=$A936)/('Weekly Tracker'!$F$2:$F$766&lt;&gt;""),'Weekly Tracker'!$G$2:$G$766),"")</f>
        <v/>
      </c>
      <c r="H936" s="9">
        <f>IFERROR(LOOKUP(2,1/('Weekly Tracker'!$E$2:$E$766=$A936)/('Weekly Tracker'!$H$2:$H$766&lt;&gt;""),'Weekly Tracker'!$H$2:$H$766),"")</f>
        <v/>
      </c>
      <c r="I936" s="16">
        <f>IF(H936&lt;&gt;"",LOOKUP(2,1/('Weekly Tracker'!$E$2:$E$766=$A936)/('Weekly Tracker'!$H$2:$H$766&lt;&gt;""),'Weekly Tracker'!$I$2:$I$766),"")</f>
        <v/>
      </c>
      <c r="J936" s="9">
        <f>IFERROR(LOOKUP(2,1/('Weekly Tracker'!$E$2:$E$766=$A936)/('Weekly Tracker'!$J$2:$J$766&lt;&gt;""),'Weekly Tracker'!$J$2:$J$766),"")</f>
        <v/>
      </c>
      <c r="K936" s="9">
        <f>IFERROR(LOOKUP(2,1/('Weekly Tracker'!$E$2:$E$766=$A936)/('Weekly Tracker'!$N$2:$N$766&lt;&gt;""),'Weekly Tracker'!$N$2:$N$766),"")</f>
        <v/>
      </c>
      <c r="L936" s="9">
        <f>IFERROR(LOOKUP(2,1/('Weekly Tracker'!$E$2:$E$766=$A936)/('Weekly Tracker'!$O$2:$O$766&lt;&gt;""),'Weekly Tracker'!$O$2:$O$766),"")</f>
        <v/>
      </c>
    </row>
    <row r="937">
      <c r="A937" s="9" t="inlineStr">
        <is>
          <t>Varsha Girl</t>
        </is>
      </c>
      <c r="B937" s="9" t="inlineStr">
        <is>
          <t>919042591011</t>
        </is>
      </c>
      <c r="C937" s="9" t="n"/>
      <c r="D937" s="9" t="n"/>
      <c r="E937" s="9" t="n"/>
      <c r="F937" s="9">
        <f>IFERROR(LOOKUP(2,1/('Weekly Tracker'!$E$2:$E$766=$A937)/('Weekly Tracker'!$F$2:$F$766&lt;&gt;""),'Weekly Tracker'!$F$2:$F$766),"")</f>
        <v/>
      </c>
      <c r="G937" s="16">
        <f>IF(F937&lt;&gt;"",LOOKUP(2,1/('Weekly Tracker'!$E$2:$E$766=$A937)/('Weekly Tracker'!$F$2:$F$766&lt;&gt;""),'Weekly Tracker'!$G$2:$G$766),"")</f>
        <v/>
      </c>
      <c r="H937" s="9">
        <f>IFERROR(LOOKUP(2,1/('Weekly Tracker'!$E$2:$E$766=$A937)/('Weekly Tracker'!$H$2:$H$766&lt;&gt;""),'Weekly Tracker'!$H$2:$H$766),"")</f>
        <v/>
      </c>
      <c r="I937" s="16">
        <f>IF(H937&lt;&gt;"",LOOKUP(2,1/('Weekly Tracker'!$E$2:$E$766=$A937)/('Weekly Tracker'!$H$2:$H$766&lt;&gt;""),'Weekly Tracker'!$I$2:$I$766),"")</f>
        <v/>
      </c>
      <c r="J937" s="9">
        <f>IFERROR(LOOKUP(2,1/('Weekly Tracker'!$E$2:$E$766=$A937)/('Weekly Tracker'!$J$2:$J$766&lt;&gt;""),'Weekly Tracker'!$J$2:$J$766),"")</f>
        <v/>
      </c>
      <c r="K937" s="9">
        <f>IFERROR(LOOKUP(2,1/('Weekly Tracker'!$E$2:$E$766=$A937)/('Weekly Tracker'!$N$2:$N$766&lt;&gt;""),'Weekly Tracker'!$N$2:$N$766),"")</f>
        <v/>
      </c>
      <c r="L937" s="9">
        <f>IFERROR(LOOKUP(2,1/('Weekly Tracker'!$E$2:$E$766=$A937)/('Weekly Tracker'!$O$2:$O$766&lt;&gt;""),'Weekly Tracker'!$O$2:$O$766),"")</f>
        <v/>
      </c>
    </row>
    <row r="938">
      <c r="A938" s="9" t="inlineStr">
        <is>
          <t>Akash Navanitha Krishnan Junior</t>
        </is>
      </c>
      <c r="B938" s="9" t="inlineStr">
        <is>
          <t>917200150039</t>
        </is>
      </c>
      <c r="C938" s="9" t="n"/>
      <c r="D938" s="9" t="n"/>
      <c r="E938" s="9" t="n"/>
      <c r="F938" s="9">
        <f>IFERROR(LOOKUP(2,1/('Weekly Tracker'!$E$2:$E$766=$A938)/('Weekly Tracker'!$F$2:$F$766&lt;&gt;""),'Weekly Tracker'!$F$2:$F$766),"")</f>
        <v/>
      </c>
      <c r="G938" s="16">
        <f>IF(F938&lt;&gt;"",LOOKUP(2,1/('Weekly Tracker'!$E$2:$E$766=$A938)/('Weekly Tracker'!$F$2:$F$766&lt;&gt;""),'Weekly Tracker'!$G$2:$G$766),"")</f>
        <v/>
      </c>
      <c r="H938" s="9">
        <f>IFERROR(LOOKUP(2,1/('Weekly Tracker'!$E$2:$E$766=$A938)/('Weekly Tracker'!$H$2:$H$766&lt;&gt;""),'Weekly Tracker'!$H$2:$H$766),"")</f>
        <v/>
      </c>
      <c r="I938" s="16">
        <f>IF(H938&lt;&gt;"",LOOKUP(2,1/('Weekly Tracker'!$E$2:$E$766=$A938)/('Weekly Tracker'!$H$2:$H$766&lt;&gt;""),'Weekly Tracker'!$I$2:$I$766),"")</f>
        <v/>
      </c>
      <c r="J938" s="9">
        <f>IFERROR(LOOKUP(2,1/('Weekly Tracker'!$E$2:$E$766=$A938)/('Weekly Tracker'!$J$2:$J$766&lt;&gt;""),'Weekly Tracker'!$J$2:$J$766),"")</f>
        <v/>
      </c>
      <c r="K938" s="9">
        <f>IFERROR(LOOKUP(2,1/('Weekly Tracker'!$E$2:$E$766=$A938)/('Weekly Tracker'!$N$2:$N$766&lt;&gt;""),'Weekly Tracker'!$N$2:$N$766),"")</f>
        <v/>
      </c>
      <c r="L938" s="9">
        <f>IFERROR(LOOKUP(2,1/('Weekly Tracker'!$E$2:$E$766=$A938)/('Weekly Tracker'!$O$2:$O$766&lt;&gt;""),'Weekly Tracker'!$O$2:$O$766),"")</f>
        <v/>
      </c>
    </row>
    <row r="939">
      <c r="A939" s="9" t="inlineStr">
        <is>
          <t>Karthiga Mms</t>
        </is>
      </c>
      <c r="B939" s="9" t="inlineStr">
        <is>
          <t>917904642454</t>
        </is>
      </c>
      <c r="C939" s="9" t="n"/>
      <c r="D939" s="9" t="n"/>
      <c r="E939" s="9" t="n"/>
      <c r="F939" s="9">
        <f>IFERROR(LOOKUP(2,1/('Weekly Tracker'!$E$2:$E$766=$A939)/('Weekly Tracker'!$F$2:$F$766&lt;&gt;""),'Weekly Tracker'!$F$2:$F$766),"")</f>
        <v/>
      </c>
      <c r="G939" s="16">
        <f>IF(F939&lt;&gt;"",LOOKUP(2,1/('Weekly Tracker'!$E$2:$E$766=$A939)/('Weekly Tracker'!$F$2:$F$766&lt;&gt;""),'Weekly Tracker'!$G$2:$G$766),"")</f>
        <v/>
      </c>
      <c r="H939" s="9">
        <f>IFERROR(LOOKUP(2,1/('Weekly Tracker'!$E$2:$E$766=$A939)/('Weekly Tracker'!$H$2:$H$766&lt;&gt;""),'Weekly Tracker'!$H$2:$H$766),"")</f>
        <v/>
      </c>
      <c r="I939" s="16">
        <f>IF(H939&lt;&gt;"",LOOKUP(2,1/('Weekly Tracker'!$E$2:$E$766=$A939)/('Weekly Tracker'!$H$2:$H$766&lt;&gt;""),'Weekly Tracker'!$I$2:$I$766),"")</f>
        <v/>
      </c>
      <c r="J939" s="9">
        <f>IFERROR(LOOKUP(2,1/('Weekly Tracker'!$E$2:$E$766=$A939)/('Weekly Tracker'!$J$2:$J$766&lt;&gt;""),'Weekly Tracker'!$J$2:$J$766),"")</f>
        <v/>
      </c>
      <c r="K939" s="9">
        <f>IFERROR(LOOKUP(2,1/('Weekly Tracker'!$E$2:$E$766=$A939)/('Weekly Tracker'!$N$2:$N$766&lt;&gt;""),'Weekly Tracker'!$N$2:$N$766),"")</f>
        <v/>
      </c>
      <c r="L939" s="9">
        <f>IFERROR(LOOKUP(2,1/('Weekly Tracker'!$E$2:$E$766=$A939)/('Weekly Tracker'!$O$2:$O$766&lt;&gt;""),'Weekly Tracker'!$O$2:$O$766),"")</f>
        <v/>
      </c>
    </row>
    <row r="940">
      <c r="A940" s="9" t="inlineStr">
        <is>
          <t>Sambavi Urja</t>
        </is>
      </c>
      <c r="B940" s="9" t="inlineStr">
        <is>
          <t>919094521828</t>
        </is>
      </c>
      <c r="C940" s="9" t="n"/>
      <c r="D940" s="9" t="n"/>
      <c r="E940" s="9" t="n"/>
      <c r="F940" s="9">
        <f>IFERROR(LOOKUP(2,1/('Weekly Tracker'!$E$2:$E$766=$A940)/('Weekly Tracker'!$F$2:$F$766&lt;&gt;""),'Weekly Tracker'!$F$2:$F$766),"")</f>
        <v/>
      </c>
      <c r="G940" s="16">
        <f>IF(F940&lt;&gt;"",LOOKUP(2,1/('Weekly Tracker'!$E$2:$E$766=$A940)/('Weekly Tracker'!$F$2:$F$766&lt;&gt;""),'Weekly Tracker'!$G$2:$G$766),"")</f>
        <v/>
      </c>
      <c r="H940" s="9">
        <f>IFERROR(LOOKUP(2,1/('Weekly Tracker'!$E$2:$E$766=$A940)/('Weekly Tracker'!$H$2:$H$766&lt;&gt;""),'Weekly Tracker'!$H$2:$H$766),"")</f>
        <v/>
      </c>
      <c r="I940" s="16">
        <f>IF(H940&lt;&gt;"",LOOKUP(2,1/('Weekly Tracker'!$E$2:$E$766=$A940)/('Weekly Tracker'!$H$2:$H$766&lt;&gt;""),'Weekly Tracker'!$I$2:$I$766),"")</f>
        <v/>
      </c>
      <c r="J940" s="9">
        <f>IFERROR(LOOKUP(2,1/('Weekly Tracker'!$E$2:$E$766=$A940)/('Weekly Tracker'!$J$2:$J$766&lt;&gt;""),'Weekly Tracker'!$J$2:$J$766),"")</f>
        <v/>
      </c>
      <c r="K940" s="9">
        <f>IFERROR(LOOKUP(2,1/('Weekly Tracker'!$E$2:$E$766=$A940)/('Weekly Tracker'!$N$2:$N$766&lt;&gt;""),'Weekly Tracker'!$N$2:$N$766),"")</f>
        <v/>
      </c>
      <c r="L940" s="9">
        <f>IFERROR(LOOKUP(2,1/('Weekly Tracker'!$E$2:$E$766=$A940)/('Weekly Tracker'!$O$2:$O$766&lt;&gt;""),'Weekly Tracker'!$O$2:$O$766),"")</f>
        <v/>
      </c>
    </row>
    <row r="941">
      <c r="A941" s="9" t="inlineStr">
        <is>
          <t>Simon Van 4</t>
        </is>
      </c>
      <c r="B941" s="9" t="inlineStr">
        <is>
          <t>600164394222</t>
        </is>
      </c>
      <c r="C941" s="9" t="n"/>
      <c r="D941" s="9" t="n"/>
      <c r="E941" s="9" t="n"/>
      <c r="F941" s="9">
        <f>IFERROR(LOOKUP(2,1/('Weekly Tracker'!$E$2:$E$766=$A941)/('Weekly Tracker'!$F$2:$F$766&lt;&gt;""),'Weekly Tracker'!$F$2:$F$766),"")</f>
        <v/>
      </c>
      <c r="G941" s="16">
        <f>IF(F941&lt;&gt;"",LOOKUP(2,1/('Weekly Tracker'!$E$2:$E$766=$A941)/('Weekly Tracker'!$F$2:$F$766&lt;&gt;""),'Weekly Tracker'!$G$2:$G$766),"")</f>
        <v/>
      </c>
      <c r="H941" s="9">
        <f>IFERROR(LOOKUP(2,1/('Weekly Tracker'!$E$2:$E$766=$A941)/('Weekly Tracker'!$H$2:$H$766&lt;&gt;""),'Weekly Tracker'!$H$2:$H$766),"")</f>
        <v/>
      </c>
      <c r="I941" s="16">
        <f>IF(H941&lt;&gt;"",LOOKUP(2,1/('Weekly Tracker'!$E$2:$E$766=$A941)/('Weekly Tracker'!$H$2:$H$766&lt;&gt;""),'Weekly Tracker'!$I$2:$I$766),"")</f>
        <v/>
      </c>
      <c r="J941" s="9">
        <f>IFERROR(LOOKUP(2,1/('Weekly Tracker'!$E$2:$E$766=$A941)/('Weekly Tracker'!$J$2:$J$766&lt;&gt;""),'Weekly Tracker'!$J$2:$J$766),"")</f>
        <v/>
      </c>
      <c r="K941" s="9">
        <f>IFERROR(LOOKUP(2,1/('Weekly Tracker'!$E$2:$E$766=$A941)/('Weekly Tracker'!$N$2:$N$766&lt;&gt;""),'Weekly Tracker'!$N$2:$N$766),"")</f>
        <v/>
      </c>
      <c r="L941" s="9">
        <f>IFERROR(LOOKUP(2,1/('Weekly Tracker'!$E$2:$E$766=$A941)/('Weekly Tracker'!$O$2:$O$766&lt;&gt;""),'Weekly Tracker'!$O$2:$O$766),"")</f>
        <v/>
      </c>
    </row>
    <row r="942">
      <c r="A942" s="9" t="inlineStr">
        <is>
          <t>Alex Pandian Civil</t>
        </is>
      </c>
      <c r="B942" s="9" t="inlineStr">
        <is>
          <t>919043539562</t>
        </is>
      </c>
      <c r="C942" s="9" t="n"/>
      <c r="D942" s="9" t="n"/>
      <c r="E942" s="9" t="n"/>
      <c r="F942" s="9">
        <f>IFERROR(LOOKUP(2,1/('Weekly Tracker'!$E$2:$E$766=$A942)/('Weekly Tracker'!$F$2:$F$766&lt;&gt;""),'Weekly Tracker'!$F$2:$F$766),"")</f>
        <v/>
      </c>
      <c r="G942" s="16">
        <f>IF(F942&lt;&gt;"",LOOKUP(2,1/('Weekly Tracker'!$E$2:$E$766=$A942)/('Weekly Tracker'!$F$2:$F$766&lt;&gt;""),'Weekly Tracker'!$G$2:$G$766),"")</f>
        <v/>
      </c>
      <c r="H942" s="9">
        <f>IFERROR(LOOKUP(2,1/('Weekly Tracker'!$E$2:$E$766=$A942)/('Weekly Tracker'!$H$2:$H$766&lt;&gt;""),'Weekly Tracker'!$H$2:$H$766),"")</f>
        <v/>
      </c>
      <c r="I942" s="16">
        <f>IF(H942&lt;&gt;"",LOOKUP(2,1/('Weekly Tracker'!$E$2:$E$766=$A942)/('Weekly Tracker'!$H$2:$H$766&lt;&gt;""),'Weekly Tracker'!$I$2:$I$766),"")</f>
        <v/>
      </c>
      <c r="J942" s="9">
        <f>IFERROR(LOOKUP(2,1/('Weekly Tracker'!$E$2:$E$766=$A942)/('Weekly Tracker'!$J$2:$J$766&lt;&gt;""),'Weekly Tracker'!$J$2:$J$766),"")</f>
        <v/>
      </c>
      <c r="K942" s="9">
        <f>IFERROR(LOOKUP(2,1/('Weekly Tracker'!$E$2:$E$766=$A942)/('Weekly Tracker'!$N$2:$N$766&lt;&gt;""),'Weekly Tracker'!$N$2:$N$766),"")</f>
        <v/>
      </c>
      <c r="L942" s="9">
        <f>IFERROR(LOOKUP(2,1/('Weekly Tracker'!$E$2:$E$766=$A942)/('Weekly Tracker'!$O$2:$O$766&lt;&gt;""),'Weekly Tracker'!$O$2:$O$766),"")</f>
        <v/>
      </c>
    </row>
    <row r="943">
      <c r="A943" s="9" t="inlineStr">
        <is>
          <t>Jothi Narashiman Ndlf</t>
        </is>
      </c>
      <c r="B943" s="9" t="inlineStr">
        <is>
          <t>919952909921</t>
        </is>
      </c>
      <c r="C943" s="9" t="n"/>
      <c r="D943" s="9" t="n"/>
      <c r="E943" s="9" t="n"/>
      <c r="F943" s="9">
        <f>IFERROR(LOOKUP(2,1/('Weekly Tracker'!$E$2:$E$766=$A943)/('Weekly Tracker'!$F$2:$F$766&lt;&gt;""),'Weekly Tracker'!$F$2:$F$766),"")</f>
        <v/>
      </c>
      <c r="G943" s="16">
        <f>IF(F943&lt;&gt;"",LOOKUP(2,1/('Weekly Tracker'!$E$2:$E$766=$A943)/('Weekly Tracker'!$F$2:$F$766&lt;&gt;""),'Weekly Tracker'!$G$2:$G$766),"")</f>
        <v/>
      </c>
      <c r="H943" s="9">
        <f>IFERROR(LOOKUP(2,1/('Weekly Tracker'!$E$2:$E$766=$A943)/('Weekly Tracker'!$H$2:$H$766&lt;&gt;""),'Weekly Tracker'!$H$2:$H$766),"")</f>
        <v/>
      </c>
      <c r="I943" s="16">
        <f>IF(H943&lt;&gt;"",LOOKUP(2,1/('Weekly Tracker'!$E$2:$E$766=$A943)/('Weekly Tracker'!$H$2:$H$766&lt;&gt;""),'Weekly Tracker'!$I$2:$I$766),"")</f>
        <v/>
      </c>
      <c r="J943" s="9">
        <f>IFERROR(LOOKUP(2,1/('Weekly Tracker'!$E$2:$E$766=$A943)/('Weekly Tracker'!$J$2:$J$766&lt;&gt;""),'Weekly Tracker'!$J$2:$J$766),"")</f>
        <v/>
      </c>
      <c r="K943" s="9">
        <f>IFERROR(LOOKUP(2,1/('Weekly Tracker'!$E$2:$E$766=$A943)/('Weekly Tracker'!$N$2:$N$766&lt;&gt;""),'Weekly Tracker'!$N$2:$N$766),"")</f>
        <v/>
      </c>
      <c r="L943" s="9">
        <f>IFERROR(LOOKUP(2,1/('Weekly Tracker'!$E$2:$E$766=$A943)/('Weekly Tracker'!$O$2:$O$766&lt;&gt;""),'Weekly Tracker'!$O$2:$O$766),"")</f>
        <v/>
      </c>
    </row>
    <row r="944">
      <c r="A944" s="9" t="inlineStr">
        <is>
          <t>Sethupiran Digital Tech</t>
        </is>
      </c>
      <c r="B944" s="9" t="inlineStr">
        <is>
          <t>919176061474</t>
        </is>
      </c>
      <c r="C944" s="9" t="n"/>
      <c r="D944" s="9" t="n"/>
      <c r="E944" s="9" t="n"/>
      <c r="F944" s="9">
        <f>IFERROR(LOOKUP(2,1/('Weekly Tracker'!$E$2:$E$766=$A944)/('Weekly Tracker'!$F$2:$F$766&lt;&gt;""),'Weekly Tracker'!$F$2:$F$766),"")</f>
        <v/>
      </c>
      <c r="G944" s="16">
        <f>IF(F944&lt;&gt;"",LOOKUP(2,1/('Weekly Tracker'!$E$2:$E$766=$A944)/('Weekly Tracker'!$F$2:$F$766&lt;&gt;""),'Weekly Tracker'!$G$2:$G$766),"")</f>
        <v/>
      </c>
      <c r="H944" s="9">
        <f>IFERROR(LOOKUP(2,1/('Weekly Tracker'!$E$2:$E$766=$A944)/('Weekly Tracker'!$H$2:$H$766&lt;&gt;""),'Weekly Tracker'!$H$2:$H$766),"")</f>
        <v/>
      </c>
      <c r="I944" s="16">
        <f>IF(H944&lt;&gt;"",LOOKUP(2,1/('Weekly Tracker'!$E$2:$E$766=$A944)/('Weekly Tracker'!$H$2:$H$766&lt;&gt;""),'Weekly Tracker'!$I$2:$I$766),"")</f>
        <v/>
      </c>
      <c r="J944" s="9">
        <f>IFERROR(LOOKUP(2,1/('Weekly Tracker'!$E$2:$E$766=$A944)/('Weekly Tracker'!$J$2:$J$766&lt;&gt;""),'Weekly Tracker'!$J$2:$J$766),"")</f>
        <v/>
      </c>
      <c r="K944" s="9">
        <f>IFERROR(LOOKUP(2,1/('Weekly Tracker'!$E$2:$E$766=$A944)/('Weekly Tracker'!$N$2:$N$766&lt;&gt;""),'Weekly Tracker'!$N$2:$N$766),"")</f>
        <v/>
      </c>
      <c r="L944" s="9">
        <f>IFERROR(LOOKUP(2,1/('Weekly Tracker'!$E$2:$E$766=$A944)/('Weekly Tracker'!$O$2:$O$766&lt;&gt;""),'Weekly Tracker'!$O$2:$O$766),"")</f>
        <v/>
      </c>
    </row>
    <row r="945">
      <c r="A945" s="9" t="inlineStr">
        <is>
          <t>Marisa Bhupesh</t>
        </is>
      </c>
      <c r="B945" s="9" t="inlineStr">
        <is>
          <t>917263090023</t>
        </is>
      </c>
      <c r="C945" s="9" t="n"/>
      <c r="D945" s="9" t="n"/>
      <c r="E945" s="9" t="n"/>
      <c r="F945" s="9">
        <f>IFERROR(LOOKUP(2,1/('Weekly Tracker'!$E$2:$E$766=$A945)/('Weekly Tracker'!$F$2:$F$766&lt;&gt;""),'Weekly Tracker'!$F$2:$F$766),"")</f>
        <v/>
      </c>
      <c r="G945" s="16">
        <f>IF(F945&lt;&gt;"",LOOKUP(2,1/('Weekly Tracker'!$E$2:$E$766=$A945)/('Weekly Tracker'!$F$2:$F$766&lt;&gt;""),'Weekly Tracker'!$G$2:$G$766),"")</f>
        <v/>
      </c>
      <c r="H945" s="9">
        <f>IFERROR(LOOKUP(2,1/('Weekly Tracker'!$E$2:$E$766=$A945)/('Weekly Tracker'!$H$2:$H$766&lt;&gt;""),'Weekly Tracker'!$H$2:$H$766),"")</f>
        <v/>
      </c>
      <c r="I945" s="16">
        <f>IF(H945&lt;&gt;"",LOOKUP(2,1/('Weekly Tracker'!$E$2:$E$766=$A945)/('Weekly Tracker'!$H$2:$H$766&lt;&gt;""),'Weekly Tracker'!$I$2:$I$766),"")</f>
        <v/>
      </c>
      <c r="J945" s="9">
        <f>IFERROR(LOOKUP(2,1/('Weekly Tracker'!$E$2:$E$766=$A945)/('Weekly Tracker'!$J$2:$J$766&lt;&gt;""),'Weekly Tracker'!$J$2:$J$766),"")</f>
        <v/>
      </c>
      <c r="K945" s="9">
        <f>IFERROR(LOOKUP(2,1/('Weekly Tracker'!$E$2:$E$766=$A945)/('Weekly Tracker'!$N$2:$N$766&lt;&gt;""),'Weekly Tracker'!$N$2:$N$766),"")</f>
        <v/>
      </c>
      <c r="L945" s="9">
        <f>IFERROR(LOOKUP(2,1/('Weekly Tracker'!$E$2:$E$766=$A945)/('Weekly Tracker'!$O$2:$O$766&lt;&gt;""),'Weekly Tracker'!$O$2:$O$766),"")</f>
        <v/>
      </c>
    </row>
    <row r="946">
      <c r="A946" s="9" t="inlineStr">
        <is>
          <t>Sakthivel Veera Brother</t>
        </is>
      </c>
      <c r="B946" s="9" t="inlineStr">
        <is>
          <t>9597484243</t>
        </is>
      </c>
      <c r="C946" s="9" t="n"/>
      <c r="D946" s="9" t="n"/>
      <c r="E946" s="9" t="n"/>
      <c r="F946" s="9">
        <f>IFERROR(LOOKUP(2,1/('Weekly Tracker'!$E$2:$E$766=$A946)/('Weekly Tracker'!$F$2:$F$766&lt;&gt;""),'Weekly Tracker'!$F$2:$F$766),"")</f>
        <v/>
      </c>
      <c r="G946" s="16">
        <f>IF(F946&lt;&gt;"",LOOKUP(2,1/('Weekly Tracker'!$E$2:$E$766=$A946)/('Weekly Tracker'!$F$2:$F$766&lt;&gt;""),'Weekly Tracker'!$G$2:$G$766),"")</f>
        <v/>
      </c>
      <c r="H946" s="9">
        <f>IFERROR(LOOKUP(2,1/('Weekly Tracker'!$E$2:$E$766=$A946)/('Weekly Tracker'!$H$2:$H$766&lt;&gt;""),'Weekly Tracker'!$H$2:$H$766),"")</f>
        <v/>
      </c>
      <c r="I946" s="16">
        <f>IF(H946&lt;&gt;"",LOOKUP(2,1/('Weekly Tracker'!$E$2:$E$766=$A946)/('Weekly Tracker'!$H$2:$H$766&lt;&gt;""),'Weekly Tracker'!$I$2:$I$766),"")</f>
        <v/>
      </c>
      <c r="J946" s="9">
        <f>IFERROR(LOOKUP(2,1/('Weekly Tracker'!$E$2:$E$766=$A946)/('Weekly Tracker'!$J$2:$J$766&lt;&gt;""),'Weekly Tracker'!$J$2:$J$766),"")</f>
        <v/>
      </c>
      <c r="K946" s="9">
        <f>IFERROR(LOOKUP(2,1/('Weekly Tracker'!$E$2:$E$766=$A946)/('Weekly Tracker'!$N$2:$N$766&lt;&gt;""),'Weekly Tracker'!$N$2:$N$766),"")</f>
        <v/>
      </c>
      <c r="L946" s="9">
        <f>IFERROR(LOOKUP(2,1/('Weekly Tracker'!$E$2:$E$766=$A946)/('Weekly Tracker'!$O$2:$O$766&lt;&gt;""),'Weekly Tracker'!$O$2:$O$766),"")</f>
        <v/>
      </c>
    </row>
    <row r="947">
      <c r="A947" s="9" t="inlineStr">
        <is>
          <t>Lark leo FB</t>
        </is>
      </c>
      <c r="B947" s="9" t="inlineStr">
        <is>
          <t>+91 82207 80090</t>
        </is>
      </c>
      <c r="C947" s="9" t="n"/>
      <c r="D947" s="9" t="n"/>
      <c r="E947" s="9" t="n"/>
      <c r="F947" s="9">
        <f>IFERROR(LOOKUP(2,1/('Weekly Tracker'!$E$2:$E$766=$A947)/('Weekly Tracker'!$F$2:$F$766&lt;&gt;""),'Weekly Tracker'!$F$2:$F$766),"")</f>
        <v/>
      </c>
      <c r="G947" s="16">
        <f>IF(F947&lt;&gt;"",LOOKUP(2,1/('Weekly Tracker'!$E$2:$E$766=$A947)/('Weekly Tracker'!$F$2:$F$766&lt;&gt;""),'Weekly Tracker'!$G$2:$G$766),"")</f>
        <v/>
      </c>
      <c r="H947" s="9">
        <f>IFERROR(LOOKUP(2,1/('Weekly Tracker'!$E$2:$E$766=$A947)/('Weekly Tracker'!$H$2:$H$766&lt;&gt;""),'Weekly Tracker'!$H$2:$H$766),"")</f>
        <v/>
      </c>
      <c r="I947" s="16">
        <f>IF(H947&lt;&gt;"",LOOKUP(2,1/('Weekly Tracker'!$E$2:$E$766=$A947)/('Weekly Tracker'!$H$2:$H$766&lt;&gt;""),'Weekly Tracker'!$I$2:$I$766),"")</f>
        <v/>
      </c>
      <c r="J947" s="9">
        <f>IFERROR(LOOKUP(2,1/('Weekly Tracker'!$E$2:$E$766=$A947)/('Weekly Tracker'!$J$2:$J$766&lt;&gt;""),'Weekly Tracker'!$J$2:$J$766),"")</f>
        <v/>
      </c>
      <c r="K947" s="9">
        <f>IFERROR(LOOKUP(2,1/('Weekly Tracker'!$E$2:$E$766=$A947)/('Weekly Tracker'!$N$2:$N$766&lt;&gt;""),'Weekly Tracker'!$N$2:$N$766),"")</f>
        <v/>
      </c>
      <c r="L947" s="9">
        <f>IFERROR(LOOKUP(2,1/('Weekly Tracker'!$E$2:$E$766=$A947)/('Weekly Tracker'!$O$2:$O$766&lt;&gt;""),'Weekly Tracker'!$O$2:$O$766),"")</f>
        <v/>
      </c>
    </row>
    <row r="948">
      <c r="A948" s="9" t="inlineStr">
        <is>
          <t>Issaki Scl</t>
        </is>
      </c>
      <c r="B948" s="9" t="inlineStr">
        <is>
          <t>919629355606</t>
        </is>
      </c>
      <c r="C948" s="9" t="n"/>
      <c r="D948" s="9" t="n"/>
      <c r="E948" s="9" t="inlineStr">
        <is>
          <t>Tamil Nadu, India</t>
        </is>
      </c>
      <c r="F948" s="9">
        <f>IFERROR(LOOKUP(2,1/('Weekly Tracker'!$E$2:$E$766=$A948)/('Weekly Tracker'!$F$2:$F$766&lt;&gt;""),'Weekly Tracker'!$F$2:$F$766),"")</f>
        <v/>
      </c>
      <c r="G948" s="16">
        <f>IF(F948&lt;&gt;"",LOOKUP(2,1/('Weekly Tracker'!$E$2:$E$766=$A948)/('Weekly Tracker'!$F$2:$F$766&lt;&gt;""),'Weekly Tracker'!$G$2:$G$766),"")</f>
        <v/>
      </c>
      <c r="H948" s="9">
        <f>IFERROR(LOOKUP(2,1/('Weekly Tracker'!$E$2:$E$766=$A948)/('Weekly Tracker'!$H$2:$H$766&lt;&gt;""),'Weekly Tracker'!$H$2:$H$766),"")</f>
        <v/>
      </c>
      <c r="I948" s="16">
        <f>IF(H948&lt;&gt;"",LOOKUP(2,1/('Weekly Tracker'!$E$2:$E$766=$A948)/('Weekly Tracker'!$H$2:$H$766&lt;&gt;""),'Weekly Tracker'!$I$2:$I$766),"")</f>
        <v/>
      </c>
      <c r="J948" s="9">
        <f>IFERROR(LOOKUP(2,1/('Weekly Tracker'!$E$2:$E$766=$A948)/('Weekly Tracker'!$J$2:$J$766&lt;&gt;""),'Weekly Tracker'!$J$2:$J$766),"")</f>
        <v/>
      </c>
      <c r="K948" s="9">
        <f>IFERROR(LOOKUP(2,1/('Weekly Tracker'!$E$2:$E$766=$A948)/('Weekly Tracker'!$N$2:$N$766&lt;&gt;""),'Weekly Tracker'!$N$2:$N$766),"")</f>
        <v/>
      </c>
      <c r="L948" s="9">
        <f>IFERROR(LOOKUP(2,1/('Weekly Tracker'!$E$2:$E$766=$A948)/('Weekly Tracker'!$O$2:$O$766&lt;&gt;""),'Weekly Tracker'!$O$2:$O$766),"")</f>
        <v/>
      </c>
    </row>
    <row r="949">
      <c r="A949" s="9" t="inlineStr">
        <is>
          <t>Tamil Selvam Civil</t>
        </is>
      </c>
      <c r="B949" s="9" t="inlineStr">
        <is>
          <t>919047340470</t>
        </is>
      </c>
      <c r="C949" s="9" t="n"/>
      <c r="D949" s="9" t="n"/>
      <c r="E949" s="9" t="n"/>
      <c r="F949" s="9">
        <f>IFERROR(LOOKUP(2,1/('Weekly Tracker'!$E$2:$E$766=$A949)/('Weekly Tracker'!$F$2:$F$766&lt;&gt;""),'Weekly Tracker'!$F$2:$F$766),"")</f>
        <v/>
      </c>
      <c r="G949" s="16">
        <f>IF(F949&lt;&gt;"",LOOKUP(2,1/('Weekly Tracker'!$E$2:$E$766=$A949)/('Weekly Tracker'!$F$2:$F$766&lt;&gt;""),'Weekly Tracker'!$G$2:$G$766),"")</f>
        <v/>
      </c>
      <c r="H949" s="9">
        <f>IFERROR(LOOKUP(2,1/('Weekly Tracker'!$E$2:$E$766=$A949)/('Weekly Tracker'!$H$2:$H$766&lt;&gt;""),'Weekly Tracker'!$H$2:$H$766),"")</f>
        <v/>
      </c>
      <c r="I949" s="16">
        <f>IF(H949&lt;&gt;"",LOOKUP(2,1/('Weekly Tracker'!$E$2:$E$766=$A949)/('Weekly Tracker'!$H$2:$H$766&lt;&gt;""),'Weekly Tracker'!$I$2:$I$766),"")</f>
        <v/>
      </c>
      <c r="J949" s="9">
        <f>IFERROR(LOOKUP(2,1/('Weekly Tracker'!$E$2:$E$766=$A949)/('Weekly Tracker'!$J$2:$J$766&lt;&gt;""),'Weekly Tracker'!$J$2:$J$766),"")</f>
        <v/>
      </c>
      <c r="K949" s="9">
        <f>IFERROR(LOOKUP(2,1/('Weekly Tracker'!$E$2:$E$766=$A949)/('Weekly Tracker'!$N$2:$N$766&lt;&gt;""),'Weekly Tracker'!$N$2:$N$766),"")</f>
        <v/>
      </c>
      <c r="L949" s="9">
        <f>IFERROR(LOOKUP(2,1/('Weekly Tracker'!$E$2:$E$766=$A949)/('Weekly Tracker'!$O$2:$O$766&lt;&gt;""),'Weekly Tracker'!$O$2:$O$766),"")</f>
        <v/>
      </c>
    </row>
    <row r="950">
      <c r="A950" s="9" t="inlineStr">
        <is>
          <t>Tim Bus</t>
        </is>
      </c>
      <c r="B950" s="9" t="inlineStr">
        <is>
          <t>600124321682</t>
        </is>
      </c>
      <c r="C950" s="9" t="n"/>
      <c r="D950" s="9" t="n"/>
      <c r="E950" s="9" t="n"/>
      <c r="F950" s="9">
        <f>IFERROR(LOOKUP(2,1/('Weekly Tracker'!$E$2:$E$766=$A950)/('Weekly Tracker'!$F$2:$F$766&lt;&gt;""),'Weekly Tracker'!$F$2:$F$766),"")</f>
        <v/>
      </c>
      <c r="G950" s="16">
        <f>IF(F950&lt;&gt;"",LOOKUP(2,1/('Weekly Tracker'!$E$2:$E$766=$A950)/('Weekly Tracker'!$F$2:$F$766&lt;&gt;""),'Weekly Tracker'!$G$2:$G$766),"")</f>
        <v/>
      </c>
      <c r="H950" s="9">
        <f>IFERROR(LOOKUP(2,1/('Weekly Tracker'!$E$2:$E$766=$A950)/('Weekly Tracker'!$H$2:$H$766&lt;&gt;""),'Weekly Tracker'!$H$2:$H$766),"")</f>
        <v/>
      </c>
      <c r="I950" s="16">
        <f>IF(H950&lt;&gt;"",LOOKUP(2,1/('Weekly Tracker'!$E$2:$E$766=$A950)/('Weekly Tracker'!$H$2:$H$766&lt;&gt;""),'Weekly Tracker'!$I$2:$I$766),"")</f>
        <v/>
      </c>
      <c r="J950" s="9">
        <f>IFERROR(LOOKUP(2,1/('Weekly Tracker'!$E$2:$E$766=$A950)/('Weekly Tracker'!$J$2:$J$766&lt;&gt;""),'Weekly Tracker'!$J$2:$J$766),"")</f>
        <v/>
      </c>
      <c r="K950" s="9">
        <f>IFERROR(LOOKUP(2,1/('Weekly Tracker'!$E$2:$E$766=$A950)/('Weekly Tracker'!$N$2:$N$766&lt;&gt;""),'Weekly Tracker'!$N$2:$N$766),"")</f>
        <v/>
      </c>
      <c r="L950" s="9">
        <f>IFERROR(LOOKUP(2,1/('Weekly Tracker'!$E$2:$E$766=$A950)/('Weekly Tracker'!$O$2:$O$766&lt;&gt;""),'Weekly Tracker'!$O$2:$O$766),"")</f>
        <v/>
      </c>
    </row>
    <row r="951">
      <c r="A951" s="9" t="inlineStr">
        <is>
          <t>Rakesh GV Bit</t>
        </is>
      </c>
      <c r="B951" s="9" t="inlineStr">
        <is>
          <t>919384223514</t>
        </is>
      </c>
      <c r="C951" s="9" t="n"/>
      <c r="D951" s="9" t="n"/>
      <c r="E951" s="9" t="n"/>
      <c r="F951" s="9">
        <f>IFERROR(LOOKUP(2,1/('Weekly Tracker'!$E$2:$E$766=$A951)/('Weekly Tracker'!$F$2:$F$766&lt;&gt;""),'Weekly Tracker'!$F$2:$F$766),"")</f>
        <v/>
      </c>
      <c r="G951" s="16">
        <f>IF(F951&lt;&gt;"",LOOKUP(2,1/('Weekly Tracker'!$E$2:$E$766=$A951)/('Weekly Tracker'!$F$2:$F$766&lt;&gt;""),'Weekly Tracker'!$G$2:$G$766),"")</f>
        <v/>
      </c>
      <c r="H951" s="9">
        <f>IFERROR(LOOKUP(2,1/('Weekly Tracker'!$E$2:$E$766=$A951)/('Weekly Tracker'!$H$2:$H$766&lt;&gt;""),'Weekly Tracker'!$H$2:$H$766),"")</f>
        <v/>
      </c>
      <c r="I951" s="16">
        <f>IF(H951&lt;&gt;"",LOOKUP(2,1/('Weekly Tracker'!$E$2:$E$766=$A951)/('Weekly Tracker'!$H$2:$H$766&lt;&gt;""),'Weekly Tracker'!$I$2:$I$766),"")</f>
        <v/>
      </c>
      <c r="J951" s="9">
        <f>IFERROR(LOOKUP(2,1/('Weekly Tracker'!$E$2:$E$766=$A951)/('Weekly Tracker'!$J$2:$J$766&lt;&gt;""),'Weekly Tracker'!$J$2:$J$766),"")</f>
        <v/>
      </c>
      <c r="K951" s="9">
        <f>IFERROR(LOOKUP(2,1/('Weekly Tracker'!$E$2:$E$766=$A951)/('Weekly Tracker'!$N$2:$N$766&lt;&gt;""),'Weekly Tracker'!$N$2:$N$766),"")</f>
        <v/>
      </c>
      <c r="L951" s="9">
        <f>IFERROR(LOOKUP(2,1/('Weekly Tracker'!$E$2:$E$766=$A951)/('Weekly Tracker'!$O$2:$O$766&lt;&gt;""),'Weekly Tracker'!$O$2:$O$766),"")</f>
        <v/>
      </c>
    </row>
    <row r="952">
      <c r="A952" s="9" t="inlineStr">
        <is>
          <t>Vignesh CSE</t>
        </is>
      </c>
      <c r="B952" s="9" t="inlineStr">
        <is>
          <t>9789584216</t>
        </is>
      </c>
      <c r="C952" s="9" t="n"/>
      <c r="D952" s="9" t="n"/>
      <c r="E952" s="9" t="n"/>
      <c r="F952" s="9">
        <f>IFERROR(LOOKUP(2,1/('Weekly Tracker'!$E$2:$E$766=$A952)/('Weekly Tracker'!$F$2:$F$766&lt;&gt;""),'Weekly Tracker'!$F$2:$F$766),"")</f>
        <v/>
      </c>
      <c r="G952" s="16">
        <f>IF(F952&lt;&gt;"",LOOKUP(2,1/('Weekly Tracker'!$E$2:$E$766=$A952)/('Weekly Tracker'!$F$2:$F$766&lt;&gt;""),'Weekly Tracker'!$G$2:$G$766),"")</f>
        <v/>
      </c>
      <c r="H952" s="9">
        <f>IFERROR(LOOKUP(2,1/('Weekly Tracker'!$E$2:$E$766=$A952)/('Weekly Tracker'!$H$2:$H$766&lt;&gt;""),'Weekly Tracker'!$H$2:$H$766),"")</f>
        <v/>
      </c>
      <c r="I952" s="16">
        <f>IF(H952&lt;&gt;"",LOOKUP(2,1/('Weekly Tracker'!$E$2:$E$766=$A952)/('Weekly Tracker'!$H$2:$H$766&lt;&gt;""),'Weekly Tracker'!$I$2:$I$766),"")</f>
        <v/>
      </c>
      <c r="J952" s="9">
        <f>IFERROR(LOOKUP(2,1/('Weekly Tracker'!$E$2:$E$766=$A952)/('Weekly Tracker'!$J$2:$J$766&lt;&gt;""),'Weekly Tracker'!$J$2:$J$766),"")</f>
        <v/>
      </c>
      <c r="K952" s="9">
        <f>IFERROR(LOOKUP(2,1/('Weekly Tracker'!$E$2:$E$766=$A952)/('Weekly Tracker'!$N$2:$N$766&lt;&gt;""),'Weekly Tracker'!$N$2:$N$766),"")</f>
        <v/>
      </c>
      <c r="L952" s="9">
        <f>IFERROR(LOOKUP(2,1/('Weekly Tracker'!$E$2:$E$766=$A952)/('Weekly Tracker'!$O$2:$O$766&lt;&gt;""),'Weekly Tracker'!$O$2:$O$766),"")</f>
        <v/>
      </c>
    </row>
    <row r="953">
      <c r="A953" s="9" t="inlineStr">
        <is>
          <t>Sakthi Civil</t>
        </is>
      </c>
      <c r="B953" s="9" t="inlineStr">
        <is>
          <t>919500935409</t>
        </is>
      </c>
      <c r="C953" s="9" t="n"/>
      <c r="D953" s="9" t="n"/>
      <c r="E953" s="9" t="n"/>
      <c r="F953" s="9">
        <f>IFERROR(LOOKUP(2,1/('Weekly Tracker'!$E$2:$E$766=$A953)/('Weekly Tracker'!$F$2:$F$766&lt;&gt;""),'Weekly Tracker'!$F$2:$F$766),"")</f>
        <v/>
      </c>
      <c r="G953" s="16">
        <f>IF(F953&lt;&gt;"",LOOKUP(2,1/('Weekly Tracker'!$E$2:$E$766=$A953)/('Weekly Tracker'!$F$2:$F$766&lt;&gt;""),'Weekly Tracker'!$G$2:$G$766),"")</f>
        <v/>
      </c>
      <c r="H953" s="9">
        <f>IFERROR(LOOKUP(2,1/('Weekly Tracker'!$E$2:$E$766=$A953)/('Weekly Tracker'!$H$2:$H$766&lt;&gt;""),'Weekly Tracker'!$H$2:$H$766),"")</f>
        <v/>
      </c>
      <c r="I953" s="16">
        <f>IF(H953&lt;&gt;"",LOOKUP(2,1/('Weekly Tracker'!$E$2:$E$766=$A953)/('Weekly Tracker'!$H$2:$H$766&lt;&gt;""),'Weekly Tracker'!$I$2:$I$766),"")</f>
        <v/>
      </c>
      <c r="J953" s="9">
        <f>IFERROR(LOOKUP(2,1/('Weekly Tracker'!$E$2:$E$766=$A953)/('Weekly Tracker'!$J$2:$J$766&lt;&gt;""),'Weekly Tracker'!$J$2:$J$766),"")</f>
        <v/>
      </c>
      <c r="K953" s="9">
        <f>IFERROR(LOOKUP(2,1/('Weekly Tracker'!$E$2:$E$766=$A953)/('Weekly Tracker'!$N$2:$N$766&lt;&gt;""),'Weekly Tracker'!$N$2:$N$766),"")</f>
        <v/>
      </c>
      <c r="L953" s="9">
        <f>IFERROR(LOOKUP(2,1/('Weekly Tracker'!$E$2:$E$766=$A953)/('Weekly Tracker'!$O$2:$O$766&lt;&gt;""),'Weekly Tracker'!$O$2:$O$766),"")</f>
        <v/>
      </c>
    </row>
    <row r="954">
      <c r="A954" s="9" t="inlineStr">
        <is>
          <t>Makers Tribe Executive</t>
        </is>
      </c>
      <c r="B954" s="9" t="inlineStr">
        <is>
          <t>919491020024</t>
        </is>
      </c>
      <c r="C954" s="9" t="n"/>
      <c r="D954" s="9" t="n"/>
      <c r="E954" s="9" t="n"/>
      <c r="F954" s="9">
        <f>IFERROR(LOOKUP(2,1/('Weekly Tracker'!$E$2:$E$766=$A954)/('Weekly Tracker'!$F$2:$F$766&lt;&gt;""),'Weekly Tracker'!$F$2:$F$766),"")</f>
        <v/>
      </c>
      <c r="G954" s="16">
        <f>IF(F954&lt;&gt;"",LOOKUP(2,1/('Weekly Tracker'!$E$2:$E$766=$A954)/('Weekly Tracker'!$F$2:$F$766&lt;&gt;""),'Weekly Tracker'!$G$2:$G$766),"")</f>
        <v/>
      </c>
      <c r="H954" s="9">
        <f>IFERROR(LOOKUP(2,1/('Weekly Tracker'!$E$2:$E$766=$A954)/('Weekly Tracker'!$H$2:$H$766&lt;&gt;""),'Weekly Tracker'!$H$2:$H$766),"")</f>
        <v/>
      </c>
      <c r="I954" s="16">
        <f>IF(H954&lt;&gt;"",LOOKUP(2,1/('Weekly Tracker'!$E$2:$E$766=$A954)/('Weekly Tracker'!$H$2:$H$766&lt;&gt;""),'Weekly Tracker'!$I$2:$I$766),"")</f>
        <v/>
      </c>
      <c r="J954" s="9">
        <f>IFERROR(LOOKUP(2,1/('Weekly Tracker'!$E$2:$E$766=$A954)/('Weekly Tracker'!$J$2:$J$766&lt;&gt;""),'Weekly Tracker'!$J$2:$J$766),"")</f>
        <v/>
      </c>
      <c r="K954" s="9">
        <f>IFERROR(LOOKUP(2,1/('Weekly Tracker'!$E$2:$E$766=$A954)/('Weekly Tracker'!$N$2:$N$766&lt;&gt;""),'Weekly Tracker'!$N$2:$N$766),"")</f>
        <v/>
      </c>
      <c r="L954" s="9">
        <f>IFERROR(LOOKUP(2,1/('Weekly Tracker'!$E$2:$E$766=$A954)/('Weekly Tracker'!$O$2:$O$766&lt;&gt;""),'Weekly Tracker'!$O$2:$O$766),"")</f>
        <v/>
      </c>
    </row>
    <row r="955">
      <c r="A955" s="9" t="inlineStr">
        <is>
          <t>Abi Grp</t>
        </is>
      </c>
      <c r="B955" s="9" t="inlineStr">
        <is>
          <t>918124057440</t>
        </is>
      </c>
      <c r="C955" s="9" t="n"/>
      <c r="D955" s="9" t="n"/>
      <c r="E955" s="9" t="n"/>
      <c r="F955" s="9">
        <f>IFERROR(LOOKUP(2,1/('Weekly Tracker'!$E$2:$E$766=$A955)/('Weekly Tracker'!$F$2:$F$766&lt;&gt;""),'Weekly Tracker'!$F$2:$F$766),"")</f>
        <v/>
      </c>
      <c r="G955" s="16">
        <f>IF(F955&lt;&gt;"",LOOKUP(2,1/('Weekly Tracker'!$E$2:$E$766=$A955)/('Weekly Tracker'!$F$2:$F$766&lt;&gt;""),'Weekly Tracker'!$G$2:$G$766),"")</f>
        <v/>
      </c>
      <c r="H955" s="9">
        <f>IFERROR(LOOKUP(2,1/('Weekly Tracker'!$E$2:$E$766=$A955)/('Weekly Tracker'!$H$2:$H$766&lt;&gt;""),'Weekly Tracker'!$H$2:$H$766),"")</f>
        <v/>
      </c>
      <c r="I955" s="16">
        <f>IF(H955&lt;&gt;"",LOOKUP(2,1/('Weekly Tracker'!$E$2:$E$766=$A955)/('Weekly Tracker'!$H$2:$H$766&lt;&gt;""),'Weekly Tracker'!$I$2:$I$766),"")</f>
        <v/>
      </c>
      <c r="J955" s="9">
        <f>IFERROR(LOOKUP(2,1/('Weekly Tracker'!$E$2:$E$766=$A955)/('Weekly Tracker'!$J$2:$J$766&lt;&gt;""),'Weekly Tracker'!$J$2:$J$766),"")</f>
        <v/>
      </c>
      <c r="K955" s="9">
        <f>IFERROR(LOOKUP(2,1/('Weekly Tracker'!$E$2:$E$766=$A955)/('Weekly Tracker'!$N$2:$N$766&lt;&gt;""),'Weekly Tracker'!$N$2:$N$766),"")</f>
        <v/>
      </c>
      <c r="L955" s="9">
        <f>IFERROR(LOOKUP(2,1/('Weekly Tracker'!$E$2:$E$766=$A955)/('Weekly Tracker'!$O$2:$O$766&lt;&gt;""),'Weekly Tracker'!$O$2:$O$766),"")</f>
        <v/>
      </c>
    </row>
    <row r="956">
      <c r="A956" s="9" t="inlineStr">
        <is>
          <t>Revathy S</t>
        </is>
      </c>
      <c r="B956" s="9" t="inlineStr">
        <is>
          <t>919600964869</t>
        </is>
      </c>
      <c r="C956" s="9" t="n"/>
      <c r="D956" s="9" t="n"/>
      <c r="E956" s="9" t="inlineStr">
        <is>
          <t>Tamil Nadu, India</t>
        </is>
      </c>
      <c r="F956" s="9">
        <f>IFERROR(LOOKUP(2,1/('Weekly Tracker'!$E$2:$E$766=$A956)/('Weekly Tracker'!$F$2:$F$766&lt;&gt;""),'Weekly Tracker'!$F$2:$F$766),"")</f>
        <v/>
      </c>
      <c r="G956" s="16">
        <f>IF(F956&lt;&gt;"",LOOKUP(2,1/('Weekly Tracker'!$E$2:$E$766=$A956)/('Weekly Tracker'!$F$2:$F$766&lt;&gt;""),'Weekly Tracker'!$G$2:$G$766),"")</f>
        <v/>
      </c>
      <c r="H956" s="9">
        <f>IFERROR(LOOKUP(2,1/('Weekly Tracker'!$E$2:$E$766=$A956)/('Weekly Tracker'!$H$2:$H$766&lt;&gt;""),'Weekly Tracker'!$H$2:$H$766),"")</f>
        <v/>
      </c>
      <c r="I956" s="16">
        <f>IF(H956&lt;&gt;"",LOOKUP(2,1/('Weekly Tracker'!$E$2:$E$766=$A956)/('Weekly Tracker'!$H$2:$H$766&lt;&gt;""),'Weekly Tracker'!$I$2:$I$766),"")</f>
        <v/>
      </c>
      <c r="J956" s="9">
        <f>IFERROR(LOOKUP(2,1/('Weekly Tracker'!$E$2:$E$766=$A956)/('Weekly Tracker'!$J$2:$J$766&lt;&gt;""),'Weekly Tracker'!$J$2:$J$766),"")</f>
        <v/>
      </c>
      <c r="K956" s="9">
        <f>IFERROR(LOOKUP(2,1/('Weekly Tracker'!$E$2:$E$766=$A956)/('Weekly Tracker'!$N$2:$N$766&lt;&gt;""),'Weekly Tracker'!$N$2:$N$766),"")</f>
        <v/>
      </c>
      <c r="L956" s="9">
        <f>IFERROR(LOOKUP(2,1/('Weekly Tracker'!$E$2:$E$766=$A956)/('Weekly Tracker'!$O$2:$O$766&lt;&gt;""),'Weekly Tracker'!$O$2:$O$766),"")</f>
        <v/>
      </c>
    </row>
    <row r="957">
      <c r="A957" s="9" t="inlineStr">
        <is>
          <t>Praveen Elwin Junior</t>
        </is>
      </c>
      <c r="B957" s="9" t="inlineStr">
        <is>
          <t>919789239943</t>
        </is>
      </c>
      <c r="C957" s="9" t="n"/>
      <c r="D957" s="9" t="n"/>
      <c r="E957" s="9" t="n"/>
      <c r="F957" s="9">
        <f>IFERROR(LOOKUP(2,1/('Weekly Tracker'!$E$2:$E$766=$A957)/('Weekly Tracker'!$F$2:$F$766&lt;&gt;""),'Weekly Tracker'!$F$2:$F$766),"")</f>
        <v/>
      </c>
      <c r="G957" s="16">
        <f>IF(F957&lt;&gt;"",LOOKUP(2,1/('Weekly Tracker'!$E$2:$E$766=$A957)/('Weekly Tracker'!$F$2:$F$766&lt;&gt;""),'Weekly Tracker'!$G$2:$G$766),"")</f>
        <v/>
      </c>
      <c r="H957" s="9">
        <f>IFERROR(LOOKUP(2,1/('Weekly Tracker'!$E$2:$E$766=$A957)/('Weekly Tracker'!$H$2:$H$766&lt;&gt;""),'Weekly Tracker'!$H$2:$H$766),"")</f>
        <v/>
      </c>
      <c r="I957" s="16">
        <f>IF(H957&lt;&gt;"",LOOKUP(2,1/('Weekly Tracker'!$E$2:$E$766=$A957)/('Weekly Tracker'!$H$2:$H$766&lt;&gt;""),'Weekly Tracker'!$I$2:$I$766),"")</f>
        <v/>
      </c>
      <c r="J957" s="9">
        <f>IFERROR(LOOKUP(2,1/('Weekly Tracker'!$E$2:$E$766=$A957)/('Weekly Tracker'!$J$2:$J$766&lt;&gt;""),'Weekly Tracker'!$J$2:$J$766),"")</f>
        <v/>
      </c>
      <c r="K957" s="9">
        <f>IFERROR(LOOKUP(2,1/('Weekly Tracker'!$E$2:$E$766=$A957)/('Weekly Tracker'!$N$2:$N$766&lt;&gt;""),'Weekly Tracker'!$N$2:$N$766),"")</f>
        <v/>
      </c>
      <c r="L957" s="9">
        <f>IFERROR(LOOKUP(2,1/('Weekly Tracker'!$E$2:$E$766=$A957)/('Weekly Tracker'!$O$2:$O$766&lt;&gt;""),'Weekly Tracker'!$O$2:$O$766),"")</f>
        <v/>
      </c>
    </row>
    <row r="958">
      <c r="A958" s="9" t="inlineStr">
        <is>
          <t>Krishna QA Urja</t>
        </is>
      </c>
      <c r="B958" s="9" t="inlineStr">
        <is>
          <t>918438578750</t>
        </is>
      </c>
      <c r="C958" s="9" t="n"/>
      <c r="D958" s="9" t="n"/>
      <c r="E958" s="9" t="n"/>
      <c r="F958" s="9">
        <f>IFERROR(LOOKUP(2,1/('Weekly Tracker'!$E$2:$E$766=$A958)/('Weekly Tracker'!$F$2:$F$766&lt;&gt;""),'Weekly Tracker'!$F$2:$F$766),"")</f>
        <v/>
      </c>
      <c r="G958" s="16">
        <f>IF(F958&lt;&gt;"",LOOKUP(2,1/('Weekly Tracker'!$E$2:$E$766=$A958)/('Weekly Tracker'!$F$2:$F$766&lt;&gt;""),'Weekly Tracker'!$G$2:$G$766),"")</f>
        <v/>
      </c>
      <c r="H958" s="9">
        <f>IFERROR(LOOKUP(2,1/('Weekly Tracker'!$E$2:$E$766=$A958)/('Weekly Tracker'!$H$2:$H$766&lt;&gt;""),'Weekly Tracker'!$H$2:$H$766),"")</f>
        <v/>
      </c>
      <c r="I958" s="16">
        <f>IF(H958&lt;&gt;"",LOOKUP(2,1/('Weekly Tracker'!$E$2:$E$766=$A958)/('Weekly Tracker'!$H$2:$H$766&lt;&gt;""),'Weekly Tracker'!$I$2:$I$766),"")</f>
        <v/>
      </c>
      <c r="J958" s="9">
        <f>IFERROR(LOOKUP(2,1/('Weekly Tracker'!$E$2:$E$766=$A958)/('Weekly Tracker'!$J$2:$J$766&lt;&gt;""),'Weekly Tracker'!$J$2:$J$766),"")</f>
        <v/>
      </c>
      <c r="K958" s="9">
        <f>IFERROR(LOOKUP(2,1/('Weekly Tracker'!$E$2:$E$766=$A958)/('Weekly Tracker'!$N$2:$N$766&lt;&gt;""),'Weekly Tracker'!$N$2:$N$766),"")</f>
        <v/>
      </c>
      <c r="L958" s="9">
        <f>IFERROR(LOOKUP(2,1/('Weekly Tracker'!$E$2:$E$766=$A958)/('Weekly Tracker'!$O$2:$O$766&lt;&gt;""),'Weekly Tracker'!$O$2:$O$766),"")</f>
        <v/>
      </c>
    </row>
    <row r="959">
      <c r="A959" s="9" t="inlineStr">
        <is>
          <t>Jein Junior</t>
        </is>
      </c>
      <c r="B959" s="9" t="inlineStr">
        <is>
          <t>917373360603</t>
        </is>
      </c>
      <c r="C959" s="9" t="n"/>
      <c r="D959" s="9" t="n"/>
      <c r="E959" s="9" t="n"/>
      <c r="F959" s="9">
        <f>IFERROR(LOOKUP(2,1/('Weekly Tracker'!$E$2:$E$766=$A959)/('Weekly Tracker'!$F$2:$F$766&lt;&gt;""),'Weekly Tracker'!$F$2:$F$766),"")</f>
        <v/>
      </c>
      <c r="G959" s="16">
        <f>IF(F959&lt;&gt;"",LOOKUP(2,1/('Weekly Tracker'!$E$2:$E$766=$A959)/('Weekly Tracker'!$F$2:$F$766&lt;&gt;""),'Weekly Tracker'!$G$2:$G$766),"")</f>
        <v/>
      </c>
      <c r="H959" s="9">
        <f>IFERROR(LOOKUP(2,1/('Weekly Tracker'!$E$2:$E$766=$A959)/('Weekly Tracker'!$H$2:$H$766&lt;&gt;""),'Weekly Tracker'!$H$2:$H$766),"")</f>
        <v/>
      </c>
      <c r="I959" s="16">
        <f>IF(H959&lt;&gt;"",LOOKUP(2,1/('Weekly Tracker'!$E$2:$E$766=$A959)/('Weekly Tracker'!$H$2:$H$766&lt;&gt;""),'Weekly Tracker'!$I$2:$I$766),"")</f>
        <v/>
      </c>
      <c r="J959" s="9">
        <f>IFERROR(LOOKUP(2,1/('Weekly Tracker'!$E$2:$E$766=$A959)/('Weekly Tracker'!$J$2:$J$766&lt;&gt;""),'Weekly Tracker'!$J$2:$J$766),"")</f>
        <v/>
      </c>
      <c r="K959" s="9">
        <f>IFERROR(LOOKUP(2,1/('Weekly Tracker'!$E$2:$E$766=$A959)/('Weekly Tracker'!$N$2:$N$766&lt;&gt;""),'Weekly Tracker'!$N$2:$N$766),"")</f>
        <v/>
      </c>
      <c r="L959" s="9">
        <f>IFERROR(LOOKUP(2,1/('Weekly Tracker'!$E$2:$E$766=$A959)/('Weekly Tracker'!$O$2:$O$766&lt;&gt;""),'Weekly Tracker'!$O$2:$O$766),"")</f>
        <v/>
      </c>
    </row>
    <row r="960">
      <c r="A960" s="9" t="inlineStr">
        <is>
          <t>Kumaran Sank scl</t>
        </is>
      </c>
      <c r="B960" s="9" t="inlineStr">
        <is>
          <t>917540065373</t>
        </is>
      </c>
      <c r="C960" s="9" t="n"/>
      <c r="D960" s="9" t="n"/>
      <c r="E960" s="9" t="n"/>
      <c r="F960" s="9">
        <f>IFERROR(LOOKUP(2,1/('Weekly Tracker'!$E$2:$E$766=$A960)/('Weekly Tracker'!$F$2:$F$766&lt;&gt;""),'Weekly Tracker'!$F$2:$F$766),"")</f>
        <v/>
      </c>
      <c r="G960" s="16">
        <f>IF(F960&lt;&gt;"",LOOKUP(2,1/('Weekly Tracker'!$E$2:$E$766=$A960)/('Weekly Tracker'!$F$2:$F$766&lt;&gt;""),'Weekly Tracker'!$G$2:$G$766),"")</f>
        <v/>
      </c>
      <c r="H960" s="9">
        <f>IFERROR(LOOKUP(2,1/('Weekly Tracker'!$E$2:$E$766=$A960)/('Weekly Tracker'!$H$2:$H$766&lt;&gt;""),'Weekly Tracker'!$H$2:$H$766),"")</f>
        <v/>
      </c>
      <c r="I960" s="16">
        <f>IF(H960&lt;&gt;"",LOOKUP(2,1/('Weekly Tracker'!$E$2:$E$766=$A960)/('Weekly Tracker'!$H$2:$H$766&lt;&gt;""),'Weekly Tracker'!$I$2:$I$766),"")</f>
        <v/>
      </c>
      <c r="J960" s="9">
        <f>IFERROR(LOOKUP(2,1/('Weekly Tracker'!$E$2:$E$766=$A960)/('Weekly Tracker'!$J$2:$J$766&lt;&gt;""),'Weekly Tracker'!$J$2:$J$766),"")</f>
        <v/>
      </c>
      <c r="K960" s="9">
        <f>IFERROR(LOOKUP(2,1/('Weekly Tracker'!$E$2:$E$766=$A960)/('Weekly Tracker'!$N$2:$N$766&lt;&gt;""),'Weekly Tracker'!$N$2:$N$766),"")</f>
        <v/>
      </c>
      <c r="L960" s="9">
        <f>IFERROR(LOOKUP(2,1/('Weekly Tracker'!$E$2:$E$766=$A960)/('Weekly Tracker'!$O$2:$O$766&lt;&gt;""),'Weekly Tracker'!$O$2:$O$766),"")</f>
        <v/>
      </c>
    </row>
    <row r="961">
      <c r="A961" s="9" t="inlineStr">
        <is>
          <t>Venkat Ramanan Grp Ucen</t>
        </is>
      </c>
      <c r="B961" s="9" t="inlineStr">
        <is>
          <t>918122857880</t>
        </is>
      </c>
      <c r="C961" s="9" t="n"/>
      <c r="D961" s="9" t="n"/>
      <c r="E961" s="9" t="n"/>
      <c r="F961" s="9">
        <f>IFERROR(LOOKUP(2,1/('Weekly Tracker'!$E$2:$E$766=$A961)/('Weekly Tracker'!$F$2:$F$766&lt;&gt;""),'Weekly Tracker'!$F$2:$F$766),"")</f>
        <v/>
      </c>
      <c r="G961" s="16">
        <f>IF(F961&lt;&gt;"",LOOKUP(2,1/('Weekly Tracker'!$E$2:$E$766=$A961)/('Weekly Tracker'!$F$2:$F$766&lt;&gt;""),'Weekly Tracker'!$G$2:$G$766),"")</f>
        <v/>
      </c>
      <c r="H961" s="9">
        <f>IFERROR(LOOKUP(2,1/('Weekly Tracker'!$E$2:$E$766=$A961)/('Weekly Tracker'!$H$2:$H$766&lt;&gt;""),'Weekly Tracker'!$H$2:$H$766),"")</f>
        <v/>
      </c>
      <c r="I961" s="16">
        <f>IF(H961&lt;&gt;"",LOOKUP(2,1/('Weekly Tracker'!$E$2:$E$766=$A961)/('Weekly Tracker'!$H$2:$H$766&lt;&gt;""),'Weekly Tracker'!$I$2:$I$766),"")</f>
        <v/>
      </c>
      <c r="J961" s="9">
        <f>IFERROR(LOOKUP(2,1/('Weekly Tracker'!$E$2:$E$766=$A961)/('Weekly Tracker'!$J$2:$J$766&lt;&gt;""),'Weekly Tracker'!$J$2:$J$766),"")</f>
        <v/>
      </c>
      <c r="K961" s="9">
        <f>IFERROR(LOOKUP(2,1/('Weekly Tracker'!$E$2:$E$766=$A961)/('Weekly Tracker'!$N$2:$N$766&lt;&gt;""),'Weekly Tracker'!$N$2:$N$766),"")</f>
        <v/>
      </c>
      <c r="L961" s="9">
        <f>IFERROR(LOOKUP(2,1/('Weekly Tracker'!$E$2:$E$766=$A961)/('Weekly Tracker'!$O$2:$O$766&lt;&gt;""),'Weekly Tracker'!$O$2:$O$766),"")</f>
        <v/>
      </c>
    </row>
    <row r="962">
      <c r="A962" s="9" t="inlineStr">
        <is>
          <t>Mayees Kumar Surya</t>
        </is>
      </c>
      <c r="B962" s="9" t="inlineStr">
        <is>
          <t>917305473078</t>
        </is>
      </c>
      <c r="C962" s="9" t="n"/>
      <c r="D962" s="9" t="n"/>
      <c r="E962" s="9" t="n"/>
      <c r="F962" s="9">
        <f>IFERROR(LOOKUP(2,1/('Weekly Tracker'!$E$2:$E$766=$A962)/('Weekly Tracker'!$F$2:$F$766&lt;&gt;""),'Weekly Tracker'!$F$2:$F$766),"")</f>
        <v/>
      </c>
      <c r="G962" s="16">
        <f>IF(F962&lt;&gt;"",LOOKUP(2,1/('Weekly Tracker'!$E$2:$E$766=$A962)/('Weekly Tracker'!$F$2:$F$766&lt;&gt;""),'Weekly Tracker'!$G$2:$G$766),"")</f>
        <v/>
      </c>
      <c r="H962" s="9">
        <f>IFERROR(LOOKUP(2,1/('Weekly Tracker'!$E$2:$E$766=$A962)/('Weekly Tracker'!$H$2:$H$766&lt;&gt;""),'Weekly Tracker'!$H$2:$H$766),"")</f>
        <v/>
      </c>
      <c r="I962" s="16">
        <f>IF(H962&lt;&gt;"",LOOKUP(2,1/('Weekly Tracker'!$E$2:$E$766=$A962)/('Weekly Tracker'!$H$2:$H$766&lt;&gt;""),'Weekly Tracker'!$I$2:$I$766),"")</f>
        <v/>
      </c>
      <c r="J962" s="9">
        <f>IFERROR(LOOKUP(2,1/('Weekly Tracker'!$E$2:$E$766=$A962)/('Weekly Tracker'!$J$2:$J$766&lt;&gt;""),'Weekly Tracker'!$J$2:$J$766),"")</f>
        <v/>
      </c>
      <c r="K962" s="9">
        <f>IFERROR(LOOKUP(2,1/('Weekly Tracker'!$E$2:$E$766=$A962)/('Weekly Tracker'!$N$2:$N$766&lt;&gt;""),'Weekly Tracker'!$N$2:$N$766),"")</f>
        <v/>
      </c>
      <c r="L962" s="9">
        <f>IFERROR(LOOKUP(2,1/('Weekly Tracker'!$E$2:$E$766=$A962)/('Weekly Tracker'!$O$2:$O$766&lt;&gt;""),'Weekly Tracker'!$O$2:$O$766),"")</f>
        <v/>
      </c>
    </row>
    <row r="963">
      <c r="A963" s="9" t="inlineStr">
        <is>
          <t>Nishanth Reju FB</t>
        </is>
      </c>
      <c r="B963" s="9" t="inlineStr">
        <is>
          <t>7373221252</t>
        </is>
      </c>
      <c r="C963" s="9" t="n"/>
      <c r="D963" s="9" t="n"/>
      <c r="E963" s="9" t="n"/>
      <c r="F963" s="9">
        <f>IFERROR(LOOKUP(2,1/('Weekly Tracker'!$E$2:$E$766=$A963)/('Weekly Tracker'!$F$2:$F$766&lt;&gt;""),'Weekly Tracker'!$F$2:$F$766),"")</f>
        <v/>
      </c>
      <c r="G963" s="16">
        <f>IF(F963&lt;&gt;"",LOOKUP(2,1/('Weekly Tracker'!$E$2:$E$766=$A963)/('Weekly Tracker'!$F$2:$F$766&lt;&gt;""),'Weekly Tracker'!$G$2:$G$766),"")</f>
        <v/>
      </c>
      <c r="H963" s="9">
        <f>IFERROR(LOOKUP(2,1/('Weekly Tracker'!$E$2:$E$766=$A963)/('Weekly Tracker'!$H$2:$H$766&lt;&gt;""),'Weekly Tracker'!$H$2:$H$766),"")</f>
        <v/>
      </c>
      <c r="I963" s="16">
        <f>IF(H963&lt;&gt;"",LOOKUP(2,1/('Weekly Tracker'!$E$2:$E$766=$A963)/('Weekly Tracker'!$H$2:$H$766&lt;&gt;""),'Weekly Tracker'!$I$2:$I$766),"")</f>
        <v/>
      </c>
      <c r="J963" s="9">
        <f>IFERROR(LOOKUP(2,1/('Weekly Tracker'!$E$2:$E$766=$A963)/('Weekly Tracker'!$J$2:$J$766&lt;&gt;""),'Weekly Tracker'!$J$2:$J$766),"")</f>
        <v/>
      </c>
      <c r="K963" s="9">
        <f>IFERROR(LOOKUP(2,1/('Weekly Tracker'!$E$2:$E$766=$A963)/('Weekly Tracker'!$N$2:$N$766&lt;&gt;""),'Weekly Tracker'!$N$2:$N$766),"")</f>
        <v/>
      </c>
      <c r="L963" s="9">
        <f>IFERROR(LOOKUP(2,1/('Weekly Tracker'!$E$2:$E$766=$A963)/('Weekly Tracker'!$O$2:$O$766&lt;&gt;""),'Weekly Tracker'!$O$2:$O$766),"")</f>
        <v/>
      </c>
    </row>
    <row r="964">
      <c r="A964" s="9" t="inlineStr">
        <is>
          <t>Arun Lakshmi Kanth Scl</t>
        </is>
      </c>
      <c r="B964" s="9" t="inlineStr">
        <is>
          <t>919688778726</t>
        </is>
      </c>
      <c r="C964" s="9" t="n"/>
      <c r="D964" s="9" t="n"/>
      <c r="E964" s="9" t="n"/>
      <c r="F964" s="9">
        <f>IFERROR(LOOKUP(2,1/('Weekly Tracker'!$E$2:$E$766=$A964)/('Weekly Tracker'!$F$2:$F$766&lt;&gt;""),'Weekly Tracker'!$F$2:$F$766),"")</f>
        <v/>
      </c>
      <c r="G964" s="16">
        <f>IF(F964&lt;&gt;"",LOOKUP(2,1/('Weekly Tracker'!$E$2:$E$766=$A964)/('Weekly Tracker'!$F$2:$F$766&lt;&gt;""),'Weekly Tracker'!$G$2:$G$766),"")</f>
        <v/>
      </c>
      <c r="H964" s="9">
        <f>IFERROR(LOOKUP(2,1/('Weekly Tracker'!$E$2:$E$766=$A964)/('Weekly Tracker'!$H$2:$H$766&lt;&gt;""),'Weekly Tracker'!$H$2:$H$766),"")</f>
        <v/>
      </c>
      <c r="I964" s="16">
        <f>IF(H964&lt;&gt;"",LOOKUP(2,1/('Weekly Tracker'!$E$2:$E$766=$A964)/('Weekly Tracker'!$H$2:$H$766&lt;&gt;""),'Weekly Tracker'!$I$2:$I$766),"")</f>
        <v/>
      </c>
      <c r="J964" s="9">
        <f>IFERROR(LOOKUP(2,1/('Weekly Tracker'!$E$2:$E$766=$A964)/('Weekly Tracker'!$J$2:$J$766&lt;&gt;""),'Weekly Tracker'!$J$2:$J$766),"")</f>
        <v/>
      </c>
      <c r="K964" s="9">
        <f>IFERROR(LOOKUP(2,1/('Weekly Tracker'!$E$2:$E$766=$A964)/('Weekly Tracker'!$N$2:$N$766&lt;&gt;""),'Weekly Tracker'!$N$2:$N$766),"")</f>
        <v/>
      </c>
      <c r="L964" s="9">
        <f>IFERROR(LOOKUP(2,1/('Weekly Tracker'!$E$2:$E$766=$A964)/('Weekly Tracker'!$O$2:$O$766&lt;&gt;""),'Weekly Tracker'!$O$2:$O$766),"")</f>
        <v/>
      </c>
    </row>
    <row r="965">
      <c r="A965" s="9" t="inlineStr">
        <is>
          <t>MuniRaj Scl</t>
        </is>
      </c>
      <c r="B965" s="9" t="inlineStr">
        <is>
          <t>8015881560</t>
        </is>
      </c>
      <c r="C965" s="9" t="n"/>
      <c r="D965" s="9" t="n"/>
      <c r="E965" s="9" t="n"/>
      <c r="F965" s="9">
        <f>IFERROR(LOOKUP(2,1/('Weekly Tracker'!$E$2:$E$766=$A965)/('Weekly Tracker'!$F$2:$F$766&lt;&gt;""),'Weekly Tracker'!$F$2:$F$766),"")</f>
        <v/>
      </c>
      <c r="G965" s="16">
        <f>IF(F965&lt;&gt;"",LOOKUP(2,1/('Weekly Tracker'!$E$2:$E$766=$A965)/('Weekly Tracker'!$F$2:$F$766&lt;&gt;""),'Weekly Tracker'!$G$2:$G$766),"")</f>
        <v/>
      </c>
      <c r="H965" s="9">
        <f>IFERROR(LOOKUP(2,1/('Weekly Tracker'!$E$2:$E$766=$A965)/('Weekly Tracker'!$H$2:$H$766&lt;&gt;""),'Weekly Tracker'!$H$2:$H$766),"")</f>
        <v/>
      </c>
      <c r="I965" s="16">
        <f>IF(H965&lt;&gt;"",LOOKUP(2,1/('Weekly Tracker'!$E$2:$E$766=$A965)/('Weekly Tracker'!$H$2:$H$766&lt;&gt;""),'Weekly Tracker'!$I$2:$I$766),"")</f>
        <v/>
      </c>
      <c r="J965" s="9">
        <f>IFERROR(LOOKUP(2,1/('Weekly Tracker'!$E$2:$E$766=$A965)/('Weekly Tracker'!$J$2:$J$766&lt;&gt;""),'Weekly Tracker'!$J$2:$J$766),"")</f>
        <v/>
      </c>
      <c r="K965" s="9">
        <f>IFERROR(LOOKUP(2,1/('Weekly Tracker'!$E$2:$E$766=$A965)/('Weekly Tracker'!$N$2:$N$766&lt;&gt;""),'Weekly Tracker'!$N$2:$N$766),"")</f>
        <v/>
      </c>
      <c r="L965" s="9">
        <f>IFERROR(LOOKUP(2,1/('Weekly Tracker'!$E$2:$E$766=$A965)/('Weekly Tracker'!$O$2:$O$766&lt;&gt;""),'Weekly Tracker'!$O$2:$O$766),"")</f>
        <v/>
      </c>
    </row>
    <row r="966">
      <c r="A966" s="9" t="inlineStr">
        <is>
          <t>Vignesh M Ucen Grp</t>
        </is>
      </c>
      <c r="B966" s="9" t="inlineStr">
        <is>
          <t>917845332099</t>
        </is>
      </c>
      <c r="C966" s="9" t="n"/>
      <c r="D966" s="9" t="n"/>
      <c r="E966" s="9" t="n"/>
      <c r="F966" s="9">
        <f>IFERROR(LOOKUP(2,1/('Weekly Tracker'!$E$2:$E$766=$A966)/('Weekly Tracker'!$F$2:$F$766&lt;&gt;""),'Weekly Tracker'!$F$2:$F$766),"")</f>
        <v/>
      </c>
      <c r="G966" s="16">
        <f>IF(F966&lt;&gt;"",LOOKUP(2,1/('Weekly Tracker'!$E$2:$E$766=$A966)/('Weekly Tracker'!$F$2:$F$766&lt;&gt;""),'Weekly Tracker'!$G$2:$G$766),"")</f>
        <v/>
      </c>
      <c r="H966" s="9">
        <f>IFERROR(LOOKUP(2,1/('Weekly Tracker'!$E$2:$E$766=$A966)/('Weekly Tracker'!$H$2:$H$766&lt;&gt;""),'Weekly Tracker'!$H$2:$H$766),"")</f>
        <v/>
      </c>
      <c r="I966" s="16">
        <f>IF(H966&lt;&gt;"",LOOKUP(2,1/('Weekly Tracker'!$E$2:$E$766=$A966)/('Weekly Tracker'!$H$2:$H$766&lt;&gt;""),'Weekly Tracker'!$I$2:$I$766),"")</f>
        <v/>
      </c>
      <c r="J966" s="9">
        <f>IFERROR(LOOKUP(2,1/('Weekly Tracker'!$E$2:$E$766=$A966)/('Weekly Tracker'!$J$2:$J$766&lt;&gt;""),'Weekly Tracker'!$J$2:$J$766),"")</f>
        <v/>
      </c>
      <c r="K966" s="9">
        <f>IFERROR(LOOKUP(2,1/('Weekly Tracker'!$E$2:$E$766=$A966)/('Weekly Tracker'!$N$2:$N$766&lt;&gt;""),'Weekly Tracker'!$N$2:$N$766),"")</f>
        <v/>
      </c>
      <c r="L966" s="9">
        <f>IFERROR(LOOKUP(2,1/('Weekly Tracker'!$E$2:$E$766=$A966)/('Weekly Tracker'!$O$2:$O$766&lt;&gt;""),'Weekly Tracker'!$O$2:$O$766),"")</f>
        <v/>
      </c>
    </row>
    <row r="967">
      <c r="A967" s="9" t="inlineStr">
        <is>
          <t>Jack Jeeva Urja</t>
        </is>
      </c>
      <c r="B967" s="9" t="inlineStr">
        <is>
          <t>9042962996</t>
        </is>
      </c>
      <c r="C967" s="9" t="n"/>
      <c r="D967" s="9" t="n"/>
      <c r="E967" s="9" t="n"/>
      <c r="F967" s="9">
        <f>IFERROR(LOOKUP(2,1/('Weekly Tracker'!$E$2:$E$766=$A967)/('Weekly Tracker'!$F$2:$F$766&lt;&gt;""),'Weekly Tracker'!$F$2:$F$766),"")</f>
        <v/>
      </c>
      <c r="G967" s="16">
        <f>IF(F967&lt;&gt;"",LOOKUP(2,1/('Weekly Tracker'!$E$2:$E$766=$A967)/('Weekly Tracker'!$F$2:$F$766&lt;&gt;""),'Weekly Tracker'!$G$2:$G$766),"")</f>
        <v/>
      </c>
      <c r="H967" s="9">
        <f>IFERROR(LOOKUP(2,1/('Weekly Tracker'!$E$2:$E$766=$A967)/('Weekly Tracker'!$H$2:$H$766&lt;&gt;""),'Weekly Tracker'!$H$2:$H$766),"")</f>
        <v/>
      </c>
      <c r="I967" s="16">
        <f>IF(H967&lt;&gt;"",LOOKUP(2,1/('Weekly Tracker'!$E$2:$E$766=$A967)/('Weekly Tracker'!$H$2:$H$766&lt;&gt;""),'Weekly Tracker'!$I$2:$I$766),"")</f>
        <v/>
      </c>
      <c r="J967" s="9">
        <f>IFERROR(LOOKUP(2,1/('Weekly Tracker'!$E$2:$E$766=$A967)/('Weekly Tracker'!$J$2:$J$766&lt;&gt;""),'Weekly Tracker'!$J$2:$J$766),"")</f>
        <v/>
      </c>
      <c r="K967" s="9">
        <f>IFERROR(LOOKUP(2,1/('Weekly Tracker'!$E$2:$E$766=$A967)/('Weekly Tracker'!$N$2:$N$766&lt;&gt;""),'Weekly Tracker'!$N$2:$N$766),"")</f>
        <v/>
      </c>
      <c r="L967" s="9">
        <f>IFERROR(LOOKUP(2,1/('Weekly Tracker'!$E$2:$E$766=$A967)/('Weekly Tracker'!$O$2:$O$766&lt;&gt;""),'Weekly Tracker'!$O$2:$O$766),"")</f>
        <v/>
      </c>
    </row>
    <row r="968">
      <c r="A968" s="9" t="inlineStr">
        <is>
          <t>Podili Penchalakumar Infy</t>
        </is>
      </c>
      <c r="B968" s="9" t="inlineStr">
        <is>
          <t>9347173141</t>
        </is>
      </c>
      <c r="C968" s="9" t="n"/>
      <c r="D968" s="9" t="n"/>
      <c r="E968" s="9" t="n"/>
      <c r="F968" s="9">
        <f>IFERROR(LOOKUP(2,1/('Weekly Tracker'!$E$2:$E$766=$A968)/('Weekly Tracker'!$F$2:$F$766&lt;&gt;""),'Weekly Tracker'!$F$2:$F$766),"")</f>
        <v/>
      </c>
      <c r="G968" s="16">
        <f>IF(F968&lt;&gt;"",LOOKUP(2,1/('Weekly Tracker'!$E$2:$E$766=$A968)/('Weekly Tracker'!$F$2:$F$766&lt;&gt;""),'Weekly Tracker'!$G$2:$G$766),"")</f>
        <v/>
      </c>
      <c r="H968" s="9">
        <f>IFERROR(LOOKUP(2,1/('Weekly Tracker'!$E$2:$E$766=$A968)/('Weekly Tracker'!$H$2:$H$766&lt;&gt;""),'Weekly Tracker'!$H$2:$H$766),"")</f>
        <v/>
      </c>
      <c r="I968" s="16">
        <f>IF(H968&lt;&gt;"",LOOKUP(2,1/('Weekly Tracker'!$E$2:$E$766=$A968)/('Weekly Tracker'!$H$2:$H$766&lt;&gt;""),'Weekly Tracker'!$I$2:$I$766),"")</f>
        <v/>
      </c>
      <c r="J968" s="9">
        <f>IFERROR(LOOKUP(2,1/('Weekly Tracker'!$E$2:$E$766=$A968)/('Weekly Tracker'!$J$2:$J$766&lt;&gt;""),'Weekly Tracker'!$J$2:$J$766),"")</f>
        <v/>
      </c>
      <c r="K968" s="9">
        <f>IFERROR(LOOKUP(2,1/('Weekly Tracker'!$E$2:$E$766=$A968)/('Weekly Tracker'!$N$2:$N$766&lt;&gt;""),'Weekly Tracker'!$N$2:$N$766),"")</f>
        <v/>
      </c>
      <c r="L968" s="9">
        <f>IFERROR(LOOKUP(2,1/('Weekly Tracker'!$E$2:$E$766=$A968)/('Weekly Tracker'!$O$2:$O$766&lt;&gt;""),'Weekly Tracker'!$O$2:$O$766),"")</f>
        <v/>
      </c>
    </row>
    <row r="969">
      <c r="A969" s="9" t="inlineStr">
        <is>
          <t>Durai Murugan FB</t>
        </is>
      </c>
      <c r="B969" s="9" t="inlineStr">
        <is>
          <t>919003491228</t>
        </is>
      </c>
      <c r="C969" s="9" t="n"/>
      <c r="D969" s="9" t="n"/>
      <c r="E969" s="9" t="n"/>
      <c r="F969" s="9">
        <f>IFERROR(LOOKUP(2,1/('Weekly Tracker'!$E$2:$E$766=$A969)/('Weekly Tracker'!$F$2:$F$766&lt;&gt;""),'Weekly Tracker'!$F$2:$F$766),"")</f>
        <v/>
      </c>
      <c r="G969" s="16">
        <f>IF(F969&lt;&gt;"",LOOKUP(2,1/('Weekly Tracker'!$E$2:$E$766=$A969)/('Weekly Tracker'!$F$2:$F$766&lt;&gt;""),'Weekly Tracker'!$G$2:$G$766),"")</f>
        <v/>
      </c>
      <c r="H969" s="9">
        <f>IFERROR(LOOKUP(2,1/('Weekly Tracker'!$E$2:$E$766=$A969)/('Weekly Tracker'!$H$2:$H$766&lt;&gt;""),'Weekly Tracker'!$H$2:$H$766),"")</f>
        <v/>
      </c>
      <c r="I969" s="16">
        <f>IF(H969&lt;&gt;"",LOOKUP(2,1/('Weekly Tracker'!$E$2:$E$766=$A969)/('Weekly Tracker'!$H$2:$H$766&lt;&gt;""),'Weekly Tracker'!$I$2:$I$766),"")</f>
        <v/>
      </c>
      <c r="J969" s="9">
        <f>IFERROR(LOOKUP(2,1/('Weekly Tracker'!$E$2:$E$766=$A969)/('Weekly Tracker'!$J$2:$J$766&lt;&gt;""),'Weekly Tracker'!$J$2:$J$766),"")</f>
        <v/>
      </c>
      <c r="K969" s="9">
        <f>IFERROR(LOOKUP(2,1/('Weekly Tracker'!$E$2:$E$766=$A969)/('Weekly Tracker'!$N$2:$N$766&lt;&gt;""),'Weekly Tracker'!$N$2:$N$766),"")</f>
        <v/>
      </c>
      <c r="L969" s="9">
        <f>IFERROR(LOOKUP(2,1/('Weekly Tracker'!$E$2:$E$766=$A969)/('Weekly Tracker'!$O$2:$O$766&lt;&gt;""),'Weekly Tracker'!$O$2:$O$766),"")</f>
        <v/>
      </c>
    </row>
    <row r="970">
      <c r="A970" s="9" t="inlineStr">
        <is>
          <t>Kirubavathi Urja</t>
        </is>
      </c>
      <c r="B970" s="9" t="inlineStr">
        <is>
          <t>917010445700</t>
        </is>
      </c>
      <c r="C970" s="9" t="n"/>
      <c r="D970" s="9" t="n"/>
      <c r="E970" s="9" t="n"/>
      <c r="F970" s="9">
        <f>IFERROR(LOOKUP(2,1/('Weekly Tracker'!$E$2:$E$766=$A970)/('Weekly Tracker'!$F$2:$F$766&lt;&gt;""),'Weekly Tracker'!$F$2:$F$766),"")</f>
        <v/>
      </c>
      <c r="G970" s="16">
        <f>IF(F970&lt;&gt;"",LOOKUP(2,1/('Weekly Tracker'!$E$2:$E$766=$A970)/('Weekly Tracker'!$F$2:$F$766&lt;&gt;""),'Weekly Tracker'!$G$2:$G$766),"")</f>
        <v/>
      </c>
      <c r="H970" s="9">
        <f>IFERROR(LOOKUP(2,1/('Weekly Tracker'!$E$2:$E$766=$A970)/('Weekly Tracker'!$H$2:$H$766&lt;&gt;""),'Weekly Tracker'!$H$2:$H$766),"")</f>
        <v/>
      </c>
      <c r="I970" s="16">
        <f>IF(H970&lt;&gt;"",LOOKUP(2,1/('Weekly Tracker'!$E$2:$E$766=$A970)/('Weekly Tracker'!$H$2:$H$766&lt;&gt;""),'Weekly Tracker'!$I$2:$I$766),"")</f>
        <v/>
      </c>
      <c r="J970" s="9">
        <f>IFERROR(LOOKUP(2,1/('Weekly Tracker'!$E$2:$E$766=$A970)/('Weekly Tracker'!$J$2:$J$766&lt;&gt;""),'Weekly Tracker'!$J$2:$J$766),"")</f>
        <v/>
      </c>
      <c r="K970" s="9">
        <f>IFERROR(LOOKUP(2,1/('Weekly Tracker'!$E$2:$E$766=$A970)/('Weekly Tracker'!$N$2:$N$766&lt;&gt;""),'Weekly Tracker'!$N$2:$N$766),"")</f>
        <v/>
      </c>
      <c r="L970" s="9">
        <f>IFERROR(LOOKUP(2,1/('Weekly Tracker'!$E$2:$E$766=$A970)/('Weekly Tracker'!$O$2:$O$766&lt;&gt;""),'Weekly Tracker'!$O$2:$O$766),"")</f>
        <v/>
      </c>
    </row>
    <row r="971">
      <c r="A971" s="9" t="inlineStr">
        <is>
          <t>Ayyappan Palani Urja</t>
        </is>
      </c>
      <c r="B971" s="9" t="inlineStr">
        <is>
          <t>9176036336</t>
        </is>
      </c>
      <c r="C971" s="9" t="n"/>
      <c r="D971" s="9" t="n"/>
      <c r="E971" s="9" t="n"/>
      <c r="F971" s="9">
        <f>IFERROR(LOOKUP(2,1/('Weekly Tracker'!$E$2:$E$766=$A971)/('Weekly Tracker'!$F$2:$F$766&lt;&gt;""),'Weekly Tracker'!$F$2:$F$766),"")</f>
        <v/>
      </c>
      <c r="G971" s="16">
        <f>IF(F971&lt;&gt;"",LOOKUP(2,1/('Weekly Tracker'!$E$2:$E$766=$A971)/('Weekly Tracker'!$F$2:$F$766&lt;&gt;""),'Weekly Tracker'!$G$2:$G$766),"")</f>
        <v/>
      </c>
      <c r="H971" s="9">
        <f>IFERROR(LOOKUP(2,1/('Weekly Tracker'!$E$2:$E$766=$A971)/('Weekly Tracker'!$H$2:$H$766&lt;&gt;""),'Weekly Tracker'!$H$2:$H$766),"")</f>
        <v/>
      </c>
      <c r="I971" s="16">
        <f>IF(H971&lt;&gt;"",LOOKUP(2,1/('Weekly Tracker'!$E$2:$E$766=$A971)/('Weekly Tracker'!$H$2:$H$766&lt;&gt;""),'Weekly Tracker'!$I$2:$I$766),"")</f>
        <v/>
      </c>
      <c r="J971" s="9">
        <f>IFERROR(LOOKUP(2,1/('Weekly Tracker'!$E$2:$E$766=$A971)/('Weekly Tracker'!$J$2:$J$766&lt;&gt;""),'Weekly Tracker'!$J$2:$J$766),"")</f>
        <v/>
      </c>
      <c r="K971" s="9">
        <f>IFERROR(LOOKUP(2,1/('Weekly Tracker'!$E$2:$E$766=$A971)/('Weekly Tracker'!$N$2:$N$766&lt;&gt;""),'Weekly Tracker'!$N$2:$N$766),"")</f>
        <v/>
      </c>
      <c r="L971" s="9">
        <f>IFERROR(LOOKUP(2,1/('Weekly Tracker'!$E$2:$E$766=$A971)/('Weekly Tracker'!$O$2:$O$766&lt;&gt;""),'Weekly Tracker'!$O$2:$O$766),"")</f>
        <v/>
      </c>
    </row>
    <row r="972">
      <c r="A972" s="9" t="inlineStr">
        <is>
          <t>Chinna Pandey FB</t>
        </is>
      </c>
      <c r="B972" s="9" t="inlineStr">
        <is>
          <t>917010753025, 919843808947</t>
        </is>
      </c>
      <c r="C972" s="9" t="n"/>
      <c r="D972" s="9" t="n"/>
      <c r="E972" s="9" t="n"/>
      <c r="F972" s="9">
        <f>IFERROR(LOOKUP(2,1/('Weekly Tracker'!$E$2:$E$766=$A972)/('Weekly Tracker'!$F$2:$F$766&lt;&gt;""),'Weekly Tracker'!$F$2:$F$766),"")</f>
        <v/>
      </c>
      <c r="G972" s="16">
        <f>IF(F972&lt;&gt;"",LOOKUP(2,1/('Weekly Tracker'!$E$2:$E$766=$A972)/('Weekly Tracker'!$F$2:$F$766&lt;&gt;""),'Weekly Tracker'!$G$2:$G$766),"")</f>
        <v/>
      </c>
      <c r="H972" s="9">
        <f>IFERROR(LOOKUP(2,1/('Weekly Tracker'!$E$2:$E$766=$A972)/('Weekly Tracker'!$H$2:$H$766&lt;&gt;""),'Weekly Tracker'!$H$2:$H$766),"")</f>
        <v/>
      </c>
      <c r="I972" s="16">
        <f>IF(H972&lt;&gt;"",LOOKUP(2,1/('Weekly Tracker'!$E$2:$E$766=$A972)/('Weekly Tracker'!$H$2:$H$766&lt;&gt;""),'Weekly Tracker'!$I$2:$I$766),"")</f>
        <v/>
      </c>
      <c r="J972" s="9">
        <f>IFERROR(LOOKUP(2,1/('Weekly Tracker'!$E$2:$E$766=$A972)/('Weekly Tracker'!$J$2:$J$766&lt;&gt;""),'Weekly Tracker'!$J$2:$J$766),"")</f>
        <v/>
      </c>
      <c r="K972" s="9">
        <f>IFERROR(LOOKUP(2,1/('Weekly Tracker'!$E$2:$E$766=$A972)/('Weekly Tracker'!$N$2:$N$766&lt;&gt;""),'Weekly Tracker'!$N$2:$N$766),"")</f>
        <v/>
      </c>
      <c r="L972" s="9">
        <f>IFERROR(LOOKUP(2,1/('Weekly Tracker'!$E$2:$E$766=$A972)/('Weekly Tracker'!$O$2:$O$766&lt;&gt;""),'Weekly Tracker'!$O$2:$O$766),"")</f>
        <v/>
      </c>
    </row>
    <row r="973">
      <c r="A973" s="9" t="inlineStr">
        <is>
          <t>Muthu Krishnan FB</t>
        </is>
      </c>
      <c r="B973" s="9" t="inlineStr">
        <is>
          <t>7305701117</t>
        </is>
      </c>
      <c r="C973" s="9" t="n"/>
      <c r="D973" s="9" t="n"/>
      <c r="E973" s="9" t="n"/>
      <c r="F973" s="9">
        <f>IFERROR(LOOKUP(2,1/('Weekly Tracker'!$E$2:$E$766=$A973)/('Weekly Tracker'!$F$2:$F$766&lt;&gt;""),'Weekly Tracker'!$F$2:$F$766),"")</f>
        <v/>
      </c>
      <c r="G973" s="16">
        <f>IF(F973&lt;&gt;"",LOOKUP(2,1/('Weekly Tracker'!$E$2:$E$766=$A973)/('Weekly Tracker'!$F$2:$F$766&lt;&gt;""),'Weekly Tracker'!$G$2:$G$766),"")</f>
        <v/>
      </c>
      <c r="H973" s="9">
        <f>IFERROR(LOOKUP(2,1/('Weekly Tracker'!$E$2:$E$766=$A973)/('Weekly Tracker'!$H$2:$H$766&lt;&gt;""),'Weekly Tracker'!$H$2:$H$766),"")</f>
        <v/>
      </c>
      <c r="I973" s="16">
        <f>IF(H973&lt;&gt;"",LOOKUP(2,1/('Weekly Tracker'!$E$2:$E$766=$A973)/('Weekly Tracker'!$H$2:$H$766&lt;&gt;""),'Weekly Tracker'!$I$2:$I$766),"")</f>
        <v/>
      </c>
      <c r="J973" s="9">
        <f>IFERROR(LOOKUP(2,1/('Weekly Tracker'!$E$2:$E$766=$A973)/('Weekly Tracker'!$J$2:$J$766&lt;&gt;""),'Weekly Tracker'!$J$2:$J$766),"")</f>
        <v/>
      </c>
      <c r="K973" s="9">
        <f>IFERROR(LOOKUP(2,1/('Weekly Tracker'!$E$2:$E$766=$A973)/('Weekly Tracker'!$N$2:$N$766&lt;&gt;""),'Weekly Tracker'!$N$2:$N$766),"")</f>
        <v/>
      </c>
      <c r="L973" s="9">
        <f>IFERROR(LOOKUP(2,1/('Weekly Tracker'!$E$2:$E$766=$A973)/('Weekly Tracker'!$O$2:$O$766&lt;&gt;""),'Weekly Tracker'!$O$2:$O$766),"")</f>
        <v/>
      </c>
    </row>
    <row r="974">
      <c r="A974" s="9" t="inlineStr">
        <is>
          <t>Yasha Yashasawi</t>
        </is>
      </c>
      <c r="B974" s="9" t="inlineStr">
        <is>
          <t>918294807465</t>
        </is>
      </c>
      <c r="C974" s="9" t="n"/>
      <c r="D974" s="9" t="n"/>
      <c r="E974" s="9" t="n"/>
      <c r="F974" s="9">
        <f>IFERROR(LOOKUP(2,1/('Weekly Tracker'!$E$2:$E$766=$A974)/('Weekly Tracker'!$F$2:$F$766&lt;&gt;""),'Weekly Tracker'!$F$2:$F$766),"")</f>
        <v/>
      </c>
      <c r="G974" s="16">
        <f>IF(F974&lt;&gt;"",LOOKUP(2,1/('Weekly Tracker'!$E$2:$E$766=$A974)/('Weekly Tracker'!$F$2:$F$766&lt;&gt;""),'Weekly Tracker'!$G$2:$G$766),"")</f>
        <v/>
      </c>
      <c r="H974" s="9">
        <f>IFERROR(LOOKUP(2,1/('Weekly Tracker'!$E$2:$E$766=$A974)/('Weekly Tracker'!$H$2:$H$766&lt;&gt;""),'Weekly Tracker'!$H$2:$H$766),"")</f>
        <v/>
      </c>
      <c r="I974" s="16">
        <f>IF(H974&lt;&gt;"",LOOKUP(2,1/('Weekly Tracker'!$E$2:$E$766=$A974)/('Weekly Tracker'!$H$2:$H$766&lt;&gt;""),'Weekly Tracker'!$I$2:$I$766),"")</f>
        <v/>
      </c>
      <c r="J974" s="9">
        <f>IFERROR(LOOKUP(2,1/('Weekly Tracker'!$E$2:$E$766=$A974)/('Weekly Tracker'!$J$2:$J$766&lt;&gt;""),'Weekly Tracker'!$J$2:$J$766),"")</f>
        <v/>
      </c>
      <c r="K974" s="9">
        <f>IFERROR(LOOKUP(2,1/('Weekly Tracker'!$E$2:$E$766=$A974)/('Weekly Tracker'!$N$2:$N$766&lt;&gt;""),'Weekly Tracker'!$N$2:$N$766),"")</f>
        <v/>
      </c>
      <c r="L974" s="9">
        <f>IFERROR(LOOKUP(2,1/('Weekly Tracker'!$E$2:$E$766=$A974)/('Weekly Tracker'!$O$2:$O$766&lt;&gt;""),'Weekly Tracker'!$O$2:$O$766),"")</f>
        <v/>
      </c>
    </row>
    <row r="975">
      <c r="A975" s="9" t="inlineStr">
        <is>
          <t>Karthick Raja Grp Ucen</t>
        </is>
      </c>
      <c r="B975" s="9" t="inlineStr">
        <is>
          <t>919789384396</t>
        </is>
      </c>
      <c r="C975" s="9" t="n"/>
      <c r="D975" s="9" t="n"/>
      <c r="E975" s="9" t="n"/>
      <c r="F975" s="9">
        <f>IFERROR(LOOKUP(2,1/('Weekly Tracker'!$E$2:$E$766=$A975)/('Weekly Tracker'!$F$2:$F$766&lt;&gt;""),'Weekly Tracker'!$F$2:$F$766),"")</f>
        <v/>
      </c>
      <c r="G975" s="16">
        <f>IF(F975&lt;&gt;"",LOOKUP(2,1/('Weekly Tracker'!$E$2:$E$766=$A975)/('Weekly Tracker'!$F$2:$F$766&lt;&gt;""),'Weekly Tracker'!$G$2:$G$766),"")</f>
        <v/>
      </c>
      <c r="H975" s="9">
        <f>IFERROR(LOOKUP(2,1/('Weekly Tracker'!$E$2:$E$766=$A975)/('Weekly Tracker'!$H$2:$H$766&lt;&gt;""),'Weekly Tracker'!$H$2:$H$766),"")</f>
        <v/>
      </c>
      <c r="I975" s="16">
        <f>IF(H975&lt;&gt;"",LOOKUP(2,1/('Weekly Tracker'!$E$2:$E$766=$A975)/('Weekly Tracker'!$H$2:$H$766&lt;&gt;""),'Weekly Tracker'!$I$2:$I$766),"")</f>
        <v/>
      </c>
      <c r="J975" s="9">
        <f>IFERROR(LOOKUP(2,1/('Weekly Tracker'!$E$2:$E$766=$A975)/('Weekly Tracker'!$J$2:$J$766&lt;&gt;""),'Weekly Tracker'!$J$2:$J$766),"")</f>
        <v/>
      </c>
      <c r="K975" s="9">
        <f>IFERROR(LOOKUP(2,1/('Weekly Tracker'!$E$2:$E$766=$A975)/('Weekly Tracker'!$N$2:$N$766&lt;&gt;""),'Weekly Tracker'!$N$2:$N$766),"")</f>
        <v/>
      </c>
      <c r="L975" s="9">
        <f>IFERROR(LOOKUP(2,1/('Weekly Tracker'!$E$2:$E$766=$A975)/('Weekly Tracker'!$O$2:$O$766&lt;&gt;""),'Weekly Tracker'!$O$2:$O$766),"")</f>
        <v/>
      </c>
    </row>
    <row r="976">
      <c r="A976" s="9" t="inlineStr">
        <is>
          <t>Pradeep Hari FB</t>
        </is>
      </c>
      <c r="B976" s="9" t="inlineStr">
        <is>
          <t>8148906040</t>
        </is>
      </c>
      <c r="C976" s="9" t="n"/>
      <c r="D976" s="9" t="n"/>
      <c r="E976" s="9" t="n"/>
      <c r="F976" s="9">
        <f>IFERROR(LOOKUP(2,1/('Weekly Tracker'!$E$2:$E$766=$A976)/('Weekly Tracker'!$F$2:$F$766&lt;&gt;""),'Weekly Tracker'!$F$2:$F$766),"")</f>
        <v/>
      </c>
      <c r="G976" s="16">
        <f>IF(F976&lt;&gt;"",LOOKUP(2,1/('Weekly Tracker'!$E$2:$E$766=$A976)/('Weekly Tracker'!$F$2:$F$766&lt;&gt;""),'Weekly Tracker'!$G$2:$G$766),"")</f>
        <v/>
      </c>
      <c r="H976" s="9">
        <f>IFERROR(LOOKUP(2,1/('Weekly Tracker'!$E$2:$E$766=$A976)/('Weekly Tracker'!$H$2:$H$766&lt;&gt;""),'Weekly Tracker'!$H$2:$H$766),"")</f>
        <v/>
      </c>
      <c r="I976" s="16">
        <f>IF(H976&lt;&gt;"",LOOKUP(2,1/('Weekly Tracker'!$E$2:$E$766=$A976)/('Weekly Tracker'!$H$2:$H$766&lt;&gt;""),'Weekly Tracker'!$I$2:$I$766),"")</f>
        <v/>
      </c>
      <c r="J976" s="9">
        <f>IFERROR(LOOKUP(2,1/('Weekly Tracker'!$E$2:$E$766=$A976)/('Weekly Tracker'!$J$2:$J$766&lt;&gt;""),'Weekly Tracker'!$J$2:$J$766),"")</f>
        <v/>
      </c>
      <c r="K976" s="9">
        <f>IFERROR(LOOKUP(2,1/('Weekly Tracker'!$E$2:$E$766=$A976)/('Weekly Tracker'!$N$2:$N$766&lt;&gt;""),'Weekly Tracker'!$N$2:$N$766),"")</f>
        <v/>
      </c>
      <c r="L976" s="9">
        <f>IFERROR(LOOKUP(2,1/('Weekly Tracker'!$E$2:$E$766=$A976)/('Weekly Tracker'!$O$2:$O$766&lt;&gt;""),'Weekly Tracker'!$O$2:$O$766),"")</f>
        <v/>
      </c>
    </row>
    <row r="977">
      <c r="A977" s="9" t="inlineStr">
        <is>
          <t>Poorani Urja</t>
        </is>
      </c>
      <c r="B977" s="9" t="inlineStr">
        <is>
          <t>9003231852</t>
        </is>
      </c>
      <c r="C977" s="9" t="n"/>
      <c r="D977" s="9" t="n"/>
      <c r="E977" s="9" t="n"/>
      <c r="F977" s="9">
        <f>IFERROR(LOOKUP(2,1/('Weekly Tracker'!$E$2:$E$766=$A977)/('Weekly Tracker'!$F$2:$F$766&lt;&gt;""),'Weekly Tracker'!$F$2:$F$766),"")</f>
        <v/>
      </c>
      <c r="G977" s="16">
        <f>IF(F977&lt;&gt;"",LOOKUP(2,1/('Weekly Tracker'!$E$2:$E$766=$A977)/('Weekly Tracker'!$F$2:$F$766&lt;&gt;""),'Weekly Tracker'!$G$2:$G$766),"")</f>
        <v/>
      </c>
      <c r="H977" s="9">
        <f>IFERROR(LOOKUP(2,1/('Weekly Tracker'!$E$2:$E$766=$A977)/('Weekly Tracker'!$H$2:$H$766&lt;&gt;""),'Weekly Tracker'!$H$2:$H$766),"")</f>
        <v/>
      </c>
      <c r="I977" s="16">
        <f>IF(H977&lt;&gt;"",LOOKUP(2,1/('Weekly Tracker'!$E$2:$E$766=$A977)/('Weekly Tracker'!$H$2:$H$766&lt;&gt;""),'Weekly Tracker'!$I$2:$I$766),"")</f>
        <v/>
      </c>
      <c r="J977" s="9">
        <f>IFERROR(LOOKUP(2,1/('Weekly Tracker'!$E$2:$E$766=$A977)/('Weekly Tracker'!$J$2:$J$766&lt;&gt;""),'Weekly Tracker'!$J$2:$J$766),"")</f>
        <v/>
      </c>
      <c r="K977" s="9">
        <f>IFERROR(LOOKUP(2,1/('Weekly Tracker'!$E$2:$E$766=$A977)/('Weekly Tracker'!$N$2:$N$766&lt;&gt;""),'Weekly Tracker'!$N$2:$N$766),"")</f>
        <v/>
      </c>
      <c r="L977" s="9">
        <f>IFERROR(LOOKUP(2,1/('Weekly Tracker'!$E$2:$E$766=$A977)/('Weekly Tracker'!$O$2:$O$766&lt;&gt;""),'Weekly Tracker'!$O$2:$O$766),"")</f>
        <v/>
      </c>
    </row>
    <row r="978">
      <c r="A978" s="9" t="inlineStr">
        <is>
          <t>Periyasamy Karuppiah FB</t>
        </is>
      </c>
      <c r="B978" s="9" t="inlineStr">
        <is>
          <t>9585809980</t>
        </is>
      </c>
      <c r="C978" s="9" t="n"/>
      <c r="D978" s="9" t="n"/>
      <c r="E978" s="9" t="n"/>
      <c r="F978" s="9">
        <f>IFERROR(LOOKUP(2,1/('Weekly Tracker'!$E$2:$E$766=$A978)/('Weekly Tracker'!$F$2:$F$766&lt;&gt;""),'Weekly Tracker'!$F$2:$F$766),"")</f>
        <v/>
      </c>
      <c r="G978" s="16">
        <f>IF(F978&lt;&gt;"",LOOKUP(2,1/('Weekly Tracker'!$E$2:$E$766=$A978)/('Weekly Tracker'!$F$2:$F$766&lt;&gt;""),'Weekly Tracker'!$G$2:$G$766),"")</f>
        <v/>
      </c>
      <c r="H978" s="9">
        <f>IFERROR(LOOKUP(2,1/('Weekly Tracker'!$E$2:$E$766=$A978)/('Weekly Tracker'!$H$2:$H$766&lt;&gt;""),'Weekly Tracker'!$H$2:$H$766),"")</f>
        <v/>
      </c>
      <c r="I978" s="16">
        <f>IF(H978&lt;&gt;"",LOOKUP(2,1/('Weekly Tracker'!$E$2:$E$766=$A978)/('Weekly Tracker'!$H$2:$H$766&lt;&gt;""),'Weekly Tracker'!$I$2:$I$766),"")</f>
        <v/>
      </c>
      <c r="J978" s="9">
        <f>IFERROR(LOOKUP(2,1/('Weekly Tracker'!$E$2:$E$766=$A978)/('Weekly Tracker'!$J$2:$J$766&lt;&gt;""),'Weekly Tracker'!$J$2:$J$766),"")</f>
        <v/>
      </c>
      <c r="K978" s="9">
        <f>IFERROR(LOOKUP(2,1/('Weekly Tracker'!$E$2:$E$766=$A978)/('Weekly Tracker'!$N$2:$N$766&lt;&gt;""),'Weekly Tracker'!$N$2:$N$766),"")</f>
        <v/>
      </c>
      <c r="L978" s="9">
        <f>IFERROR(LOOKUP(2,1/('Weekly Tracker'!$E$2:$E$766=$A978)/('Weekly Tracker'!$O$2:$O$766&lt;&gt;""),'Weekly Tracker'!$O$2:$O$766),"")</f>
        <v/>
      </c>
    </row>
    <row r="979">
      <c r="A979" s="9" t="inlineStr">
        <is>
          <t>Thesingh raja Act Connect</t>
        </is>
      </c>
      <c r="B979" s="9" t="inlineStr">
        <is>
          <t>919384807932</t>
        </is>
      </c>
      <c r="C979" s="9" t="n"/>
      <c r="D979" s="9" t="n"/>
      <c r="E979" s="9" t="n"/>
      <c r="F979" s="9">
        <f>IFERROR(LOOKUP(2,1/('Weekly Tracker'!$E$2:$E$766=$A979)/('Weekly Tracker'!$F$2:$F$766&lt;&gt;""),'Weekly Tracker'!$F$2:$F$766),"")</f>
        <v/>
      </c>
      <c r="G979" s="16">
        <f>IF(F979&lt;&gt;"",LOOKUP(2,1/('Weekly Tracker'!$E$2:$E$766=$A979)/('Weekly Tracker'!$F$2:$F$766&lt;&gt;""),'Weekly Tracker'!$G$2:$G$766),"")</f>
        <v/>
      </c>
      <c r="H979" s="9">
        <f>IFERROR(LOOKUP(2,1/('Weekly Tracker'!$E$2:$E$766=$A979)/('Weekly Tracker'!$H$2:$H$766&lt;&gt;""),'Weekly Tracker'!$H$2:$H$766),"")</f>
        <v/>
      </c>
      <c r="I979" s="16">
        <f>IF(H979&lt;&gt;"",LOOKUP(2,1/('Weekly Tracker'!$E$2:$E$766=$A979)/('Weekly Tracker'!$H$2:$H$766&lt;&gt;""),'Weekly Tracker'!$I$2:$I$766),"")</f>
        <v/>
      </c>
      <c r="J979" s="9">
        <f>IFERROR(LOOKUP(2,1/('Weekly Tracker'!$E$2:$E$766=$A979)/('Weekly Tracker'!$J$2:$J$766&lt;&gt;""),'Weekly Tracker'!$J$2:$J$766),"")</f>
        <v/>
      </c>
      <c r="K979" s="9">
        <f>IFERROR(LOOKUP(2,1/('Weekly Tracker'!$E$2:$E$766=$A979)/('Weekly Tracker'!$N$2:$N$766&lt;&gt;""),'Weekly Tracker'!$N$2:$N$766),"")</f>
        <v/>
      </c>
      <c r="L979" s="9">
        <f>IFERROR(LOOKUP(2,1/('Weekly Tracker'!$E$2:$E$766=$A979)/('Weekly Tracker'!$O$2:$O$766&lt;&gt;""),'Weekly Tracker'!$O$2:$O$766),"")</f>
        <v/>
      </c>
    </row>
    <row r="980">
      <c r="A980" s="9" t="inlineStr">
        <is>
          <t>Akil Amal Raj FB</t>
        </is>
      </c>
      <c r="B980" s="9" t="inlineStr">
        <is>
          <t>918903470394</t>
        </is>
      </c>
      <c r="C980" s="9" t="n"/>
      <c r="D980" s="9" t="n"/>
      <c r="E980" s="9" t="n"/>
      <c r="F980" s="9">
        <f>IFERROR(LOOKUP(2,1/('Weekly Tracker'!$E$2:$E$766=$A980)/('Weekly Tracker'!$F$2:$F$766&lt;&gt;""),'Weekly Tracker'!$F$2:$F$766),"")</f>
        <v/>
      </c>
      <c r="G980" s="16">
        <f>IF(F980&lt;&gt;"",LOOKUP(2,1/('Weekly Tracker'!$E$2:$E$766=$A980)/('Weekly Tracker'!$F$2:$F$766&lt;&gt;""),'Weekly Tracker'!$G$2:$G$766),"")</f>
        <v/>
      </c>
      <c r="H980" s="9">
        <f>IFERROR(LOOKUP(2,1/('Weekly Tracker'!$E$2:$E$766=$A980)/('Weekly Tracker'!$H$2:$H$766&lt;&gt;""),'Weekly Tracker'!$H$2:$H$766),"")</f>
        <v/>
      </c>
      <c r="I980" s="16">
        <f>IF(H980&lt;&gt;"",LOOKUP(2,1/('Weekly Tracker'!$E$2:$E$766=$A980)/('Weekly Tracker'!$H$2:$H$766&lt;&gt;""),'Weekly Tracker'!$I$2:$I$766),"")</f>
        <v/>
      </c>
      <c r="J980" s="9">
        <f>IFERROR(LOOKUP(2,1/('Weekly Tracker'!$E$2:$E$766=$A980)/('Weekly Tracker'!$J$2:$J$766&lt;&gt;""),'Weekly Tracker'!$J$2:$J$766),"")</f>
        <v/>
      </c>
      <c r="K980" s="9">
        <f>IFERROR(LOOKUP(2,1/('Weekly Tracker'!$E$2:$E$766=$A980)/('Weekly Tracker'!$N$2:$N$766&lt;&gt;""),'Weekly Tracker'!$N$2:$N$766),"")</f>
        <v/>
      </c>
      <c r="L980" s="9">
        <f>IFERROR(LOOKUP(2,1/('Weekly Tracker'!$E$2:$E$766=$A980)/('Weekly Tracker'!$O$2:$O$766&lt;&gt;""),'Weekly Tracker'!$O$2:$O$766),"")</f>
        <v/>
      </c>
    </row>
    <row r="981">
      <c r="A981" s="9" t="inlineStr">
        <is>
          <t>Saravana Abimanu FB</t>
        </is>
      </c>
      <c r="B981" s="9" t="inlineStr">
        <is>
          <t>7010704176, +91 94433 42845</t>
        </is>
      </c>
      <c r="C981" s="9" t="n"/>
      <c r="D981" s="9" t="n"/>
      <c r="E981" s="9" t="n"/>
      <c r="F981" s="9">
        <f>IFERROR(LOOKUP(2,1/('Weekly Tracker'!$E$2:$E$766=$A981)/('Weekly Tracker'!$F$2:$F$766&lt;&gt;""),'Weekly Tracker'!$F$2:$F$766),"")</f>
        <v/>
      </c>
      <c r="G981" s="16">
        <f>IF(F981&lt;&gt;"",LOOKUP(2,1/('Weekly Tracker'!$E$2:$E$766=$A981)/('Weekly Tracker'!$F$2:$F$766&lt;&gt;""),'Weekly Tracker'!$G$2:$G$766),"")</f>
        <v/>
      </c>
      <c r="H981" s="9">
        <f>IFERROR(LOOKUP(2,1/('Weekly Tracker'!$E$2:$E$766=$A981)/('Weekly Tracker'!$H$2:$H$766&lt;&gt;""),'Weekly Tracker'!$H$2:$H$766),"")</f>
        <v/>
      </c>
      <c r="I981" s="16">
        <f>IF(H981&lt;&gt;"",LOOKUP(2,1/('Weekly Tracker'!$E$2:$E$766=$A981)/('Weekly Tracker'!$H$2:$H$766&lt;&gt;""),'Weekly Tracker'!$I$2:$I$766),"")</f>
        <v/>
      </c>
      <c r="J981" s="9">
        <f>IFERROR(LOOKUP(2,1/('Weekly Tracker'!$E$2:$E$766=$A981)/('Weekly Tracker'!$J$2:$J$766&lt;&gt;""),'Weekly Tracker'!$J$2:$J$766),"")</f>
        <v/>
      </c>
      <c r="K981" s="9">
        <f>IFERROR(LOOKUP(2,1/('Weekly Tracker'!$E$2:$E$766=$A981)/('Weekly Tracker'!$N$2:$N$766&lt;&gt;""),'Weekly Tracker'!$N$2:$N$766),"")</f>
        <v/>
      </c>
      <c r="L981" s="9">
        <f>IFERROR(LOOKUP(2,1/('Weekly Tracker'!$E$2:$E$766=$A981)/('Weekly Tracker'!$O$2:$O$766&lt;&gt;""),'Weekly Tracker'!$O$2:$O$766),"")</f>
        <v/>
      </c>
    </row>
    <row r="982">
      <c r="A982" s="9" t="inlineStr">
        <is>
          <t>NaveenRaj HCL</t>
        </is>
      </c>
      <c r="B982" s="9" t="inlineStr">
        <is>
          <t>916385944699</t>
        </is>
      </c>
      <c r="C982" s="9" t="n"/>
      <c r="D982" s="9" t="n"/>
      <c r="E982" s="9" t="n"/>
      <c r="F982" s="9">
        <f>IFERROR(LOOKUP(2,1/('Weekly Tracker'!$E$2:$E$766=$A982)/('Weekly Tracker'!$F$2:$F$766&lt;&gt;""),'Weekly Tracker'!$F$2:$F$766),"")</f>
        <v/>
      </c>
      <c r="G982" s="16">
        <f>IF(F982&lt;&gt;"",LOOKUP(2,1/('Weekly Tracker'!$E$2:$E$766=$A982)/('Weekly Tracker'!$F$2:$F$766&lt;&gt;""),'Weekly Tracker'!$G$2:$G$766),"")</f>
        <v/>
      </c>
      <c r="H982" s="9">
        <f>IFERROR(LOOKUP(2,1/('Weekly Tracker'!$E$2:$E$766=$A982)/('Weekly Tracker'!$H$2:$H$766&lt;&gt;""),'Weekly Tracker'!$H$2:$H$766),"")</f>
        <v/>
      </c>
      <c r="I982" s="16">
        <f>IF(H982&lt;&gt;"",LOOKUP(2,1/('Weekly Tracker'!$E$2:$E$766=$A982)/('Weekly Tracker'!$H$2:$H$766&lt;&gt;""),'Weekly Tracker'!$I$2:$I$766),"")</f>
        <v/>
      </c>
      <c r="J982" s="9">
        <f>IFERROR(LOOKUP(2,1/('Weekly Tracker'!$E$2:$E$766=$A982)/('Weekly Tracker'!$J$2:$J$766&lt;&gt;""),'Weekly Tracker'!$J$2:$J$766),"")</f>
        <v/>
      </c>
      <c r="K982" s="9">
        <f>IFERROR(LOOKUP(2,1/('Weekly Tracker'!$E$2:$E$766=$A982)/('Weekly Tracker'!$N$2:$N$766&lt;&gt;""),'Weekly Tracker'!$N$2:$N$766),"")</f>
        <v/>
      </c>
      <c r="L982" s="9">
        <f>IFERROR(LOOKUP(2,1/('Weekly Tracker'!$E$2:$E$766=$A982)/('Weekly Tracker'!$O$2:$O$766&lt;&gt;""),'Weekly Tracker'!$O$2:$O$766),"")</f>
        <v/>
      </c>
    </row>
    <row r="983">
      <c r="A983" s="9" t="inlineStr">
        <is>
          <t>Jana MCity Icici Bank</t>
        </is>
      </c>
      <c r="B983" s="9" t="inlineStr">
        <is>
          <t>919942878183</t>
        </is>
      </c>
      <c r="C983" s="9" t="n"/>
      <c r="D983" s="9" t="n"/>
      <c r="E983" s="9" t="n"/>
      <c r="F983" s="9">
        <f>IFERROR(LOOKUP(2,1/('Weekly Tracker'!$E$2:$E$766=$A983)/('Weekly Tracker'!$F$2:$F$766&lt;&gt;""),'Weekly Tracker'!$F$2:$F$766),"")</f>
        <v/>
      </c>
      <c r="G983" s="16">
        <f>IF(F983&lt;&gt;"",LOOKUP(2,1/('Weekly Tracker'!$E$2:$E$766=$A983)/('Weekly Tracker'!$F$2:$F$766&lt;&gt;""),'Weekly Tracker'!$G$2:$G$766),"")</f>
        <v/>
      </c>
      <c r="H983" s="9">
        <f>IFERROR(LOOKUP(2,1/('Weekly Tracker'!$E$2:$E$766=$A983)/('Weekly Tracker'!$H$2:$H$766&lt;&gt;""),'Weekly Tracker'!$H$2:$H$766),"")</f>
        <v/>
      </c>
      <c r="I983" s="16">
        <f>IF(H983&lt;&gt;"",LOOKUP(2,1/('Weekly Tracker'!$E$2:$E$766=$A983)/('Weekly Tracker'!$H$2:$H$766&lt;&gt;""),'Weekly Tracker'!$I$2:$I$766),"")</f>
        <v/>
      </c>
      <c r="J983" s="9">
        <f>IFERROR(LOOKUP(2,1/('Weekly Tracker'!$E$2:$E$766=$A983)/('Weekly Tracker'!$J$2:$J$766&lt;&gt;""),'Weekly Tracker'!$J$2:$J$766),"")</f>
        <v/>
      </c>
      <c r="K983" s="9">
        <f>IFERROR(LOOKUP(2,1/('Weekly Tracker'!$E$2:$E$766=$A983)/('Weekly Tracker'!$N$2:$N$766&lt;&gt;""),'Weekly Tracker'!$N$2:$N$766),"")</f>
        <v/>
      </c>
      <c r="L983" s="9">
        <f>IFERROR(LOOKUP(2,1/('Weekly Tracker'!$E$2:$E$766=$A983)/('Weekly Tracker'!$O$2:$O$766&lt;&gt;""),'Weekly Tracker'!$O$2:$O$766),"")</f>
        <v/>
      </c>
    </row>
    <row r="984">
      <c r="A984" s="9" t="inlineStr">
        <is>
          <t>Murugan Grp</t>
        </is>
      </c>
      <c r="B984" s="9" t="inlineStr">
        <is>
          <t>918681856003</t>
        </is>
      </c>
      <c r="C984" s="9" t="n"/>
      <c r="D984" s="9" t="n"/>
      <c r="E984" s="9" t="n"/>
      <c r="F984" s="9">
        <f>IFERROR(LOOKUP(2,1/('Weekly Tracker'!$E$2:$E$766=$A984)/('Weekly Tracker'!$F$2:$F$766&lt;&gt;""),'Weekly Tracker'!$F$2:$F$766),"")</f>
        <v/>
      </c>
      <c r="G984" s="16">
        <f>IF(F984&lt;&gt;"",LOOKUP(2,1/('Weekly Tracker'!$E$2:$E$766=$A984)/('Weekly Tracker'!$F$2:$F$766&lt;&gt;""),'Weekly Tracker'!$G$2:$G$766),"")</f>
        <v/>
      </c>
      <c r="H984" s="9">
        <f>IFERROR(LOOKUP(2,1/('Weekly Tracker'!$E$2:$E$766=$A984)/('Weekly Tracker'!$H$2:$H$766&lt;&gt;""),'Weekly Tracker'!$H$2:$H$766),"")</f>
        <v/>
      </c>
      <c r="I984" s="16">
        <f>IF(H984&lt;&gt;"",LOOKUP(2,1/('Weekly Tracker'!$E$2:$E$766=$A984)/('Weekly Tracker'!$H$2:$H$766&lt;&gt;""),'Weekly Tracker'!$I$2:$I$766),"")</f>
        <v/>
      </c>
      <c r="J984" s="9">
        <f>IFERROR(LOOKUP(2,1/('Weekly Tracker'!$E$2:$E$766=$A984)/('Weekly Tracker'!$J$2:$J$766&lt;&gt;""),'Weekly Tracker'!$J$2:$J$766),"")</f>
        <v/>
      </c>
      <c r="K984" s="9">
        <f>IFERROR(LOOKUP(2,1/('Weekly Tracker'!$E$2:$E$766=$A984)/('Weekly Tracker'!$N$2:$N$766&lt;&gt;""),'Weekly Tracker'!$N$2:$N$766),"")</f>
        <v/>
      </c>
      <c r="L984" s="9">
        <f>IFERROR(LOOKUP(2,1/('Weekly Tracker'!$E$2:$E$766=$A984)/('Weekly Tracker'!$O$2:$O$766&lt;&gt;""),'Weekly Tracker'!$O$2:$O$766),"")</f>
        <v/>
      </c>
    </row>
    <row r="985">
      <c r="A985" s="9" t="inlineStr">
        <is>
          <t>Veera BE FB</t>
        </is>
      </c>
      <c r="B985" s="9" t="inlineStr">
        <is>
          <t>+91 78458 66171, 97455223467</t>
        </is>
      </c>
      <c r="C985" s="9" t="n"/>
      <c r="D985" s="9" t="n"/>
      <c r="E985" s="9" t="n"/>
      <c r="F985" s="9">
        <f>IFERROR(LOOKUP(2,1/('Weekly Tracker'!$E$2:$E$766=$A985)/('Weekly Tracker'!$F$2:$F$766&lt;&gt;""),'Weekly Tracker'!$F$2:$F$766),"")</f>
        <v/>
      </c>
      <c r="G985" s="16">
        <f>IF(F985&lt;&gt;"",LOOKUP(2,1/('Weekly Tracker'!$E$2:$E$766=$A985)/('Weekly Tracker'!$F$2:$F$766&lt;&gt;""),'Weekly Tracker'!$G$2:$G$766),"")</f>
        <v/>
      </c>
      <c r="H985" s="9">
        <f>IFERROR(LOOKUP(2,1/('Weekly Tracker'!$E$2:$E$766=$A985)/('Weekly Tracker'!$H$2:$H$766&lt;&gt;""),'Weekly Tracker'!$H$2:$H$766),"")</f>
        <v/>
      </c>
      <c r="I985" s="16">
        <f>IF(H985&lt;&gt;"",LOOKUP(2,1/('Weekly Tracker'!$E$2:$E$766=$A985)/('Weekly Tracker'!$H$2:$H$766&lt;&gt;""),'Weekly Tracker'!$I$2:$I$766),"")</f>
        <v/>
      </c>
      <c r="J985" s="9">
        <f>IFERROR(LOOKUP(2,1/('Weekly Tracker'!$E$2:$E$766=$A985)/('Weekly Tracker'!$J$2:$J$766&lt;&gt;""),'Weekly Tracker'!$J$2:$J$766),"")</f>
        <v/>
      </c>
      <c r="K985" s="9">
        <f>IFERROR(LOOKUP(2,1/('Weekly Tracker'!$E$2:$E$766=$A985)/('Weekly Tracker'!$N$2:$N$766&lt;&gt;""),'Weekly Tracker'!$N$2:$N$766),"")</f>
        <v/>
      </c>
      <c r="L985" s="9">
        <f>IFERROR(LOOKUP(2,1/('Weekly Tracker'!$E$2:$E$766=$A985)/('Weekly Tracker'!$O$2:$O$766&lt;&gt;""),'Weekly Tracker'!$O$2:$O$766),"")</f>
        <v/>
      </c>
    </row>
    <row r="986">
      <c r="A986" s="9" t="inlineStr">
        <is>
          <t>Absar Abi FB</t>
        </is>
      </c>
      <c r="B986" s="9" t="inlineStr">
        <is>
          <t>918778129810</t>
        </is>
      </c>
      <c r="C986" s="9" t="n"/>
      <c r="D986" s="9" t="n"/>
      <c r="E986" s="9" t="n"/>
      <c r="F986" s="9">
        <f>IFERROR(LOOKUP(2,1/('Weekly Tracker'!$E$2:$E$766=$A986)/('Weekly Tracker'!$F$2:$F$766&lt;&gt;""),'Weekly Tracker'!$F$2:$F$766),"")</f>
        <v/>
      </c>
      <c r="G986" s="16">
        <f>IF(F986&lt;&gt;"",LOOKUP(2,1/('Weekly Tracker'!$E$2:$E$766=$A986)/('Weekly Tracker'!$F$2:$F$766&lt;&gt;""),'Weekly Tracker'!$G$2:$G$766),"")</f>
        <v/>
      </c>
      <c r="H986" s="9">
        <f>IFERROR(LOOKUP(2,1/('Weekly Tracker'!$E$2:$E$766=$A986)/('Weekly Tracker'!$H$2:$H$766&lt;&gt;""),'Weekly Tracker'!$H$2:$H$766),"")</f>
        <v/>
      </c>
      <c r="I986" s="16">
        <f>IF(H986&lt;&gt;"",LOOKUP(2,1/('Weekly Tracker'!$E$2:$E$766=$A986)/('Weekly Tracker'!$H$2:$H$766&lt;&gt;""),'Weekly Tracker'!$I$2:$I$766),"")</f>
        <v/>
      </c>
      <c r="J986" s="9">
        <f>IFERROR(LOOKUP(2,1/('Weekly Tracker'!$E$2:$E$766=$A986)/('Weekly Tracker'!$J$2:$J$766&lt;&gt;""),'Weekly Tracker'!$J$2:$J$766),"")</f>
        <v/>
      </c>
      <c r="K986" s="9">
        <f>IFERROR(LOOKUP(2,1/('Weekly Tracker'!$E$2:$E$766=$A986)/('Weekly Tracker'!$N$2:$N$766&lt;&gt;""),'Weekly Tracker'!$N$2:$N$766),"")</f>
        <v/>
      </c>
      <c r="L986" s="9">
        <f>IFERROR(LOOKUP(2,1/('Weekly Tracker'!$E$2:$E$766=$A986)/('Weekly Tracker'!$O$2:$O$766&lt;&gt;""),'Weekly Tracker'!$O$2:$O$766),"")</f>
        <v/>
      </c>
    </row>
    <row r="987">
      <c r="A987" s="9" t="inlineStr">
        <is>
          <t>kalyanikumar Scl</t>
        </is>
      </c>
      <c r="B987" s="9" t="inlineStr">
        <is>
          <t>919791709095</t>
        </is>
      </c>
      <c r="C987" s="9" t="n"/>
      <c r="D987" s="9" t="n"/>
      <c r="E987" s="9" t="n"/>
      <c r="F987" s="9">
        <f>IFERROR(LOOKUP(2,1/('Weekly Tracker'!$E$2:$E$766=$A987)/('Weekly Tracker'!$F$2:$F$766&lt;&gt;""),'Weekly Tracker'!$F$2:$F$766),"")</f>
        <v/>
      </c>
      <c r="G987" s="16">
        <f>IF(F987&lt;&gt;"",LOOKUP(2,1/('Weekly Tracker'!$E$2:$E$766=$A987)/('Weekly Tracker'!$F$2:$F$766&lt;&gt;""),'Weekly Tracker'!$G$2:$G$766),"")</f>
        <v/>
      </c>
      <c r="H987" s="9">
        <f>IFERROR(LOOKUP(2,1/('Weekly Tracker'!$E$2:$E$766=$A987)/('Weekly Tracker'!$H$2:$H$766&lt;&gt;""),'Weekly Tracker'!$H$2:$H$766),"")</f>
        <v/>
      </c>
      <c r="I987" s="16">
        <f>IF(H987&lt;&gt;"",LOOKUP(2,1/('Weekly Tracker'!$E$2:$E$766=$A987)/('Weekly Tracker'!$H$2:$H$766&lt;&gt;""),'Weekly Tracker'!$I$2:$I$766),"")</f>
        <v/>
      </c>
      <c r="J987" s="9">
        <f>IFERROR(LOOKUP(2,1/('Weekly Tracker'!$E$2:$E$766=$A987)/('Weekly Tracker'!$J$2:$J$766&lt;&gt;""),'Weekly Tracker'!$J$2:$J$766),"")</f>
        <v/>
      </c>
      <c r="K987" s="9">
        <f>IFERROR(LOOKUP(2,1/('Weekly Tracker'!$E$2:$E$766=$A987)/('Weekly Tracker'!$N$2:$N$766&lt;&gt;""),'Weekly Tracker'!$N$2:$N$766),"")</f>
        <v/>
      </c>
      <c r="L987" s="9">
        <f>IFERROR(LOOKUP(2,1/('Weekly Tracker'!$E$2:$E$766=$A987)/('Weekly Tracker'!$O$2:$O$766&lt;&gt;""),'Weekly Tracker'!$O$2:$O$766),"")</f>
        <v/>
      </c>
    </row>
    <row r="988">
      <c r="A988" s="9" t="inlineStr">
        <is>
          <t>Mohan Ram HCL</t>
        </is>
      </c>
      <c r="B988" s="9" t="inlineStr">
        <is>
          <t>8610670403</t>
        </is>
      </c>
      <c r="C988" s="9" t="n"/>
      <c r="D988" s="9" t="n"/>
      <c r="E988" s="9" t="n"/>
      <c r="F988" s="9">
        <f>IFERROR(LOOKUP(2,1/('Weekly Tracker'!$E$2:$E$766=$A988)/('Weekly Tracker'!$F$2:$F$766&lt;&gt;""),'Weekly Tracker'!$F$2:$F$766),"")</f>
        <v/>
      </c>
      <c r="G988" s="16">
        <f>IF(F988&lt;&gt;"",LOOKUP(2,1/('Weekly Tracker'!$E$2:$E$766=$A988)/('Weekly Tracker'!$F$2:$F$766&lt;&gt;""),'Weekly Tracker'!$G$2:$G$766),"")</f>
        <v/>
      </c>
      <c r="H988" s="9">
        <f>IFERROR(LOOKUP(2,1/('Weekly Tracker'!$E$2:$E$766=$A988)/('Weekly Tracker'!$H$2:$H$766&lt;&gt;""),'Weekly Tracker'!$H$2:$H$766),"")</f>
        <v/>
      </c>
      <c r="I988" s="16">
        <f>IF(H988&lt;&gt;"",LOOKUP(2,1/('Weekly Tracker'!$E$2:$E$766=$A988)/('Weekly Tracker'!$H$2:$H$766&lt;&gt;""),'Weekly Tracker'!$I$2:$I$766),"")</f>
        <v/>
      </c>
      <c r="J988" s="9">
        <f>IFERROR(LOOKUP(2,1/('Weekly Tracker'!$E$2:$E$766=$A988)/('Weekly Tracker'!$J$2:$J$766&lt;&gt;""),'Weekly Tracker'!$J$2:$J$766),"")</f>
        <v/>
      </c>
      <c r="K988" s="9">
        <f>IFERROR(LOOKUP(2,1/('Weekly Tracker'!$E$2:$E$766=$A988)/('Weekly Tracker'!$N$2:$N$766&lt;&gt;""),'Weekly Tracker'!$N$2:$N$766),"")</f>
        <v/>
      </c>
      <c r="L988" s="9">
        <f>IFERROR(LOOKUP(2,1/('Weekly Tracker'!$E$2:$E$766=$A988)/('Weekly Tracker'!$O$2:$O$766&lt;&gt;""),'Weekly Tracker'!$O$2:$O$766),"")</f>
        <v/>
      </c>
    </row>
    <row r="989">
      <c r="A989" s="9" t="inlineStr">
        <is>
          <t>Balu TD Infy</t>
        </is>
      </c>
      <c r="B989" s="9" t="inlineStr">
        <is>
          <t>9344255225</t>
        </is>
      </c>
      <c r="C989" s="9" t="n"/>
      <c r="D989" s="9" t="n"/>
      <c r="E989" s="9" t="n"/>
      <c r="F989" s="9">
        <f>IFERROR(LOOKUP(2,1/('Weekly Tracker'!$E$2:$E$766=$A989)/('Weekly Tracker'!$F$2:$F$766&lt;&gt;""),'Weekly Tracker'!$F$2:$F$766),"")</f>
        <v/>
      </c>
      <c r="G989" s="16">
        <f>IF(F989&lt;&gt;"",LOOKUP(2,1/('Weekly Tracker'!$E$2:$E$766=$A989)/('Weekly Tracker'!$F$2:$F$766&lt;&gt;""),'Weekly Tracker'!$G$2:$G$766),"")</f>
        <v/>
      </c>
      <c r="H989" s="9">
        <f>IFERROR(LOOKUP(2,1/('Weekly Tracker'!$E$2:$E$766=$A989)/('Weekly Tracker'!$H$2:$H$766&lt;&gt;""),'Weekly Tracker'!$H$2:$H$766),"")</f>
        <v/>
      </c>
      <c r="I989" s="16">
        <f>IF(H989&lt;&gt;"",LOOKUP(2,1/('Weekly Tracker'!$E$2:$E$766=$A989)/('Weekly Tracker'!$H$2:$H$766&lt;&gt;""),'Weekly Tracker'!$I$2:$I$766),"")</f>
        <v/>
      </c>
      <c r="J989" s="9">
        <f>IFERROR(LOOKUP(2,1/('Weekly Tracker'!$E$2:$E$766=$A989)/('Weekly Tracker'!$J$2:$J$766&lt;&gt;""),'Weekly Tracker'!$J$2:$J$766),"")</f>
        <v/>
      </c>
      <c r="K989" s="9">
        <f>IFERROR(LOOKUP(2,1/('Weekly Tracker'!$E$2:$E$766=$A989)/('Weekly Tracker'!$N$2:$N$766&lt;&gt;""),'Weekly Tracker'!$N$2:$N$766),"")</f>
        <v/>
      </c>
      <c r="L989" s="9">
        <f>IFERROR(LOOKUP(2,1/('Weekly Tracker'!$E$2:$E$766=$A989)/('Weekly Tracker'!$O$2:$O$766&lt;&gt;""),'Weekly Tracker'!$O$2:$O$766),"")</f>
        <v/>
      </c>
    </row>
    <row r="990">
      <c r="A990" s="9" t="inlineStr">
        <is>
          <t>Shiny ECE</t>
        </is>
      </c>
      <c r="B990" s="9" t="inlineStr">
        <is>
          <t>919566895917</t>
        </is>
      </c>
      <c r="C990" s="9" t="n"/>
      <c r="D990" s="9" t="n"/>
      <c r="E990" s="9" t="n"/>
      <c r="F990" s="9">
        <f>IFERROR(LOOKUP(2,1/('Weekly Tracker'!$E$2:$E$766=$A990)/('Weekly Tracker'!$F$2:$F$766&lt;&gt;""),'Weekly Tracker'!$F$2:$F$766),"")</f>
        <v/>
      </c>
      <c r="G990" s="16">
        <f>IF(F990&lt;&gt;"",LOOKUP(2,1/('Weekly Tracker'!$E$2:$E$766=$A990)/('Weekly Tracker'!$F$2:$F$766&lt;&gt;""),'Weekly Tracker'!$G$2:$G$766),"")</f>
        <v/>
      </c>
      <c r="H990" s="9">
        <f>IFERROR(LOOKUP(2,1/('Weekly Tracker'!$E$2:$E$766=$A990)/('Weekly Tracker'!$H$2:$H$766&lt;&gt;""),'Weekly Tracker'!$H$2:$H$766),"")</f>
        <v/>
      </c>
      <c r="I990" s="16">
        <f>IF(H990&lt;&gt;"",LOOKUP(2,1/('Weekly Tracker'!$E$2:$E$766=$A990)/('Weekly Tracker'!$H$2:$H$766&lt;&gt;""),'Weekly Tracker'!$I$2:$I$766),"")</f>
        <v/>
      </c>
      <c r="J990" s="9">
        <f>IFERROR(LOOKUP(2,1/('Weekly Tracker'!$E$2:$E$766=$A990)/('Weekly Tracker'!$J$2:$J$766&lt;&gt;""),'Weekly Tracker'!$J$2:$J$766),"")</f>
        <v/>
      </c>
      <c r="K990" s="9">
        <f>IFERROR(LOOKUP(2,1/('Weekly Tracker'!$E$2:$E$766=$A990)/('Weekly Tracker'!$N$2:$N$766&lt;&gt;""),'Weekly Tracker'!$N$2:$N$766),"")</f>
        <v/>
      </c>
      <c r="L990" s="9">
        <f>IFERROR(LOOKUP(2,1/('Weekly Tracker'!$E$2:$E$766=$A990)/('Weekly Tracker'!$O$2:$O$766&lt;&gt;""),'Weekly Tracker'!$O$2:$O$766),"")</f>
        <v/>
      </c>
    </row>
    <row r="991">
      <c r="A991" s="9" t="inlineStr">
        <is>
          <t>Manoj HDFC Loan</t>
        </is>
      </c>
      <c r="B991" s="9" t="inlineStr">
        <is>
          <t>917092938780</t>
        </is>
      </c>
      <c r="C991" s="9" t="n"/>
      <c r="D991" s="9" t="n"/>
      <c r="E991" s="9" t="n"/>
      <c r="F991" s="9">
        <f>IFERROR(LOOKUP(2,1/('Weekly Tracker'!$E$2:$E$766=$A991)/('Weekly Tracker'!$F$2:$F$766&lt;&gt;""),'Weekly Tracker'!$F$2:$F$766),"")</f>
        <v/>
      </c>
      <c r="G991" s="16">
        <f>IF(F991&lt;&gt;"",LOOKUP(2,1/('Weekly Tracker'!$E$2:$E$766=$A991)/('Weekly Tracker'!$F$2:$F$766&lt;&gt;""),'Weekly Tracker'!$G$2:$G$766),"")</f>
        <v/>
      </c>
      <c r="H991" s="9">
        <f>IFERROR(LOOKUP(2,1/('Weekly Tracker'!$E$2:$E$766=$A991)/('Weekly Tracker'!$H$2:$H$766&lt;&gt;""),'Weekly Tracker'!$H$2:$H$766),"")</f>
        <v/>
      </c>
      <c r="I991" s="16">
        <f>IF(H991&lt;&gt;"",LOOKUP(2,1/('Weekly Tracker'!$E$2:$E$766=$A991)/('Weekly Tracker'!$H$2:$H$766&lt;&gt;""),'Weekly Tracker'!$I$2:$I$766),"")</f>
        <v/>
      </c>
      <c r="J991" s="9">
        <f>IFERROR(LOOKUP(2,1/('Weekly Tracker'!$E$2:$E$766=$A991)/('Weekly Tracker'!$J$2:$J$766&lt;&gt;""),'Weekly Tracker'!$J$2:$J$766),"")</f>
        <v/>
      </c>
      <c r="K991" s="9">
        <f>IFERROR(LOOKUP(2,1/('Weekly Tracker'!$E$2:$E$766=$A991)/('Weekly Tracker'!$N$2:$N$766&lt;&gt;""),'Weekly Tracker'!$N$2:$N$766),"")</f>
        <v/>
      </c>
      <c r="L991" s="9">
        <f>IFERROR(LOOKUP(2,1/('Weekly Tracker'!$E$2:$E$766=$A991)/('Weekly Tracker'!$O$2:$O$766&lt;&gt;""),'Weekly Tracker'!$O$2:$O$766),"")</f>
        <v/>
      </c>
    </row>
    <row r="992">
      <c r="A992" s="9" t="inlineStr">
        <is>
          <t>Muthu Raj FB Scl</t>
        </is>
      </c>
      <c r="B992" s="9" t="inlineStr">
        <is>
          <t>9994579994</t>
        </is>
      </c>
      <c r="C992" s="9" t="n"/>
      <c r="D992" s="9" t="n"/>
      <c r="E992" s="9" t="n"/>
      <c r="F992" s="9">
        <f>IFERROR(LOOKUP(2,1/('Weekly Tracker'!$E$2:$E$766=$A992)/('Weekly Tracker'!$F$2:$F$766&lt;&gt;""),'Weekly Tracker'!$F$2:$F$766),"")</f>
        <v/>
      </c>
      <c r="G992" s="16">
        <f>IF(F992&lt;&gt;"",LOOKUP(2,1/('Weekly Tracker'!$E$2:$E$766=$A992)/('Weekly Tracker'!$F$2:$F$766&lt;&gt;""),'Weekly Tracker'!$G$2:$G$766),"")</f>
        <v/>
      </c>
      <c r="H992" s="9">
        <f>IFERROR(LOOKUP(2,1/('Weekly Tracker'!$E$2:$E$766=$A992)/('Weekly Tracker'!$H$2:$H$766&lt;&gt;""),'Weekly Tracker'!$H$2:$H$766),"")</f>
        <v/>
      </c>
      <c r="I992" s="16">
        <f>IF(H992&lt;&gt;"",LOOKUP(2,1/('Weekly Tracker'!$E$2:$E$766=$A992)/('Weekly Tracker'!$H$2:$H$766&lt;&gt;""),'Weekly Tracker'!$I$2:$I$766),"")</f>
        <v/>
      </c>
      <c r="J992" s="9">
        <f>IFERROR(LOOKUP(2,1/('Weekly Tracker'!$E$2:$E$766=$A992)/('Weekly Tracker'!$J$2:$J$766&lt;&gt;""),'Weekly Tracker'!$J$2:$J$766),"")</f>
        <v/>
      </c>
      <c r="K992" s="9">
        <f>IFERROR(LOOKUP(2,1/('Weekly Tracker'!$E$2:$E$766=$A992)/('Weekly Tracker'!$N$2:$N$766&lt;&gt;""),'Weekly Tracker'!$N$2:$N$766),"")</f>
        <v/>
      </c>
      <c r="L992" s="9">
        <f>IFERROR(LOOKUP(2,1/('Weekly Tracker'!$E$2:$E$766=$A992)/('Weekly Tracker'!$O$2:$O$766&lt;&gt;""),'Weekly Tracker'!$O$2:$O$766),"")</f>
        <v/>
      </c>
    </row>
    <row r="993">
      <c r="A993" s="9" t="inlineStr">
        <is>
          <t>Santhya New</t>
        </is>
      </c>
      <c r="B993" s="9" t="inlineStr">
        <is>
          <t>+91 96551 60984</t>
        </is>
      </c>
      <c r="C993" s="9" t="n"/>
      <c r="D993" s="9" t="n"/>
      <c r="E993" s="9" t="n"/>
      <c r="F993" s="9">
        <f>IFERROR(LOOKUP(2,1/('Weekly Tracker'!$E$2:$E$766=$A993)/('Weekly Tracker'!$F$2:$F$766&lt;&gt;""),'Weekly Tracker'!$F$2:$F$766),"")</f>
        <v/>
      </c>
      <c r="G993" s="16">
        <f>IF(F993&lt;&gt;"",LOOKUP(2,1/('Weekly Tracker'!$E$2:$E$766=$A993)/('Weekly Tracker'!$F$2:$F$766&lt;&gt;""),'Weekly Tracker'!$G$2:$G$766),"")</f>
        <v/>
      </c>
      <c r="H993" s="9">
        <f>IFERROR(LOOKUP(2,1/('Weekly Tracker'!$E$2:$E$766=$A993)/('Weekly Tracker'!$H$2:$H$766&lt;&gt;""),'Weekly Tracker'!$H$2:$H$766),"")</f>
        <v/>
      </c>
      <c r="I993" s="16">
        <f>IF(H993&lt;&gt;"",LOOKUP(2,1/('Weekly Tracker'!$E$2:$E$766=$A993)/('Weekly Tracker'!$H$2:$H$766&lt;&gt;""),'Weekly Tracker'!$I$2:$I$766),"")</f>
        <v/>
      </c>
      <c r="J993" s="9">
        <f>IFERROR(LOOKUP(2,1/('Weekly Tracker'!$E$2:$E$766=$A993)/('Weekly Tracker'!$J$2:$J$766&lt;&gt;""),'Weekly Tracker'!$J$2:$J$766),"")</f>
        <v/>
      </c>
      <c r="K993" s="9">
        <f>IFERROR(LOOKUP(2,1/('Weekly Tracker'!$E$2:$E$766=$A993)/('Weekly Tracker'!$N$2:$N$766&lt;&gt;""),'Weekly Tracker'!$N$2:$N$766),"")</f>
        <v/>
      </c>
      <c r="L993" s="9">
        <f>IFERROR(LOOKUP(2,1/('Weekly Tracker'!$E$2:$E$766=$A993)/('Weekly Tracker'!$O$2:$O$766&lt;&gt;""),'Weekly Tracker'!$O$2:$O$766),"")</f>
        <v/>
      </c>
    </row>
    <row r="994">
      <c r="A994" s="9" t="inlineStr">
        <is>
          <t>Rojina Ece</t>
        </is>
      </c>
      <c r="B994" s="9" t="inlineStr">
        <is>
          <t>919486337050</t>
        </is>
      </c>
      <c r="C994" s="9" t="n"/>
      <c r="D994" s="9" t="n"/>
      <c r="E994" s="9" t="n"/>
      <c r="F994" s="9">
        <f>IFERROR(LOOKUP(2,1/('Weekly Tracker'!$E$2:$E$766=$A994)/('Weekly Tracker'!$F$2:$F$766&lt;&gt;""),'Weekly Tracker'!$F$2:$F$766),"")</f>
        <v/>
      </c>
      <c r="G994" s="16">
        <f>IF(F994&lt;&gt;"",LOOKUP(2,1/('Weekly Tracker'!$E$2:$E$766=$A994)/('Weekly Tracker'!$F$2:$F$766&lt;&gt;""),'Weekly Tracker'!$G$2:$G$766),"")</f>
        <v/>
      </c>
      <c r="H994" s="9">
        <f>IFERROR(LOOKUP(2,1/('Weekly Tracker'!$E$2:$E$766=$A994)/('Weekly Tracker'!$H$2:$H$766&lt;&gt;""),'Weekly Tracker'!$H$2:$H$766),"")</f>
        <v/>
      </c>
      <c r="I994" s="16">
        <f>IF(H994&lt;&gt;"",LOOKUP(2,1/('Weekly Tracker'!$E$2:$E$766=$A994)/('Weekly Tracker'!$H$2:$H$766&lt;&gt;""),'Weekly Tracker'!$I$2:$I$766),"")</f>
        <v/>
      </c>
      <c r="J994" s="9">
        <f>IFERROR(LOOKUP(2,1/('Weekly Tracker'!$E$2:$E$766=$A994)/('Weekly Tracker'!$J$2:$J$766&lt;&gt;""),'Weekly Tracker'!$J$2:$J$766),"")</f>
        <v/>
      </c>
      <c r="K994" s="9">
        <f>IFERROR(LOOKUP(2,1/('Weekly Tracker'!$E$2:$E$766=$A994)/('Weekly Tracker'!$N$2:$N$766&lt;&gt;""),'Weekly Tracker'!$N$2:$N$766),"")</f>
        <v/>
      </c>
      <c r="L994" s="9">
        <f>IFERROR(LOOKUP(2,1/('Weekly Tracker'!$E$2:$E$766=$A994)/('Weekly Tracker'!$O$2:$O$766&lt;&gt;""),'Weekly Tracker'!$O$2:$O$766),"")</f>
        <v/>
      </c>
    </row>
    <row r="995">
      <c r="A995" s="9" t="inlineStr">
        <is>
          <t>Selva Kumar Natarajan Grp Ucen</t>
        </is>
      </c>
      <c r="B995" s="9" t="inlineStr">
        <is>
          <t>917871905182</t>
        </is>
      </c>
      <c r="C995" s="9" t="n"/>
      <c r="D995" s="9" t="n"/>
      <c r="E995" s="9" t="n"/>
      <c r="F995" s="9">
        <f>IFERROR(LOOKUP(2,1/('Weekly Tracker'!$E$2:$E$766=$A995)/('Weekly Tracker'!$F$2:$F$766&lt;&gt;""),'Weekly Tracker'!$F$2:$F$766),"")</f>
        <v/>
      </c>
      <c r="G995" s="16">
        <f>IF(F995&lt;&gt;"",LOOKUP(2,1/('Weekly Tracker'!$E$2:$E$766=$A995)/('Weekly Tracker'!$F$2:$F$766&lt;&gt;""),'Weekly Tracker'!$G$2:$G$766),"")</f>
        <v/>
      </c>
      <c r="H995" s="9">
        <f>IFERROR(LOOKUP(2,1/('Weekly Tracker'!$E$2:$E$766=$A995)/('Weekly Tracker'!$H$2:$H$766&lt;&gt;""),'Weekly Tracker'!$H$2:$H$766),"")</f>
        <v/>
      </c>
      <c r="I995" s="16">
        <f>IF(H995&lt;&gt;"",LOOKUP(2,1/('Weekly Tracker'!$E$2:$E$766=$A995)/('Weekly Tracker'!$H$2:$H$766&lt;&gt;""),'Weekly Tracker'!$I$2:$I$766),"")</f>
        <v/>
      </c>
      <c r="J995" s="9">
        <f>IFERROR(LOOKUP(2,1/('Weekly Tracker'!$E$2:$E$766=$A995)/('Weekly Tracker'!$J$2:$J$766&lt;&gt;""),'Weekly Tracker'!$J$2:$J$766),"")</f>
        <v/>
      </c>
      <c r="K995" s="9">
        <f>IFERROR(LOOKUP(2,1/('Weekly Tracker'!$E$2:$E$766=$A995)/('Weekly Tracker'!$N$2:$N$766&lt;&gt;""),'Weekly Tracker'!$N$2:$N$766),"")</f>
        <v/>
      </c>
      <c r="L995" s="9">
        <f>IFERROR(LOOKUP(2,1/('Weekly Tracker'!$E$2:$E$766=$A995)/('Weekly Tracker'!$O$2:$O$766&lt;&gt;""),'Weekly Tracker'!$O$2:$O$766),"")</f>
        <v/>
      </c>
    </row>
    <row r="996">
      <c r="A996" s="9" t="inlineStr">
        <is>
          <t>Vinoth</t>
        </is>
      </c>
      <c r="B996" s="9" t="inlineStr">
        <is>
          <t>918438349692</t>
        </is>
      </c>
      <c r="C996" s="9" t="n"/>
      <c r="D996" s="9" t="n"/>
      <c r="E996" s="9" t="n"/>
      <c r="F996" s="9">
        <f>IFERROR(LOOKUP(2,1/('Weekly Tracker'!$E$2:$E$766=$A996)/('Weekly Tracker'!$F$2:$F$766&lt;&gt;""),'Weekly Tracker'!$F$2:$F$766),"")</f>
        <v/>
      </c>
      <c r="G996" s="16">
        <f>IF(F996&lt;&gt;"",LOOKUP(2,1/('Weekly Tracker'!$E$2:$E$766=$A996)/('Weekly Tracker'!$F$2:$F$766&lt;&gt;""),'Weekly Tracker'!$G$2:$G$766),"")</f>
        <v/>
      </c>
      <c r="H996" s="9">
        <f>IFERROR(LOOKUP(2,1/('Weekly Tracker'!$E$2:$E$766=$A996)/('Weekly Tracker'!$H$2:$H$766&lt;&gt;""),'Weekly Tracker'!$H$2:$H$766),"")</f>
        <v/>
      </c>
      <c r="I996" s="16">
        <f>IF(H996&lt;&gt;"",LOOKUP(2,1/('Weekly Tracker'!$E$2:$E$766=$A996)/('Weekly Tracker'!$H$2:$H$766&lt;&gt;""),'Weekly Tracker'!$I$2:$I$766),"")</f>
        <v/>
      </c>
      <c r="J996" s="9">
        <f>IFERROR(LOOKUP(2,1/('Weekly Tracker'!$E$2:$E$766=$A996)/('Weekly Tracker'!$J$2:$J$766&lt;&gt;""),'Weekly Tracker'!$J$2:$J$766),"")</f>
        <v/>
      </c>
      <c r="K996" s="9">
        <f>IFERROR(LOOKUP(2,1/('Weekly Tracker'!$E$2:$E$766=$A996)/('Weekly Tracker'!$N$2:$N$766&lt;&gt;""),'Weekly Tracker'!$N$2:$N$766),"")</f>
        <v/>
      </c>
      <c r="L996" s="9">
        <f>IFERROR(LOOKUP(2,1/('Weekly Tracker'!$E$2:$E$766=$A996)/('Weekly Tracker'!$O$2:$O$766&lt;&gt;""),'Weekly Tracker'!$O$2:$O$766),"")</f>
        <v/>
      </c>
    </row>
    <row r="997">
      <c r="A997" s="9" t="inlineStr">
        <is>
          <t>Poongavanam 2 HDFC</t>
        </is>
      </c>
      <c r="B997" s="9" t="inlineStr">
        <is>
          <t>97157 08587</t>
        </is>
      </c>
      <c r="C997" s="9" t="n"/>
      <c r="D997" s="9" t="n"/>
      <c r="E997" s="9" t="n"/>
      <c r="F997" s="9">
        <f>IFERROR(LOOKUP(2,1/('Weekly Tracker'!$E$2:$E$766=$A997)/('Weekly Tracker'!$F$2:$F$766&lt;&gt;""),'Weekly Tracker'!$F$2:$F$766),"")</f>
        <v/>
      </c>
      <c r="G997" s="16">
        <f>IF(F997&lt;&gt;"",LOOKUP(2,1/('Weekly Tracker'!$E$2:$E$766=$A997)/('Weekly Tracker'!$F$2:$F$766&lt;&gt;""),'Weekly Tracker'!$G$2:$G$766),"")</f>
        <v/>
      </c>
      <c r="H997" s="9">
        <f>IFERROR(LOOKUP(2,1/('Weekly Tracker'!$E$2:$E$766=$A997)/('Weekly Tracker'!$H$2:$H$766&lt;&gt;""),'Weekly Tracker'!$H$2:$H$766),"")</f>
        <v/>
      </c>
      <c r="I997" s="16">
        <f>IF(H997&lt;&gt;"",LOOKUP(2,1/('Weekly Tracker'!$E$2:$E$766=$A997)/('Weekly Tracker'!$H$2:$H$766&lt;&gt;""),'Weekly Tracker'!$I$2:$I$766),"")</f>
        <v/>
      </c>
      <c r="J997" s="9">
        <f>IFERROR(LOOKUP(2,1/('Weekly Tracker'!$E$2:$E$766=$A997)/('Weekly Tracker'!$J$2:$J$766&lt;&gt;""),'Weekly Tracker'!$J$2:$J$766),"")</f>
        <v/>
      </c>
      <c r="K997" s="9">
        <f>IFERROR(LOOKUP(2,1/('Weekly Tracker'!$E$2:$E$766=$A997)/('Weekly Tracker'!$N$2:$N$766&lt;&gt;""),'Weekly Tracker'!$N$2:$N$766),"")</f>
        <v/>
      </c>
      <c r="L997" s="9">
        <f>IFERROR(LOOKUP(2,1/('Weekly Tracker'!$E$2:$E$766=$A997)/('Weekly Tracker'!$O$2:$O$766&lt;&gt;""),'Weekly Tracker'!$O$2:$O$766),"")</f>
        <v/>
      </c>
    </row>
    <row r="998">
      <c r="A998" s="9" t="inlineStr">
        <is>
          <t>Amirtha Raj Ford</t>
        </is>
      </c>
      <c r="B998" s="9" t="inlineStr">
        <is>
          <t>9884898396</t>
        </is>
      </c>
      <c r="C998" s="9" t="n"/>
      <c r="D998" s="9" t="n"/>
      <c r="E998" s="9" t="n"/>
      <c r="F998" s="9">
        <f>IFERROR(LOOKUP(2,1/('Weekly Tracker'!$E$2:$E$766=$A998)/('Weekly Tracker'!$F$2:$F$766&lt;&gt;""),'Weekly Tracker'!$F$2:$F$766),"")</f>
        <v/>
      </c>
      <c r="G998" s="16">
        <f>IF(F998&lt;&gt;"",LOOKUP(2,1/('Weekly Tracker'!$E$2:$E$766=$A998)/('Weekly Tracker'!$F$2:$F$766&lt;&gt;""),'Weekly Tracker'!$G$2:$G$766),"")</f>
        <v/>
      </c>
      <c r="H998" s="9">
        <f>IFERROR(LOOKUP(2,1/('Weekly Tracker'!$E$2:$E$766=$A998)/('Weekly Tracker'!$H$2:$H$766&lt;&gt;""),'Weekly Tracker'!$H$2:$H$766),"")</f>
        <v/>
      </c>
      <c r="I998" s="16">
        <f>IF(H998&lt;&gt;"",LOOKUP(2,1/('Weekly Tracker'!$E$2:$E$766=$A998)/('Weekly Tracker'!$H$2:$H$766&lt;&gt;""),'Weekly Tracker'!$I$2:$I$766),"")</f>
        <v/>
      </c>
      <c r="J998" s="9">
        <f>IFERROR(LOOKUP(2,1/('Weekly Tracker'!$E$2:$E$766=$A998)/('Weekly Tracker'!$J$2:$J$766&lt;&gt;""),'Weekly Tracker'!$J$2:$J$766),"")</f>
        <v/>
      </c>
      <c r="K998" s="9">
        <f>IFERROR(LOOKUP(2,1/('Weekly Tracker'!$E$2:$E$766=$A998)/('Weekly Tracker'!$N$2:$N$766&lt;&gt;""),'Weekly Tracker'!$N$2:$N$766),"")</f>
        <v/>
      </c>
      <c r="L998" s="9">
        <f>IFERROR(LOOKUP(2,1/('Weekly Tracker'!$E$2:$E$766=$A998)/('Weekly Tracker'!$O$2:$O$766&lt;&gt;""),'Weekly Tracker'!$O$2:$O$766),"")</f>
        <v/>
      </c>
    </row>
    <row r="999">
      <c r="A999" s="9" t="inlineStr">
        <is>
          <t>Baski Infy</t>
        </is>
      </c>
      <c r="B999" s="9" t="inlineStr">
        <is>
          <t>919841315075</t>
        </is>
      </c>
      <c r="C999" s="9" t="n"/>
      <c r="D999" s="9" t="n"/>
      <c r="E999" s="9" t="n"/>
      <c r="F999" s="9">
        <f>IFERROR(LOOKUP(2,1/('Weekly Tracker'!$E$2:$E$766=$A999)/('Weekly Tracker'!$F$2:$F$766&lt;&gt;""),'Weekly Tracker'!$F$2:$F$766),"")</f>
        <v/>
      </c>
      <c r="G999" s="16">
        <f>IF(F999&lt;&gt;"",LOOKUP(2,1/('Weekly Tracker'!$E$2:$E$766=$A999)/('Weekly Tracker'!$F$2:$F$766&lt;&gt;""),'Weekly Tracker'!$G$2:$G$766),"")</f>
        <v/>
      </c>
      <c r="H999" s="9">
        <f>IFERROR(LOOKUP(2,1/('Weekly Tracker'!$E$2:$E$766=$A999)/('Weekly Tracker'!$H$2:$H$766&lt;&gt;""),'Weekly Tracker'!$H$2:$H$766),"")</f>
        <v/>
      </c>
      <c r="I999" s="16">
        <f>IF(H999&lt;&gt;"",LOOKUP(2,1/('Weekly Tracker'!$E$2:$E$766=$A999)/('Weekly Tracker'!$H$2:$H$766&lt;&gt;""),'Weekly Tracker'!$I$2:$I$766),"")</f>
        <v/>
      </c>
      <c r="J999" s="9">
        <f>IFERROR(LOOKUP(2,1/('Weekly Tracker'!$E$2:$E$766=$A999)/('Weekly Tracker'!$J$2:$J$766&lt;&gt;""),'Weekly Tracker'!$J$2:$J$766),"")</f>
        <v/>
      </c>
      <c r="K999" s="9">
        <f>IFERROR(LOOKUP(2,1/('Weekly Tracker'!$E$2:$E$766=$A999)/('Weekly Tracker'!$N$2:$N$766&lt;&gt;""),'Weekly Tracker'!$N$2:$N$766),"")</f>
        <v/>
      </c>
      <c r="L999" s="9">
        <f>IFERROR(LOOKUP(2,1/('Weekly Tracker'!$E$2:$E$766=$A999)/('Weekly Tracker'!$O$2:$O$766&lt;&gt;""),'Weekly Tracker'!$O$2:$O$766),"")</f>
        <v/>
      </c>
    </row>
    <row r="1000">
      <c r="A1000" s="9" t="inlineStr">
        <is>
          <t>Vicky S Junior grp</t>
        </is>
      </c>
      <c r="B1000" s="9" t="inlineStr">
        <is>
          <t>918973121191</t>
        </is>
      </c>
      <c r="C1000" s="9" t="n"/>
      <c r="D1000" s="9" t="n"/>
      <c r="E1000" s="9" t="n"/>
      <c r="F1000" s="9">
        <f>IFERROR(LOOKUP(2,1/('Weekly Tracker'!$E$2:$E$766=$A1000)/('Weekly Tracker'!$F$2:$F$766&lt;&gt;""),'Weekly Tracker'!$F$2:$F$766),"")</f>
        <v/>
      </c>
      <c r="G1000" s="16">
        <f>IF(F1000&lt;&gt;"",LOOKUP(2,1/('Weekly Tracker'!$E$2:$E$766=$A1000)/('Weekly Tracker'!$F$2:$F$766&lt;&gt;""),'Weekly Tracker'!$G$2:$G$766),"")</f>
        <v/>
      </c>
      <c r="H1000" s="9">
        <f>IFERROR(LOOKUP(2,1/('Weekly Tracker'!$E$2:$E$766=$A1000)/('Weekly Tracker'!$H$2:$H$766&lt;&gt;""),'Weekly Tracker'!$H$2:$H$766),"")</f>
        <v/>
      </c>
      <c r="I1000" s="16">
        <f>IF(H1000&lt;&gt;"",LOOKUP(2,1/('Weekly Tracker'!$E$2:$E$766=$A1000)/('Weekly Tracker'!$H$2:$H$766&lt;&gt;""),'Weekly Tracker'!$I$2:$I$766),"")</f>
        <v/>
      </c>
      <c r="J1000" s="9">
        <f>IFERROR(LOOKUP(2,1/('Weekly Tracker'!$E$2:$E$766=$A1000)/('Weekly Tracker'!$J$2:$J$766&lt;&gt;""),'Weekly Tracker'!$J$2:$J$766),"")</f>
        <v/>
      </c>
      <c r="K1000" s="9">
        <f>IFERROR(LOOKUP(2,1/('Weekly Tracker'!$E$2:$E$766=$A1000)/('Weekly Tracker'!$N$2:$N$766&lt;&gt;""),'Weekly Tracker'!$N$2:$N$766),"")</f>
        <v/>
      </c>
      <c r="L1000" s="9">
        <f>IFERROR(LOOKUP(2,1/('Weekly Tracker'!$E$2:$E$766=$A1000)/('Weekly Tracker'!$O$2:$O$766&lt;&gt;""),'Weekly Tracker'!$O$2:$O$766),"")</f>
        <v/>
      </c>
    </row>
    <row r="1001">
      <c r="A1001" s="9" t="inlineStr">
        <is>
          <t>Sunil CTS</t>
        </is>
      </c>
      <c r="B1001" s="9" t="inlineStr">
        <is>
          <t>917358699519</t>
        </is>
      </c>
      <c r="C1001" s="9" t="n"/>
      <c r="D1001" s="9" t="n"/>
      <c r="E1001" s="9" t="n"/>
      <c r="F1001" s="9">
        <f>IFERROR(LOOKUP(2,1/('Weekly Tracker'!$E$2:$E$766=$A1001)/('Weekly Tracker'!$F$2:$F$766&lt;&gt;""),'Weekly Tracker'!$F$2:$F$766),"")</f>
        <v/>
      </c>
      <c r="G1001" s="16">
        <f>IF(F1001&lt;&gt;"",LOOKUP(2,1/('Weekly Tracker'!$E$2:$E$766=$A1001)/('Weekly Tracker'!$F$2:$F$766&lt;&gt;""),'Weekly Tracker'!$G$2:$G$766),"")</f>
        <v/>
      </c>
      <c r="H1001" s="9">
        <f>IFERROR(LOOKUP(2,1/('Weekly Tracker'!$E$2:$E$766=$A1001)/('Weekly Tracker'!$H$2:$H$766&lt;&gt;""),'Weekly Tracker'!$H$2:$H$766),"")</f>
        <v/>
      </c>
      <c r="I1001" s="16">
        <f>IF(H1001&lt;&gt;"",LOOKUP(2,1/('Weekly Tracker'!$E$2:$E$766=$A1001)/('Weekly Tracker'!$H$2:$H$766&lt;&gt;""),'Weekly Tracker'!$I$2:$I$766),"")</f>
        <v/>
      </c>
      <c r="J1001" s="9">
        <f>IFERROR(LOOKUP(2,1/('Weekly Tracker'!$E$2:$E$766=$A1001)/('Weekly Tracker'!$J$2:$J$766&lt;&gt;""),'Weekly Tracker'!$J$2:$J$766),"")</f>
        <v/>
      </c>
      <c r="K1001" s="9">
        <f>IFERROR(LOOKUP(2,1/('Weekly Tracker'!$E$2:$E$766=$A1001)/('Weekly Tracker'!$N$2:$N$766&lt;&gt;""),'Weekly Tracker'!$N$2:$N$766),"")</f>
        <v/>
      </c>
      <c r="L1001" s="9">
        <f>IFERROR(LOOKUP(2,1/('Weekly Tracker'!$E$2:$E$766=$A1001)/('Weekly Tracker'!$O$2:$O$766&lt;&gt;""),'Weekly Tracker'!$O$2:$O$766),"")</f>
        <v/>
      </c>
    </row>
    <row r="1002">
      <c r="A1002" s="9" t="inlineStr">
        <is>
          <t>Surrendra Kumar</t>
        </is>
      </c>
      <c r="B1002" s="9" t="inlineStr">
        <is>
          <t>919710226368</t>
        </is>
      </c>
      <c r="C1002" s="9" t="n"/>
      <c r="D1002" s="9" t="n"/>
      <c r="E1002" s="9" t="n"/>
      <c r="F1002" s="9">
        <f>IFERROR(LOOKUP(2,1/('Weekly Tracker'!$E$2:$E$766=$A1002)/('Weekly Tracker'!$F$2:$F$766&lt;&gt;""),'Weekly Tracker'!$F$2:$F$766),"")</f>
        <v/>
      </c>
      <c r="G1002" s="16">
        <f>IF(F1002&lt;&gt;"",LOOKUP(2,1/('Weekly Tracker'!$E$2:$E$766=$A1002)/('Weekly Tracker'!$F$2:$F$766&lt;&gt;""),'Weekly Tracker'!$G$2:$G$766),"")</f>
        <v/>
      </c>
      <c r="H1002" s="9">
        <f>IFERROR(LOOKUP(2,1/('Weekly Tracker'!$E$2:$E$766=$A1002)/('Weekly Tracker'!$H$2:$H$766&lt;&gt;""),'Weekly Tracker'!$H$2:$H$766),"")</f>
        <v/>
      </c>
      <c r="I1002" s="16">
        <f>IF(H1002&lt;&gt;"",LOOKUP(2,1/('Weekly Tracker'!$E$2:$E$766=$A1002)/('Weekly Tracker'!$H$2:$H$766&lt;&gt;""),'Weekly Tracker'!$I$2:$I$766),"")</f>
        <v/>
      </c>
      <c r="J1002" s="9">
        <f>IFERROR(LOOKUP(2,1/('Weekly Tracker'!$E$2:$E$766=$A1002)/('Weekly Tracker'!$J$2:$J$766&lt;&gt;""),'Weekly Tracker'!$J$2:$J$766),"")</f>
        <v/>
      </c>
      <c r="K1002" s="9">
        <f>IFERROR(LOOKUP(2,1/('Weekly Tracker'!$E$2:$E$766=$A1002)/('Weekly Tracker'!$N$2:$N$766&lt;&gt;""),'Weekly Tracker'!$N$2:$N$766),"")</f>
        <v/>
      </c>
      <c r="L1002" s="9">
        <f>IFERROR(LOOKUP(2,1/('Weekly Tracker'!$E$2:$E$766=$A1002)/('Weekly Tracker'!$O$2:$O$766&lt;&gt;""),'Weekly Tracker'!$O$2:$O$766),"")</f>
        <v/>
      </c>
    </row>
    <row r="1003">
      <c r="A1003" s="9" t="inlineStr">
        <is>
          <t>Suyambu Lingam FB</t>
        </is>
      </c>
      <c r="B1003" s="9" t="inlineStr">
        <is>
          <t>9843856022</t>
        </is>
      </c>
      <c r="C1003" s="9" t="n"/>
      <c r="D1003" s="9" t="n"/>
      <c r="E1003" s="9" t="n"/>
      <c r="F1003" s="9">
        <f>IFERROR(LOOKUP(2,1/('Weekly Tracker'!$E$2:$E$766=$A1003)/('Weekly Tracker'!$F$2:$F$766&lt;&gt;""),'Weekly Tracker'!$F$2:$F$766),"")</f>
        <v/>
      </c>
      <c r="G1003" s="16">
        <f>IF(F1003&lt;&gt;"",LOOKUP(2,1/('Weekly Tracker'!$E$2:$E$766=$A1003)/('Weekly Tracker'!$F$2:$F$766&lt;&gt;""),'Weekly Tracker'!$G$2:$G$766),"")</f>
        <v/>
      </c>
      <c r="H1003" s="9">
        <f>IFERROR(LOOKUP(2,1/('Weekly Tracker'!$E$2:$E$766=$A1003)/('Weekly Tracker'!$H$2:$H$766&lt;&gt;""),'Weekly Tracker'!$H$2:$H$766),"")</f>
        <v/>
      </c>
      <c r="I1003" s="16">
        <f>IF(H1003&lt;&gt;"",LOOKUP(2,1/('Weekly Tracker'!$E$2:$E$766=$A1003)/('Weekly Tracker'!$H$2:$H$766&lt;&gt;""),'Weekly Tracker'!$I$2:$I$766),"")</f>
        <v/>
      </c>
      <c r="J1003" s="9">
        <f>IFERROR(LOOKUP(2,1/('Weekly Tracker'!$E$2:$E$766=$A1003)/('Weekly Tracker'!$J$2:$J$766&lt;&gt;""),'Weekly Tracker'!$J$2:$J$766),"")</f>
        <v/>
      </c>
      <c r="K1003" s="9">
        <f>IFERROR(LOOKUP(2,1/('Weekly Tracker'!$E$2:$E$766=$A1003)/('Weekly Tracker'!$N$2:$N$766&lt;&gt;""),'Weekly Tracker'!$N$2:$N$766),"")</f>
        <v/>
      </c>
      <c r="L1003" s="9">
        <f>IFERROR(LOOKUP(2,1/('Weekly Tracker'!$E$2:$E$766=$A1003)/('Weekly Tracker'!$O$2:$O$766&lt;&gt;""),'Weekly Tracker'!$O$2:$O$766),"")</f>
        <v/>
      </c>
    </row>
    <row r="1004">
      <c r="A1004" s="9" t="inlineStr">
        <is>
          <t>Suganth Junior GP</t>
        </is>
      </c>
      <c r="B1004" s="9" t="inlineStr">
        <is>
          <t>919488323675</t>
        </is>
      </c>
      <c r="C1004" s="9" t="n"/>
      <c r="D1004" s="9" t="n"/>
      <c r="E1004" s="9" t="n"/>
      <c r="F1004" s="9">
        <f>IFERROR(LOOKUP(2,1/('Weekly Tracker'!$E$2:$E$766=$A1004)/('Weekly Tracker'!$F$2:$F$766&lt;&gt;""),'Weekly Tracker'!$F$2:$F$766),"")</f>
        <v/>
      </c>
      <c r="G1004" s="16">
        <f>IF(F1004&lt;&gt;"",LOOKUP(2,1/('Weekly Tracker'!$E$2:$E$766=$A1004)/('Weekly Tracker'!$F$2:$F$766&lt;&gt;""),'Weekly Tracker'!$G$2:$G$766),"")</f>
        <v/>
      </c>
      <c r="H1004" s="9">
        <f>IFERROR(LOOKUP(2,1/('Weekly Tracker'!$E$2:$E$766=$A1004)/('Weekly Tracker'!$H$2:$H$766&lt;&gt;""),'Weekly Tracker'!$H$2:$H$766),"")</f>
        <v/>
      </c>
      <c r="I1004" s="16">
        <f>IF(H1004&lt;&gt;"",LOOKUP(2,1/('Weekly Tracker'!$E$2:$E$766=$A1004)/('Weekly Tracker'!$H$2:$H$766&lt;&gt;""),'Weekly Tracker'!$I$2:$I$766),"")</f>
        <v/>
      </c>
      <c r="J1004" s="9">
        <f>IFERROR(LOOKUP(2,1/('Weekly Tracker'!$E$2:$E$766=$A1004)/('Weekly Tracker'!$J$2:$J$766&lt;&gt;""),'Weekly Tracker'!$J$2:$J$766),"")</f>
        <v/>
      </c>
      <c r="K1004" s="9">
        <f>IFERROR(LOOKUP(2,1/('Weekly Tracker'!$E$2:$E$766=$A1004)/('Weekly Tracker'!$N$2:$N$766&lt;&gt;""),'Weekly Tracker'!$N$2:$N$766),"")</f>
        <v/>
      </c>
      <c r="L1004" s="9">
        <f>IFERROR(LOOKUP(2,1/('Weekly Tracker'!$E$2:$E$766=$A1004)/('Weekly Tracker'!$O$2:$O$766&lt;&gt;""),'Weekly Tracker'!$O$2:$O$766),"")</f>
        <v/>
      </c>
    </row>
    <row r="1005">
      <c r="A1005" s="9" t="inlineStr">
        <is>
          <t>Wilbert Electrician Kund</t>
        </is>
      </c>
      <c r="B1005" s="9" t="inlineStr">
        <is>
          <t>9488808183</t>
        </is>
      </c>
      <c r="C1005" s="9" t="n"/>
      <c r="D1005" s="9" t="n"/>
      <c r="E1005" s="9" t="n"/>
      <c r="F1005" s="9">
        <f>IFERROR(LOOKUP(2,1/('Weekly Tracker'!$E$2:$E$766=$A1005)/('Weekly Tracker'!$F$2:$F$766&lt;&gt;""),'Weekly Tracker'!$F$2:$F$766),"")</f>
        <v/>
      </c>
      <c r="G1005" s="16">
        <f>IF(F1005&lt;&gt;"",LOOKUP(2,1/('Weekly Tracker'!$E$2:$E$766=$A1005)/('Weekly Tracker'!$F$2:$F$766&lt;&gt;""),'Weekly Tracker'!$G$2:$G$766),"")</f>
        <v/>
      </c>
      <c r="H1005" s="9">
        <f>IFERROR(LOOKUP(2,1/('Weekly Tracker'!$E$2:$E$766=$A1005)/('Weekly Tracker'!$H$2:$H$766&lt;&gt;""),'Weekly Tracker'!$H$2:$H$766),"")</f>
        <v/>
      </c>
      <c r="I1005" s="16">
        <f>IF(H1005&lt;&gt;"",LOOKUP(2,1/('Weekly Tracker'!$E$2:$E$766=$A1005)/('Weekly Tracker'!$H$2:$H$766&lt;&gt;""),'Weekly Tracker'!$I$2:$I$766),"")</f>
        <v/>
      </c>
      <c r="J1005" s="9">
        <f>IFERROR(LOOKUP(2,1/('Weekly Tracker'!$E$2:$E$766=$A1005)/('Weekly Tracker'!$J$2:$J$766&lt;&gt;""),'Weekly Tracker'!$J$2:$J$766),"")</f>
        <v/>
      </c>
      <c r="K1005" s="9">
        <f>IFERROR(LOOKUP(2,1/('Weekly Tracker'!$E$2:$E$766=$A1005)/('Weekly Tracker'!$N$2:$N$766&lt;&gt;""),'Weekly Tracker'!$N$2:$N$766),"")</f>
        <v/>
      </c>
      <c r="L1005" s="9">
        <f>IFERROR(LOOKUP(2,1/('Weekly Tracker'!$E$2:$E$766=$A1005)/('Weekly Tracker'!$O$2:$O$766&lt;&gt;""),'Weekly Tracker'!$O$2:$O$766),"")</f>
        <v/>
      </c>
    </row>
    <row r="1006">
      <c r="A1006" s="9" t="inlineStr">
        <is>
          <t>Sivachala Pathi Urja</t>
        </is>
      </c>
      <c r="B1006" s="9" t="inlineStr">
        <is>
          <t>918056865275</t>
        </is>
      </c>
      <c r="C1006" s="9" t="n"/>
      <c r="D1006" s="9" t="n"/>
      <c r="E1006" s="9" t="inlineStr">
        <is>
          <t>Tamil Nadu, India</t>
        </is>
      </c>
      <c r="F1006" s="9">
        <f>IFERROR(LOOKUP(2,1/('Weekly Tracker'!$E$2:$E$766=$A1006)/('Weekly Tracker'!$F$2:$F$766&lt;&gt;""),'Weekly Tracker'!$F$2:$F$766),"")</f>
        <v/>
      </c>
      <c r="G1006" s="16">
        <f>IF(F1006&lt;&gt;"",LOOKUP(2,1/('Weekly Tracker'!$E$2:$E$766=$A1006)/('Weekly Tracker'!$F$2:$F$766&lt;&gt;""),'Weekly Tracker'!$G$2:$G$766),"")</f>
        <v/>
      </c>
      <c r="H1006" s="9">
        <f>IFERROR(LOOKUP(2,1/('Weekly Tracker'!$E$2:$E$766=$A1006)/('Weekly Tracker'!$H$2:$H$766&lt;&gt;""),'Weekly Tracker'!$H$2:$H$766),"")</f>
        <v/>
      </c>
      <c r="I1006" s="16">
        <f>IF(H1006&lt;&gt;"",LOOKUP(2,1/('Weekly Tracker'!$E$2:$E$766=$A1006)/('Weekly Tracker'!$H$2:$H$766&lt;&gt;""),'Weekly Tracker'!$I$2:$I$766),"")</f>
        <v/>
      </c>
      <c r="J1006" s="9">
        <f>IFERROR(LOOKUP(2,1/('Weekly Tracker'!$E$2:$E$766=$A1006)/('Weekly Tracker'!$J$2:$J$766&lt;&gt;""),'Weekly Tracker'!$J$2:$J$766),"")</f>
        <v/>
      </c>
      <c r="K1006" s="9">
        <f>IFERROR(LOOKUP(2,1/('Weekly Tracker'!$E$2:$E$766=$A1006)/('Weekly Tracker'!$N$2:$N$766&lt;&gt;""),'Weekly Tracker'!$N$2:$N$766),"")</f>
        <v/>
      </c>
      <c r="L1006" s="9">
        <f>IFERROR(LOOKUP(2,1/('Weekly Tracker'!$E$2:$E$766=$A1006)/('Weekly Tracker'!$O$2:$O$766&lt;&gt;""),'Weekly Tracker'!$O$2:$O$766),"")</f>
        <v/>
      </c>
    </row>
    <row r="1007">
      <c r="A1007" s="9" t="inlineStr">
        <is>
          <t>Manikandan Dharma</t>
        </is>
      </c>
      <c r="B1007" s="9" t="inlineStr">
        <is>
          <t>7708160418</t>
        </is>
      </c>
      <c r="C1007" s="9" t="n"/>
      <c r="D1007" s="9" t="n"/>
      <c r="E1007" s="9" t="n"/>
      <c r="F1007" s="9">
        <f>IFERROR(LOOKUP(2,1/('Weekly Tracker'!$E$2:$E$766=$A1007)/('Weekly Tracker'!$F$2:$F$766&lt;&gt;""),'Weekly Tracker'!$F$2:$F$766),"")</f>
        <v/>
      </c>
      <c r="G1007" s="16">
        <f>IF(F1007&lt;&gt;"",LOOKUP(2,1/('Weekly Tracker'!$E$2:$E$766=$A1007)/('Weekly Tracker'!$F$2:$F$766&lt;&gt;""),'Weekly Tracker'!$G$2:$G$766),"")</f>
        <v/>
      </c>
      <c r="H1007" s="9">
        <f>IFERROR(LOOKUP(2,1/('Weekly Tracker'!$E$2:$E$766=$A1007)/('Weekly Tracker'!$H$2:$H$766&lt;&gt;""),'Weekly Tracker'!$H$2:$H$766),"")</f>
        <v/>
      </c>
      <c r="I1007" s="16">
        <f>IF(H1007&lt;&gt;"",LOOKUP(2,1/('Weekly Tracker'!$E$2:$E$766=$A1007)/('Weekly Tracker'!$H$2:$H$766&lt;&gt;""),'Weekly Tracker'!$I$2:$I$766),"")</f>
        <v/>
      </c>
      <c r="J1007" s="9">
        <f>IFERROR(LOOKUP(2,1/('Weekly Tracker'!$E$2:$E$766=$A1007)/('Weekly Tracker'!$J$2:$J$766&lt;&gt;""),'Weekly Tracker'!$J$2:$J$766),"")</f>
        <v/>
      </c>
      <c r="K1007" s="9">
        <f>IFERROR(LOOKUP(2,1/('Weekly Tracker'!$E$2:$E$766=$A1007)/('Weekly Tracker'!$N$2:$N$766&lt;&gt;""),'Weekly Tracker'!$N$2:$N$766),"")</f>
        <v/>
      </c>
      <c r="L1007" s="9">
        <f>IFERROR(LOOKUP(2,1/('Weekly Tracker'!$E$2:$E$766=$A1007)/('Weekly Tracker'!$O$2:$O$766&lt;&gt;""),'Weekly Tracker'!$O$2:$O$766),"")</f>
        <v/>
      </c>
    </row>
    <row r="1008">
      <c r="A1008" s="9" t="inlineStr">
        <is>
          <t>Sakthi Kannan MakersTribe</t>
        </is>
      </c>
      <c r="B1008" s="9" t="inlineStr">
        <is>
          <t>8610086342</t>
        </is>
      </c>
      <c r="C1008" s="9" t="n"/>
      <c r="D1008" s="9" t="n"/>
      <c r="E1008" s="9" t="n"/>
      <c r="F1008" s="9">
        <f>IFERROR(LOOKUP(2,1/('Weekly Tracker'!$E$2:$E$766=$A1008)/('Weekly Tracker'!$F$2:$F$766&lt;&gt;""),'Weekly Tracker'!$F$2:$F$766),"")</f>
        <v/>
      </c>
      <c r="G1008" s="16">
        <f>IF(F1008&lt;&gt;"",LOOKUP(2,1/('Weekly Tracker'!$E$2:$E$766=$A1008)/('Weekly Tracker'!$F$2:$F$766&lt;&gt;""),'Weekly Tracker'!$G$2:$G$766),"")</f>
        <v/>
      </c>
      <c r="H1008" s="9">
        <f>IFERROR(LOOKUP(2,1/('Weekly Tracker'!$E$2:$E$766=$A1008)/('Weekly Tracker'!$H$2:$H$766&lt;&gt;""),'Weekly Tracker'!$H$2:$H$766),"")</f>
        <v/>
      </c>
      <c r="I1008" s="16">
        <f>IF(H1008&lt;&gt;"",LOOKUP(2,1/('Weekly Tracker'!$E$2:$E$766=$A1008)/('Weekly Tracker'!$H$2:$H$766&lt;&gt;""),'Weekly Tracker'!$I$2:$I$766),"")</f>
        <v/>
      </c>
      <c r="J1008" s="9">
        <f>IFERROR(LOOKUP(2,1/('Weekly Tracker'!$E$2:$E$766=$A1008)/('Weekly Tracker'!$J$2:$J$766&lt;&gt;""),'Weekly Tracker'!$J$2:$J$766),"")</f>
        <v/>
      </c>
      <c r="K1008" s="9">
        <f>IFERROR(LOOKUP(2,1/('Weekly Tracker'!$E$2:$E$766=$A1008)/('Weekly Tracker'!$N$2:$N$766&lt;&gt;""),'Weekly Tracker'!$N$2:$N$766),"")</f>
        <v/>
      </c>
      <c r="L1008" s="9">
        <f>IFERROR(LOOKUP(2,1/('Weekly Tracker'!$E$2:$E$766=$A1008)/('Weekly Tracker'!$O$2:$O$766&lt;&gt;""),'Weekly Tracker'!$O$2:$O$766),"")</f>
        <v/>
      </c>
    </row>
    <row r="1009">
      <c r="A1009" s="9" t="inlineStr">
        <is>
          <t>Vasee Garan FB</t>
        </is>
      </c>
      <c r="B1009" s="9" t="inlineStr">
        <is>
          <t>919944555479</t>
        </is>
      </c>
      <c r="C1009" s="9" t="n"/>
      <c r="D1009" s="9" t="n"/>
      <c r="E1009" s="9" t="n"/>
      <c r="F1009" s="9">
        <f>IFERROR(LOOKUP(2,1/('Weekly Tracker'!$E$2:$E$766=$A1009)/('Weekly Tracker'!$F$2:$F$766&lt;&gt;""),'Weekly Tracker'!$F$2:$F$766),"")</f>
        <v/>
      </c>
      <c r="G1009" s="16">
        <f>IF(F1009&lt;&gt;"",LOOKUP(2,1/('Weekly Tracker'!$E$2:$E$766=$A1009)/('Weekly Tracker'!$F$2:$F$766&lt;&gt;""),'Weekly Tracker'!$G$2:$G$766),"")</f>
        <v/>
      </c>
      <c r="H1009" s="9">
        <f>IFERROR(LOOKUP(2,1/('Weekly Tracker'!$E$2:$E$766=$A1009)/('Weekly Tracker'!$H$2:$H$766&lt;&gt;""),'Weekly Tracker'!$H$2:$H$766),"")</f>
        <v/>
      </c>
      <c r="I1009" s="16">
        <f>IF(H1009&lt;&gt;"",LOOKUP(2,1/('Weekly Tracker'!$E$2:$E$766=$A1009)/('Weekly Tracker'!$H$2:$H$766&lt;&gt;""),'Weekly Tracker'!$I$2:$I$766),"")</f>
        <v/>
      </c>
      <c r="J1009" s="9">
        <f>IFERROR(LOOKUP(2,1/('Weekly Tracker'!$E$2:$E$766=$A1009)/('Weekly Tracker'!$J$2:$J$766&lt;&gt;""),'Weekly Tracker'!$J$2:$J$766),"")</f>
        <v/>
      </c>
      <c r="K1009" s="9">
        <f>IFERROR(LOOKUP(2,1/('Weekly Tracker'!$E$2:$E$766=$A1009)/('Weekly Tracker'!$N$2:$N$766&lt;&gt;""),'Weekly Tracker'!$N$2:$N$766),"")</f>
        <v/>
      </c>
      <c r="L1009" s="9">
        <f>IFERROR(LOOKUP(2,1/('Weekly Tracker'!$E$2:$E$766=$A1009)/('Weekly Tracker'!$O$2:$O$766&lt;&gt;""),'Weekly Tracker'!$O$2:$O$766),"")</f>
        <v/>
      </c>
    </row>
    <row r="1010">
      <c r="A1010" s="9" t="inlineStr">
        <is>
          <t>Sankar Praveen LI</t>
        </is>
      </c>
      <c r="B1010" s="9" t="inlineStr">
        <is>
          <t>919791481714</t>
        </is>
      </c>
      <c r="C1010" s="9" t="n"/>
      <c r="D1010" s="9" t="n"/>
      <c r="E1010" s="9" t="n"/>
      <c r="F1010" s="9">
        <f>IFERROR(LOOKUP(2,1/('Weekly Tracker'!$E$2:$E$766=$A1010)/('Weekly Tracker'!$F$2:$F$766&lt;&gt;""),'Weekly Tracker'!$F$2:$F$766),"")</f>
        <v/>
      </c>
      <c r="G1010" s="16">
        <f>IF(F1010&lt;&gt;"",LOOKUP(2,1/('Weekly Tracker'!$E$2:$E$766=$A1010)/('Weekly Tracker'!$F$2:$F$766&lt;&gt;""),'Weekly Tracker'!$G$2:$G$766),"")</f>
        <v/>
      </c>
      <c r="H1010" s="9">
        <f>IFERROR(LOOKUP(2,1/('Weekly Tracker'!$E$2:$E$766=$A1010)/('Weekly Tracker'!$H$2:$H$766&lt;&gt;""),'Weekly Tracker'!$H$2:$H$766),"")</f>
        <v/>
      </c>
      <c r="I1010" s="16">
        <f>IF(H1010&lt;&gt;"",LOOKUP(2,1/('Weekly Tracker'!$E$2:$E$766=$A1010)/('Weekly Tracker'!$H$2:$H$766&lt;&gt;""),'Weekly Tracker'!$I$2:$I$766),"")</f>
        <v/>
      </c>
      <c r="J1010" s="9">
        <f>IFERROR(LOOKUP(2,1/('Weekly Tracker'!$E$2:$E$766=$A1010)/('Weekly Tracker'!$J$2:$J$766&lt;&gt;""),'Weekly Tracker'!$J$2:$J$766),"")</f>
        <v/>
      </c>
      <c r="K1010" s="9">
        <f>IFERROR(LOOKUP(2,1/('Weekly Tracker'!$E$2:$E$766=$A1010)/('Weekly Tracker'!$N$2:$N$766&lt;&gt;""),'Weekly Tracker'!$N$2:$N$766),"")</f>
        <v/>
      </c>
      <c r="L1010" s="9">
        <f>IFERROR(LOOKUP(2,1/('Weekly Tracker'!$E$2:$E$766=$A1010)/('Weekly Tracker'!$O$2:$O$766&lt;&gt;""),'Weekly Tracker'!$O$2:$O$766),"")</f>
        <v/>
      </c>
    </row>
    <row r="1011">
      <c r="A1011" s="9" t="inlineStr">
        <is>
          <t>Auto Kdnl</t>
        </is>
      </c>
      <c r="B1011" s="9" t="inlineStr">
        <is>
          <t>8015752301</t>
        </is>
      </c>
      <c r="C1011" s="9" t="n"/>
      <c r="D1011" s="9" t="n"/>
      <c r="E1011" s="9" t="n"/>
      <c r="F1011" s="9">
        <f>IFERROR(LOOKUP(2,1/('Weekly Tracker'!$E$2:$E$766=$A1011)/('Weekly Tracker'!$F$2:$F$766&lt;&gt;""),'Weekly Tracker'!$F$2:$F$766),"")</f>
        <v/>
      </c>
      <c r="G1011" s="16">
        <f>IF(F1011&lt;&gt;"",LOOKUP(2,1/('Weekly Tracker'!$E$2:$E$766=$A1011)/('Weekly Tracker'!$F$2:$F$766&lt;&gt;""),'Weekly Tracker'!$G$2:$G$766),"")</f>
        <v/>
      </c>
      <c r="H1011" s="9">
        <f>IFERROR(LOOKUP(2,1/('Weekly Tracker'!$E$2:$E$766=$A1011)/('Weekly Tracker'!$H$2:$H$766&lt;&gt;""),'Weekly Tracker'!$H$2:$H$766),"")</f>
        <v/>
      </c>
      <c r="I1011" s="16">
        <f>IF(H1011&lt;&gt;"",LOOKUP(2,1/('Weekly Tracker'!$E$2:$E$766=$A1011)/('Weekly Tracker'!$H$2:$H$766&lt;&gt;""),'Weekly Tracker'!$I$2:$I$766),"")</f>
        <v/>
      </c>
      <c r="J1011" s="9">
        <f>IFERROR(LOOKUP(2,1/('Weekly Tracker'!$E$2:$E$766=$A1011)/('Weekly Tracker'!$J$2:$J$766&lt;&gt;""),'Weekly Tracker'!$J$2:$J$766),"")</f>
        <v/>
      </c>
      <c r="K1011" s="9">
        <f>IFERROR(LOOKUP(2,1/('Weekly Tracker'!$E$2:$E$766=$A1011)/('Weekly Tracker'!$N$2:$N$766&lt;&gt;""),'Weekly Tracker'!$N$2:$N$766),"")</f>
        <v/>
      </c>
      <c r="L1011" s="9">
        <f>IFERROR(LOOKUP(2,1/('Weekly Tracker'!$E$2:$E$766=$A1011)/('Weekly Tracker'!$O$2:$O$766&lt;&gt;""),'Weekly Tracker'!$O$2:$O$766),"")</f>
        <v/>
      </c>
    </row>
    <row r="1012">
      <c r="A1012" s="9" t="inlineStr">
        <is>
          <t>Sasi Junior</t>
        </is>
      </c>
      <c r="B1012" s="9" t="inlineStr">
        <is>
          <t>917598840699</t>
        </is>
      </c>
      <c r="C1012" s="9" t="n"/>
      <c r="D1012" s="9" t="n"/>
      <c r="E1012" s="9" t="n"/>
      <c r="F1012" s="9">
        <f>IFERROR(LOOKUP(2,1/('Weekly Tracker'!$E$2:$E$766=$A1012)/('Weekly Tracker'!$F$2:$F$766&lt;&gt;""),'Weekly Tracker'!$F$2:$F$766),"")</f>
        <v/>
      </c>
      <c r="G1012" s="16">
        <f>IF(F1012&lt;&gt;"",LOOKUP(2,1/('Weekly Tracker'!$E$2:$E$766=$A1012)/('Weekly Tracker'!$F$2:$F$766&lt;&gt;""),'Weekly Tracker'!$G$2:$G$766),"")</f>
        <v/>
      </c>
      <c r="H1012" s="9">
        <f>IFERROR(LOOKUP(2,1/('Weekly Tracker'!$E$2:$E$766=$A1012)/('Weekly Tracker'!$H$2:$H$766&lt;&gt;""),'Weekly Tracker'!$H$2:$H$766),"")</f>
        <v/>
      </c>
      <c r="I1012" s="16">
        <f>IF(H1012&lt;&gt;"",LOOKUP(2,1/('Weekly Tracker'!$E$2:$E$766=$A1012)/('Weekly Tracker'!$H$2:$H$766&lt;&gt;""),'Weekly Tracker'!$I$2:$I$766),"")</f>
        <v/>
      </c>
      <c r="J1012" s="9">
        <f>IFERROR(LOOKUP(2,1/('Weekly Tracker'!$E$2:$E$766=$A1012)/('Weekly Tracker'!$J$2:$J$766&lt;&gt;""),'Weekly Tracker'!$J$2:$J$766),"")</f>
        <v/>
      </c>
      <c r="K1012" s="9">
        <f>IFERROR(LOOKUP(2,1/('Weekly Tracker'!$E$2:$E$766=$A1012)/('Weekly Tracker'!$N$2:$N$766&lt;&gt;""),'Weekly Tracker'!$N$2:$N$766),"")</f>
        <v/>
      </c>
      <c r="L1012" s="9">
        <f>IFERROR(LOOKUP(2,1/('Weekly Tracker'!$E$2:$E$766=$A1012)/('Weekly Tracker'!$O$2:$O$766&lt;&gt;""),'Weekly Tracker'!$O$2:$O$766),"")</f>
        <v/>
      </c>
    </row>
    <row r="1013">
      <c r="A1013" s="9" t="inlineStr">
        <is>
          <t>Shakeel Khan FB</t>
        </is>
      </c>
      <c r="B1013" s="9" t="inlineStr">
        <is>
          <t>919600823352, 255785388481</t>
        </is>
      </c>
      <c r="C1013" s="9" t="n"/>
      <c r="D1013" s="9" t="n"/>
      <c r="E1013" s="9" t="n"/>
      <c r="F1013" s="9">
        <f>IFERROR(LOOKUP(2,1/('Weekly Tracker'!$E$2:$E$766=$A1013)/('Weekly Tracker'!$F$2:$F$766&lt;&gt;""),'Weekly Tracker'!$F$2:$F$766),"")</f>
        <v/>
      </c>
      <c r="G1013" s="16">
        <f>IF(F1013&lt;&gt;"",LOOKUP(2,1/('Weekly Tracker'!$E$2:$E$766=$A1013)/('Weekly Tracker'!$F$2:$F$766&lt;&gt;""),'Weekly Tracker'!$G$2:$G$766),"")</f>
        <v/>
      </c>
      <c r="H1013" s="9">
        <f>IFERROR(LOOKUP(2,1/('Weekly Tracker'!$E$2:$E$766=$A1013)/('Weekly Tracker'!$H$2:$H$766&lt;&gt;""),'Weekly Tracker'!$H$2:$H$766),"")</f>
        <v/>
      </c>
      <c r="I1013" s="16">
        <f>IF(H1013&lt;&gt;"",LOOKUP(2,1/('Weekly Tracker'!$E$2:$E$766=$A1013)/('Weekly Tracker'!$H$2:$H$766&lt;&gt;""),'Weekly Tracker'!$I$2:$I$766),"")</f>
        <v/>
      </c>
      <c r="J1013" s="9">
        <f>IFERROR(LOOKUP(2,1/('Weekly Tracker'!$E$2:$E$766=$A1013)/('Weekly Tracker'!$J$2:$J$766&lt;&gt;""),'Weekly Tracker'!$J$2:$J$766),"")</f>
        <v/>
      </c>
      <c r="K1013" s="9">
        <f>IFERROR(LOOKUP(2,1/('Weekly Tracker'!$E$2:$E$766=$A1013)/('Weekly Tracker'!$N$2:$N$766&lt;&gt;""),'Weekly Tracker'!$N$2:$N$766),"")</f>
        <v/>
      </c>
      <c r="L1013" s="9">
        <f>IFERROR(LOOKUP(2,1/('Weekly Tracker'!$E$2:$E$766=$A1013)/('Weekly Tracker'!$O$2:$O$766&lt;&gt;""),'Weekly Tracker'!$O$2:$O$766),"")</f>
        <v/>
      </c>
    </row>
    <row r="1014">
      <c r="A1014" s="9" t="inlineStr">
        <is>
          <t>Vivek Urja</t>
        </is>
      </c>
      <c r="B1014" s="9" t="inlineStr">
        <is>
          <t>918939115645</t>
        </is>
      </c>
      <c r="C1014" s="9" t="n"/>
      <c r="D1014" s="9" t="n"/>
      <c r="E1014" s="9" t="n"/>
      <c r="F1014" s="9">
        <f>IFERROR(LOOKUP(2,1/('Weekly Tracker'!$E$2:$E$766=$A1014)/('Weekly Tracker'!$F$2:$F$766&lt;&gt;""),'Weekly Tracker'!$F$2:$F$766),"")</f>
        <v/>
      </c>
      <c r="G1014" s="16">
        <f>IF(F1014&lt;&gt;"",LOOKUP(2,1/('Weekly Tracker'!$E$2:$E$766=$A1014)/('Weekly Tracker'!$F$2:$F$766&lt;&gt;""),'Weekly Tracker'!$G$2:$G$766),"")</f>
        <v/>
      </c>
      <c r="H1014" s="9">
        <f>IFERROR(LOOKUP(2,1/('Weekly Tracker'!$E$2:$E$766=$A1014)/('Weekly Tracker'!$H$2:$H$766&lt;&gt;""),'Weekly Tracker'!$H$2:$H$766),"")</f>
        <v/>
      </c>
      <c r="I1014" s="16">
        <f>IF(H1014&lt;&gt;"",LOOKUP(2,1/('Weekly Tracker'!$E$2:$E$766=$A1014)/('Weekly Tracker'!$H$2:$H$766&lt;&gt;""),'Weekly Tracker'!$I$2:$I$766),"")</f>
        <v/>
      </c>
      <c r="J1014" s="9">
        <f>IFERROR(LOOKUP(2,1/('Weekly Tracker'!$E$2:$E$766=$A1014)/('Weekly Tracker'!$J$2:$J$766&lt;&gt;""),'Weekly Tracker'!$J$2:$J$766),"")</f>
        <v/>
      </c>
      <c r="K1014" s="9">
        <f>IFERROR(LOOKUP(2,1/('Weekly Tracker'!$E$2:$E$766=$A1014)/('Weekly Tracker'!$N$2:$N$766&lt;&gt;""),'Weekly Tracker'!$N$2:$N$766),"")</f>
        <v/>
      </c>
      <c r="L1014" s="9">
        <f>IFERROR(LOOKUP(2,1/('Weekly Tracker'!$E$2:$E$766=$A1014)/('Weekly Tracker'!$O$2:$O$766&lt;&gt;""),'Weekly Tracker'!$O$2:$O$766),"")</f>
        <v/>
      </c>
    </row>
    <row r="1015">
      <c r="A1015" s="9" t="inlineStr">
        <is>
          <t>Nirmal Raj Urja</t>
        </is>
      </c>
      <c r="B1015" s="9" t="inlineStr">
        <is>
          <t>9789887224</t>
        </is>
      </c>
      <c r="C1015" s="9" t="n"/>
      <c r="D1015" s="9" t="n"/>
      <c r="E1015" s="9" t="n"/>
      <c r="F1015" s="9">
        <f>IFERROR(LOOKUP(2,1/('Weekly Tracker'!$E$2:$E$766=$A1015)/('Weekly Tracker'!$F$2:$F$766&lt;&gt;""),'Weekly Tracker'!$F$2:$F$766),"")</f>
        <v/>
      </c>
      <c r="G1015" s="16">
        <f>IF(F1015&lt;&gt;"",LOOKUP(2,1/('Weekly Tracker'!$E$2:$E$766=$A1015)/('Weekly Tracker'!$F$2:$F$766&lt;&gt;""),'Weekly Tracker'!$G$2:$G$766),"")</f>
        <v/>
      </c>
      <c r="H1015" s="9">
        <f>IFERROR(LOOKUP(2,1/('Weekly Tracker'!$E$2:$E$766=$A1015)/('Weekly Tracker'!$H$2:$H$766&lt;&gt;""),'Weekly Tracker'!$H$2:$H$766),"")</f>
        <v/>
      </c>
      <c r="I1015" s="16">
        <f>IF(H1015&lt;&gt;"",LOOKUP(2,1/('Weekly Tracker'!$E$2:$E$766=$A1015)/('Weekly Tracker'!$H$2:$H$766&lt;&gt;""),'Weekly Tracker'!$I$2:$I$766),"")</f>
        <v/>
      </c>
      <c r="J1015" s="9">
        <f>IFERROR(LOOKUP(2,1/('Weekly Tracker'!$E$2:$E$766=$A1015)/('Weekly Tracker'!$J$2:$J$766&lt;&gt;""),'Weekly Tracker'!$J$2:$J$766),"")</f>
        <v/>
      </c>
      <c r="K1015" s="9">
        <f>IFERROR(LOOKUP(2,1/('Weekly Tracker'!$E$2:$E$766=$A1015)/('Weekly Tracker'!$N$2:$N$766&lt;&gt;""),'Weekly Tracker'!$N$2:$N$766),"")</f>
        <v/>
      </c>
      <c r="L1015" s="9">
        <f>IFERROR(LOOKUP(2,1/('Weekly Tracker'!$E$2:$E$766=$A1015)/('Weekly Tracker'!$O$2:$O$766&lt;&gt;""),'Weekly Tracker'!$O$2:$O$766),"")</f>
        <v/>
      </c>
    </row>
    <row r="1016">
      <c r="A1016" s="9" t="inlineStr">
        <is>
          <t>Jotheeswaran FB</t>
        </is>
      </c>
      <c r="B1016" s="9" t="inlineStr">
        <is>
          <t>+91 80565 65202</t>
        </is>
      </c>
      <c r="C1016" s="9" t="n"/>
      <c r="D1016" s="9" t="n"/>
      <c r="E1016" s="9" t="n"/>
      <c r="F1016" s="9">
        <f>IFERROR(LOOKUP(2,1/('Weekly Tracker'!$E$2:$E$766=$A1016)/('Weekly Tracker'!$F$2:$F$766&lt;&gt;""),'Weekly Tracker'!$F$2:$F$766),"")</f>
        <v/>
      </c>
      <c r="G1016" s="16">
        <f>IF(F1016&lt;&gt;"",LOOKUP(2,1/('Weekly Tracker'!$E$2:$E$766=$A1016)/('Weekly Tracker'!$F$2:$F$766&lt;&gt;""),'Weekly Tracker'!$G$2:$G$766),"")</f>
        <v/>
      </c>
      <c r="H1016" s="9">
        <f>IFERROR(LOOKUP(2,1/('Weekly Tracker'!$E$2:$E$766=$A1016)/('Weekly Tracker'!$H$2:$H$766&lt;&gt;""),'Weekly Tracker'!$H$2:$H$766),"")</f>
        <v/>
      </c>
      <c r="I1016" s="16">
        <f>IF(H1016&lt;&gt;"",LOOKUP(2,1/('Weekly Tracker'!$E$2:$E$766=$A1016)/('Weekly Tracker'!$H$2:$H$766&lt;&gt;""),'Weekly Tracker'!$I$2:$I$766),"")</f>
        <v/>
      </c>
      <c r="J1016" s="9">
        <f>IFERROR(LOOKUP(2,1/('Weekly Tracker'!$E$2:$E$766=$A1016)/('Weekly Tracker'!$J$2:$J$766&lt;&gt;""),'Weekly Tracker'!$J$2:$J$766),"")</f>
        <v/>
      </c>
      <c r="K1016" s="9">
        <f>IFERROR(LOOKUP(2,1/('Weekly Tracker'!$E$2:$E$766=$A1016)/('Weekly Tracker'!$N$2:$N$766&lt;&gt;""),'Weekly Tracker'!$N$2:$N$766),"")</f>
        <v/>
      </c>
      <c r="L1016" s="9">
        <f>IFERROR(LOOKUP(2,1/('Weekly Tracker'!$E$2:$E$766=$A1016)/('Weekly Tracker'!$O$2:$O$766&lt;&gt;""),'Weekly Tracker'!$O$2:$O$766),"")</f>
        <v/>
      </c>
    </row>
    <row r="1017">
      <c r="A1017" s="9" t="inlineStr">
        <is>
          <t>Venkatesh Infosys Verz</t>
        </is>
      </c>
      <c r="B1017" s="9" t="inlineStr">
        <is>
          <t>9884566071</t>
        </is>
      </c>
      <c r="C1017" s="9" t="n"/>
      <c r="D1017" s="9" t="n"/>
      <c r="E1017" s="9" t="n"/>
      <c r="F1017" s="9">
        <f>IFERROR(LOOKUP(2,1/('Weekly Tracker'!$E$2:$E$766=$A1017)/('Weekly Tracker'!$F$2:$F$766&lt;&gt;""),'Weekly Tracker'!$F$2:$F$766),"")</f>
        <v/>
      </c>
      <c r="G1017" s="16">
        <f>IF(F1017&lt;&gt;"",LOOKUP(2,1/('Weekly Tracker'!$E$2:$E$766=$A1017)/('Weekly Tracker'!$F$2:$F$766&lt;&gt;""),'Weekly Tracker'!$G$2:$G$766),"")</f>
        <v/>
      </c>
      <c r="H1017" s="9">
        <f>IFERROR(LOOKUP(2,1/('Weekly Tracker'!$E$2:$E$766=$A1017)/('Weekly Tracker'!$H$2:$H$766&lt;&gt;""),'Weekly Tracker'!$H$2:$H$766),"")</f>
        <v/>
      </c>
      <c r="I1017" s="16">
        <f>IF(H1017&lt;&gt;"",LOOKUP(2,1/('Weekly Tracker'!$E$2:$E$766=$A1017)/('Weekly Tracker'!$H$2:$H$766&lt;&gt;""),'Weekly Tracker'!$I$2:$I$766),"")</f>
        <v/>
      </c>
      <c r="J1017" s="9">
        <f>IFERROR(LOOKUP(2,1/('Weekly Tracker'!$E$2:$E$766=$A1017)/('Weekly Tracker'!$J$2:$J$766&lt;&gt;""),'Weekly Tracker'!$J$2:$J$766),"")</f>
        <v/>
      </c>
      <c r="K1017" s="9">
        <f>IFERROR(LOOKUP(2,1/('Weekly Tracker'!$E$2:$E$766=$A1017)/('Weekly Tracker'!$N$2:$N$766&lt;&gt;""),'Weekly Tracker'!$N$2:$N$766),"")</f>
        <v/>
      </c>
      <c r="L1017" s="9">
        <f>IFERROR(LOOKUP(2,1/('Weekly Tracker'!$E$2:$E$766=$A1017)/('Weekly Tracker'!$O$2:$O$766&lt;&gt;""),'Weekly Tracker'!$O$2:$O$766),"")</f>
        <v/>
      </c>
    </row>
    <row r="1018">
      <c r="A1018" s="9" t="inlineStr">
        <is>
          <t>Manikandan Scl</t>
        </is>
      </c>
      <c r="B1018" s="9" t="inlineStr">
        <is>
          <t>917667916286</t>
        </is>
      </c>
      <c r="C1018" s="9" t="n"/>
      <c r="D1018" s="9" t="n"/>
      <c r="E1018" s="9" t="n"/>
      <c r="F1018" s="9">
        <f>IFERROR(LOOKUP(2,1/('Weekly Tracker'!$E$2:$E$766=$A1018)/('Weekly Tracker'!$F$2:$F$766&lt;&gt;""),'Weekly Tracker'!$F$2:$F$766),"")</f>
        <v/>
      </c>
      <c r="G1018" s="16">
        <f>IF(F1018&lt;&gt;"",LOOKUP(2,1/('Weekly Tracker'!$E$2:$E$766=$A1018)/('Weekly Tracker'!$F$2:$F$766&lt;&gt;""),'Weekly Tracker'!$G$2:$G$766),"")</f>
        <v/>
      </c>
      <c r="H1018" s="9">
        <f>IFERROR(LOOKUP(2,1/('Weekly Tracker'!$E$2:$E$766=$A1018)/('Weekly Tracker'!$H$2:$H$766&lt;&gt;""),'Weekly Tracker'!$H$2:$H$766),"")</f>
        <v/>
      </c>
      <c r="I1018" s="16">
        <f>IF(H1018&lt;&gt;"",LOOKUP(2,1/('Weekly Tracker'!$E$2:$E$766=$A1018)/('Weekly Tracker'!$H$2:$H$766&lt;&gt;""),'Weekly Tracker'!$I$2:$I$766),"")</f>
        <v/>
      </c>
      <c r="J1018" s="9">
        <f>IFERROR(LOOKUP(2,1/('Weekly Tracker'!$E$2:$E$766=$A1018)/('Weekly Tracker'!$J$2:$J$766&lt;&gt;""),'Weekly Tracker'!$J$2:$J$766),"")</f>
        <v/>
      </c>
      <c r="K1018" s="9">
        <f>IFERROR(LOOKUP(2,1/('Weekly Tracker'!$E$2:$E$766=$A1018)/('Weekly Tracker'!$N$2:$N$766&lt;&gt;""),'Weekly Tracker'!$N$2:$N$766),"")</f>
        <v/>
      </c>
      <c r="L1018" s="9">
        <f>IFERROR(LOOKUP(2,1/('Weekly Tracker'!$E$2:$E$766=$A1018)/('Weekly Tracker'!$O$2:$O$766&lt;&gt;""),'Weekly Tracker'!$O$2:$O$766),"")</f>
        <v/>
      </c>
    </row>
    <row r="1019">
      <c r="A1019" s="9" t="inlineStr">
        <is>
          <t>Bhagya tours and travels</t>
        </is>
      </c>
      <c r="B1019" s="9" t="inlineStr">
        <is>
          <t>918056173473</t>
        </is>
      </c>
      <c r="C1019" s="9" t="n"/>
      <c r="D1019" s="9" t="n"/>
      <c r="E1019" s="9" t="n"/>
      <c r="F1019" s="9">
        <f>IFERROR(LOOKUP(2,1/('Weekly Tracker'!$E$2:$E$766=$A1019)/('Weekly Tracker'!$F$2:$F$766&lt;&gt;""),'Weekly Tracker'!$F$2:$F$766),"")</f>
        <v/>
      </c>
      <c r="G1019" s="16">
        <f>IF(F1019&lt;&gt;"",LOOKUP(2,1/('Weekly Tracker'!$E$2:$E$766=$A1019)/('Weekly Tracker'!$F$2:$F$766&lt;&gt;""),'Weekly Tracker'!$G$2:$G$766),"")</f>
        <v/>
      </c>
      <c r="H1019" s="9">
        <f>IFERROR(LOOKUP(2,1/('Weekly Tracker'!$E$2:$E$766=$A1019)/('Weekly Tracker'!$H$2:$H$766&lt;&gt;""),'Weekly Tracker'!$H$2:$H$766),"")</f>
        <v/>
      </c>
      <c r="I1019" s="16">
        <f>IF(H1019&lt;&gt;"",LOOKUP(2,1/('Weekly Tracker'!$E$2:$E$766=$A1019)/('Weekly Tracker'!$H$2:$H$766&lt;&gt;""),'Weekly Tracker'!$I$2:$I$766),"")</f>
        <v/>
      </c>
      <c r="J1019" s="9">
        <f>IFERROR(LOOKUP(2,1/('Weekly Tracker'!$E$2:$E$766=$A1019)/('Weekly Tracker'!$J$2:$J$766&lt;&gt;""),'Weekly Tracker'!$J$2:$J$766),"")</f>
        <v/>
      </c>
      <c r="K1019" s="9">
        <f>IFERROR(LOOKUP(2,1/('Weekly Tracker'!$E$2:$E$766=$A1019)/('Weekly Tracker'!$N$2:$N$766&lt;&gt;""),'Weekly Tracker'!$N$2:$N$766),"")</f>
        <v/>
      </c>
      <c r="L1019" s="9">
        <f>IFERROR(LOOKUP(2,1/('Weekly Tracker'!$E$2:$E$766=$A1019)/('Weekly Tracker'!$O$2:$O$766&lt;&gt;""),'Weekly Tracker'!$O$2:$O$766),"")</f>
        <v/>
      </c>
    </row>
    <row r="1020">
      <c r="A1020" s="9" t="inlineStr">
        <is>
          <t>Karkki IT Awarness</t>
        </is>
      </c>
      <c r="B1020" s="9" t="inlineStr">
        <is>
          <t>917845275750</t>
        </is>
      </c>
      <c r="C1020" s="9" t="n"/>
      <c r="D1020" s="9" t="n"/>
      <c r="E1020" s="9" t="n"/>
      <c r="F1020" s="9">
        <f>IFERROR(LOOKUP(2,1/('Weekly Tracker'!$E$2:$E$766=$A1020)/('Weekly Tracker'!$F$2:$F$766&lt;&gt;""),'Weekly Tracker'!$F$2:$F$766),"")</f>
        <v/>
      </c>
      <c r="G1020" s="16">
        <f>IF(F1020&lt;&gt;"",LOOKUP(2,1/('Weekly Tracker'!$E$2:$E$766=$A1020)/('Weekly Tracker'!$F$2:$F$766&lt;&gt;""),'Weekly Tracker'!$G$2:$G$766),"")</f>
        <v/>
      </c>
      <c r="H1020" s="9">
        <f>IFERROR(LOOKUP(2,1/('Weekly Tracker'!$E$2:$E$766=$A1020)/('Weekly Tracker'!$H$2:$H$766&lt;&gt;""),'Weekly Tracker'!$H$2:$H$766),"")</f>
        <v/>
      </c>
      <c r="I1020" s="16">
        <f>IF(H1020&lt;&gt;"",LOOKUP(2,1/('Weekly Tracker'!$E$2:$E$766=$A1020)/('Weekly Tracker'!$H$2:$H$766&lt;&gt;""),'Weekly Tracker'!$I$2:$I$766),"")</f>
        <v/>
      </c>
      <c r="J1020" s="9">
        <f>IFERROR(LOOKUP(2,1/('Weekly Tracker'!$E$2:$E$766=$A1020)/('Weekly Tracker'!$J$2:$J$766&lt;&gt;""),'Weekly Tracker'!$J$2:$J$766),"")</f>
        <v/>
      </c>
      <c r="K1020" s="9">
        <f>IFERROR(LOOKUP(2,1/('Weekly Tracker'!$E$2:$E$766=$A1020)/('Weekly Tracker'!$N$2:$N$766&lt;&gt;""),'Weekly Tracker'!$N$2:$N$766),"")</f>
        <v/>
      </c>
      <c r="L1020" s="9">
        <f>IFERROR(LOOKUP(2,1/('Weekly Tracker'!$E$2:$E$766=$A1020)/('Weekly Tracker'!$O$2:$O$766&lt;&gt;""),'Weekly Tracker'!$O$2:$O$766),"")</f>
        <v/>
      </c>
    </row>
    <row r="1021">
      <c r="A1021" s="9" t="inlineStr">
        <is>
          <t>Umanathan Bhumi</t>
        </is>
      </c>
      <c r="B1021" s="9" t="inlineStr">
        <is>
          <t>919916836819</t>
        </is>
      </c>
      <c r="C1021" s="9" t="n"/>
      <c r="D1021" s="9" t="n"/>
      <c r="E1021" s="9" t="n"/>
      <c r="F1021" s="9">
        <f>IFERROR(LOOKUP(2,1/('Weekly Tracker'!$E$2:$E$766=$A1021)/('Weekly Tracker'!$F$2:$F$766&lt;&gt;""),'Weekly Tracker'!$F$2:$F$766),"")</f>
        <v/>
      </c>
      <c r="G1021" s="16">
        <f>IF(F1021&lt;&gt;"",LOOKUP(2,1/('Weekly Tracker'!$E$2:$E$766=$A1021)/('Weekly Tracker'!$F$2:$F$766&lt;&gt;""),'Weekly Tracker'!$G$2:$G$766),"")</f>
        <v/>
      </c>
      <c r="H1021" s="9">
        <f>IFERROR(LOOKUP(2,1/('Weekly Tracker'!$E$2:$E$766=$A1021)/('Weekly Tracker'!$H$2:$H$766&lt;&gt;""),'Weekly Tracker'!$H$2:$H$766),"")</f>
        <v/>
      </c>
      <c r="I1021" s="16">
        <f>IF(H1021&lt;&gt;"",LOOKUP(2,1/('Weekly Tracker'!$E$2:$E$766=$A1021)/('Weekly Tracker'!$H$2:$H$766&lt;&gt;""),'Weekly Tracker'!$I$2:$I$766),"")</f>
        <v/>
      </c>
      <c r="J1021" s="9">
        <f>IFERROR(LOOKUP(2,1/('Weekly Tracker'!$E$2:$E$766=$A1021)/('Weekly Tracker'!$J$2:$J$766&lt;&gt;""),'Weekly Tracker'!$J$2:$J$766),"")</f>
        <v/>
      </c>
      <c r="K1021" s="9">
        <f>IFERROR(LOOKUP(2,1/('Weekly Tracker'!$E$2:$E$766=$A1021)/('Weekly Tracker'!$N$2:$N$766&lt;&gt;""),'Weekly Tracker'!$N$2:$N$766),"")</f>
        <v/>
      </c>
      <c r="L1021" s="9">
        <f>IFERROR(LOOKUP(2,1/('Weekly Tracker'!$E$2:$E$766=$A1021)/('Weekly Tracker'!$O$2:$O$766&lt;&gt;""),'Weekly Tracker'!$O$2:$O$766),"")</f>
        <v/>
      </c>
    </row>
    <row r="1022">
      <c r="A1022" s="9" t="inlineStr">
        <is>
          <t>Vijaya Prabhu FB</t>
        </is>
      </c>
      <c r="B1022" s="9" t="inlineStr">
        <is>
          <t>9976930626</t>
        </is>
      </c>
      <c r="C1022" s="9" t="n"/>
      <c r="D1022" s="9" t="n"/>
      <c r="E1022" s="9" t="n"/>
      <c r="F1022" s="9">
        <f>IFERROR(LOOKUP(2,1/('Weekly Tracker'!$E$2:$E$766=$A1022)/('Weekly Tracker'!$F$2:$F$766&lt;&gt;""),'Weekly Tracker'!$F$2:$F$766),"")</f>
        <v/>
      </c>
      <c r="G1022" s="16">
        <f>IF(F1022&lt;&gt;"",LOOKUP(2,1/('Weekly Tracker'!$E$2:$E$766=$A1022)/('Weekly Tracker'!$F$2:$F$766&lt;&gt;""),'Weekly Tracker'!$G$2:$G$766),"")</f>
        <v/>
      </c>
      <c r="H1022" s="9">
        <f>IFERROR(LOOKUP(2,1/('Weekly Tracker'!$E$2:$E$766=$A1022)/('Weekly Tracker'!$H$2:$H$766&lt;&gt;""),'Weekly Tracker'!$H$2:$H$766),"")</f>
        <v/>
      </c>
      <c r="I1022" s="16">
        <f>IF(H1022&lt;&gt;"",LOOKUP(2,1/('Weekly Tracker'!$E$2:$E$766=$A1022)/('Weekly Tracker'!$H$2:$H$766&lt;&gt;""),'Weekly Tracker'!$I$2:$I$766),"")</f>
        <v/>
      </c>
      <c r="J1022" s="9">
        <f>IFERROR(LOOKUP(2,1/('Weekly Tracker'!$E$2:$E$766=$A1022)/('Weekly Tracker'!$J$2:$J$766&lt;&gt;""),'Weekly Tracker'!$J$2:$J$766),"")</f>
        <v/>
      </c>
      <c r="K1022" s="9">
        <f>IFERROR(LOOKUP(2,1/('Weekly Tracker'!$E$2:$E$766=$A1022)/('Weekly Tracker'!$N$2:$N$766&lt;&gt;""),'Weekly Tracker'!$N$2:$N$766),"")</f>
        <v/>
      </c>
      <c r="L1022" s="9">
        <f>IFERROR(LOOKUP(2,1/('Weekly Tracker'!$E$2:$E$766=$A1022)/('Weekly Tracker'!$O$2:$O$766&lt;&gt;""),'Weekly Tracker'!$O$2:$O$766),"")</f>
        <v/>
      </c>
    </row>
    <row r="1023">
      <c r="A1023" s="9" t="inlineStr">
        <is>
          <t>Arul Bang</t>
        </is>
      </c>
      <c r="B1023" s="9" t="inlineStr">
        <is>
          <t>918951014585</t>
        </is>
      </c>
      <c r="C1023" s="9" t="n"/>
      <c r="D1023" s="9" t="n"/>
      <c r="E1023" s="9" t="n"/>
      <c r="F1023" s="9">
        <f>IFERROR(LOOKUP(2,1/('Weekly Tracker'!$E$2:$E$766=$A1023)/('Weekly Tracker'!$F$2:$F$766&lt;&gt;""),'Weekly Tracker'!$F$2:$F$766),"")</f>
        <v/>
      </c>
      <c r="G1023" s="16">
        <f>IF(F1023&lt;&gt;"",LOOKUP(2,1/('Weekly Tracker'!$E$2:$E$766=$A1023)/('Weekly Tracker'!$F$2:$F$766&lt;&gt;""),'Weekly Tracker'!$G$2:$G$766),"")</f>
        <v/>
      </c>
      <c r="H1023" s="9">
        <f>IFERROR(LOOKUP(2,1/('Weekly Tracker'!$E$2:$E$766=$A1023)/('Weekly Tracker'!$H$2:$H$766&lt;&gt;""),'Weekly Tracker'!$H$2:$H$766),"")</f>
        <v/>
      </c>
      <c r="I1023" s="16">
        <f>IF(H1023&lt;&gt;"",LOOKUP(2,1/('Weekly Tracker'!$E$2:$E$766=$A1023)/('Weekly Tracker'!$H$2:$H$766&lt;&gt;""),'Weekly Tracker'!$I$2:$I$766),"")</f>
        <v/>
      </c>
      <c r="J1023" s="9">
        <f>IFERROR(LOOKUP(2,1/('Weekly Tracker'!$E$2:$E$766=$A1023)/('Weekly Tracker'!$J$2:$J$766&lt;&gt;""),'Weekly Tracker'!$J$2:$J$766),"")</f>
        <v/>
      </c>
      <c r="K1023" s="9">
        <f>IFERROR(LOOKUP(2,1/('Weekly Tracker'!$E$2:$E$766=$A1023)/('Weekly Tracker'!$N$2:$N$766&lt;&gt;""),'Weekly Tracker'!$N$2:$N$766),"")</f>
        <v/>
      </c>
      <c r="L1023" s="9">
        <f>IFERROR(LOOKUP(2,1/('Weekly Tracker'!$E$2:$E$766=$A1023)/('Weekly Tracker'!$O$2:$O$766&lt;&gt;""),'Weekly Tracker'!$O$2:$O$766),"")</f>
        <v/>
      </c>
    </row>
    <row r="1024">
      <c r="A1024" s="9" t="inlineStr">
        <is>
          <t>VishnuDas HCL</t>
        </is>
      </c>
      <c r="B1024" s="9" t="inlineStr">
        <is>
          <t>8975667153</t>
        </is>
      </c>
      <c r="C1024" s="9" t="n"/>
      <c r="D1024" s="9" t="n"/>
      <c r="E1024" s="9" t="n"/>
      <c r="F1024" s="9">
        <f>IFERROR(LOOKUP(2,1/('Weekly Tracker'!$E$2:$E$766=$A1024)/('Weekly Tracker'!$F$2:$F$766&lt;&gt;""),'Weekly Tracker'!$F$2:$F$766),"")</f>
        <v/>
      </c>
      <c r="G1024" s="16">
        <f>IF(F1024&lt;&gt;"",LOOKUP(2,1/('Weekly Tracker'!$E$2:$E$766=$A1024)/('Weekly Tracker'!$F$2:$F$766&lt;&gt;""),'Weekly Tracker'!$G$2:$G$766),"")</f>
        <v/>
      </c>
      <c r="H1024" s="9">
        <f>IFERROR(LOOKUP(2,1/('Weekly Tracker'!$E$2:$E$766=$A1024)/('Weekly Tracker'!$H$2:$H$766&lt;&gt;""),'Weekly Tracker'!$H$2:$H$766),"")</f>
        <v/>
      </c>
      <c r="I1024" s="16">
        <f>IF(H1024&lt;&gt;"",LOOKUP(2,1/('Weekly Tracker'!$E$2:$E$766=$A1024)/('Weekly Tracker'!$H$2:$H$766&lt;&gt;""),'Weekly Tracker'!$I$2:$I$766),"")</f>
        <v/>
      </c>
      <c r="J1024" s="9">
        <f>IFERROR(LOOKUP(2,1/('Weekly Tracker'!$E$2:$E$766=$A1024)/('Weekly Tracker'!$J$2:$J$766&lt;&gt;""),'Weekly Tracker'!$J$2:$J$766),"")</f>
        <v/>
      </c>
      <c r="K1024" s="9">
        <f>IFERROR(LOOKUP(2,1/('Weekly Tracker'!$E$2:$E$766=$A1024)/('Weekly Tracker'!$N$2:$N$766&lt;&gt;""),'Weekly Tracker'!$N$2:$N$766),"")</f>
        <v/>
      </c>
      <c r="L1024" s="9">
        <f>IFERROR(LOOKUP(2,1/('Weekly Tracker'!$E$2:$E$766=$A1024)/('Weekly Tracker'!$O$2:$O$766&lt;&gt;""),'Weekly Tracker'!$O$2:$O$766),"")</f>
        <v/>
      </c>
    </row>
    <row r="1025">
      <c r="A1025" s="9" t="inlineStr">
        <is>
          <t>Siva Rajan Insta</t>
        </is>
      </c>
      <c r="B1025" s="9" t="inlineStr">
        <is>
          <t>9994642532</t>
        </is>
      </c>
      <c r="C1025" s="9" t="n"/>
      <c r="D1025" s="9" t="n"/>
      <c r="E1025" s="9" t="n"/>
      <c r="F1025" s="9">
        <f>IFERROR(LOOKUP(2,1/('Weekly Tracker'!$E$2:$E$766=$A1025)/('Weekly Tracker'!$F$2:$F$766&lt;&gt;""),'Weekly Tracker'!$F$2:$F$766),"")</f>
        <v/>
      </c>
      <c r="G1025" s="16">
        <f>IF(F1025&lt;&gt;"",LOOKUP(2,1/('Weekly Tracker'!$E$2:$E$766=$A1025)/('Weekly Tracker'!$F$2:$F$766&lt;&gt;""),'Weekly Tracker'!$G$2:$G$766),"")</f>
        <v/>
      </c>
      <c r="H1025" s="9">
        <f>IFERROR(LOOKUP(2,1/('Weekly Tracker'!$E$2:$E$766=$A1025)/('Weekly Tracker'!$H$2:$H$766&lt;&gt;""),'Weekly Tracker'!$H$2:$H$766),"")</f>
        <v/>
      </c>
      <c r="I1025" s="16">
        <f>IF(H1025&lt;&gt;"",LOOKUP(2,1/('Weekly Tracker'!$E$2:$E$766=$A1025)/('Weekly Tracker'!$H$2:$H$766&lt;&gt;""),'Weekly Tracker'!$I$2:$I$766),"")</f>
        <v/>
      </c>
      <c r="J1025" s="9">
        <f>IFERROR(LOOKUP(2,1/('Weekly Tracker'!$E$2:$E$766=$A1025)/('Weekly Tracker'!$J$2:$J$766&lt;&gt;""),'Weekly Tracker'!$J$2:$J$766),"")</f>
        <v/>
      </c>
      <c r="K1025" s="9">
        <f>IFERROR(LOOKUP(2,1/('Weekly Tracker'!$E$2:$E$766=$A1025)/('Weekly Tracker'!$N$2:$N$766&lt;&gt;""),'Weekly Tracker'!$N$2:$N$766),"")</f>
        <v/>
      </c>
      <c r="L1025" s="9">
        <f>IFERROR(LOOKUP(2,1/('Weekly Tracker'!$E$2:$E$766=$A1025)/('Weekly Tracker'!$O$2:$O$766&lt;&gt;""),'Weekly Tracker'!$O$2:$O$766),"")</f>
        <v/>
      </c>
    </row>
    <row r="1026">
      <c r="A1026" s="9" t="inlineStr">
        <is>
          <t>Prasath Urja</t>
        </is>
      </c>
      <c r="B1026" s="9" t="inlineStr">
        <is>
          <t>9840551394</t>
        </is>
      </c>
      <c r="C1026" s="9" t="n"/>
      <c r="D1026" s="9" t="n"/>
      <c r="E1026" s="9" t="n"/>
      <c r="F1026" s="9">
        <f>IFERROR(LOOKUP(2,1/('Weekly Tracker'!$E$2:$E$766=$A1026)/('Weekly Tracker'!$F$2:$F$766&lt;&gt;""),'Weekly Tracker'!$F$2:$F$766),"")</f>
        <v/>
      </c>
      <c r="G1026" s="16">
        <f>IF(F1026&lt;&gt;"",LOOKUP(2,1/('Weekly Tracker'!$E$2:$E$766=$A1026)/('Weekly Tracker'!$F$2:$F$766&lt;&gt;""),'Weekly Tracker'!$G$2:$G$766),"")</f>
        <v/>
      </c>
      <c r="H1026" s="9">
        <f>IFERROR(LOOKUP(2,1/('Weekly Tracker'!$E$2:$E$766=$A1026)/('Weekly Tracker'!$H$2:$H$766&lt;&gt;""),'Weekly Tracker'!$H$2:$H$766),"")</f>
        <v/>
      </c>
      <c r="I1026" s="16">
        <f>IF(H1026&lt;&gt;"",LOOKUP(2,1/('Weekly Tracker'!$E$2:$E$766=$A1026)/('Weekly Tracker'!$H$2:$H$766&lt;&gt;""),'Weekly Tracker'!$I$2:$I$766),"")</f>
        <v/>
      </c>
      <c r="J1026" s="9">
        <f>IFERROR(LOOKUP(2,1/('Weekly Tracker'!$E$2:$E$766=$A1026)/('Weekly Tracker'!$J$2:$J$766&lt;&gt;""),'Weekly Tracker'!$J$2:$J$766),"")</f>
        <v/>
      </c>
      <c r="K1026" s="9">
        <f>IFERROR(LOOKUP(2,1/('Weekly Tracker'!$E$2:$E$766=$A1026)/('Weekly Tracker'!$N$2:$N$766&lt;&gt;""),'Weekly Tracker'!$N$2:$N$766),"")</f>
        <v/>
      </c>
      <c r="L1026" s="9">
        <f>IFERROR(LOOKUP(2,1/('Weekly Tracker'!$E$2:$E$766=$A1026)/('Weekly Tracker'!$O$2:$O$766&lt;&gt;""),'Weekly Tracker'!$O$2:$O$766),"")</f>
        <v/>
      </c>
    </row>
    <row r="1027">
      <c r="A1027" s="9" t="inlineStr">
        <is>
          <t>Abdul Kadar Devops Urja</t>
        </is>
      </c>
      <c r="B1027" s="9" t="inlineStr">
        <is>
          <t>7200630899</t>
        </is>
      </c>
      <c r="C1027" s="9" t="n"/>
      <c r="D1027" s="9" t="n"/>
      <c r="E1027" s="9" t="n"/>
      <c r="F1027" s="9">
        <f>IFERROR(LOOKUP(2,1/('Weekly Tracker'!$E$2:$E$766=$A1027)/('Weekly Tracker'!$F$2:$F$766&lt;&gt;""),'Weekly Tracker'!$F$2:$F$766),"")</f>
        <v/>
      </c>
      <c r="G1027" s="16">
        <f>IF(F1027&lt;&gt;"",LOOKUP(2,1/('Weekly Tracker'!$E$2:$E$766=$A1027)/('Weekly Tracker'!$F$2:$F$766&lt;&gt;""),'Weekly Tracker'!$G$2:$G$766),"")</f>
        <v/>
      </c>
      <c r="H1027" s="9">
        <f>IFERROR(LOOKUP(2,1/('Weekly Tracker'!$E$2:$E$766=$A1027)/('Weekly Tracker'!$H$2:$H$766&lt;&gt;""),'Weekly Tracker'!$H$2:$H$766),"")</f>
        <v/>
      </c>
      <c r="I1027" s="16">
        <f>IF(H1027&lt;&gt;"",LOOKUP(2,1/('Weekly Tracker'!$E$2:$E$766=$A1027)/('Weekly Tracker'!$H$2:$H$766&lt;&gt;""),'Weekly Tracker'!$I$2:$I$766),"")</f>
        <v/>
      </c>
      <c r="J1027" s="9">
        <f>IFERROR(LOOKUP(2,1/('Weekly Tracker'!$E$2:$E$766=$A1027)/('Weekly Tracker'!$J$2:$J$766&lt;&gt;""),'Weekly Tracker'!$J$2:$J$766),"")</f>
        <v/>
      </c>
      <c r="K1027" s="9">
        <f>IFERROR(LOOKUP(2,1/('Weekly Tracker'!$E$2:$E$766=$A1027)/('Weekly Tracker'!$N$2:$N$766&lt;&gt;""),'Weekly Tracker'!$N$2:$N$766),"")</f>
        <v/>
      </c>
      <c r="L1027" s="9">
        <f>IFERROR(LOOKUP(2,1/('Weekly Tracker'!$E$2:$E$766=$A1027)/('Weekly Tracker'!$O$2:$O$766&lt;&gt;""),'Weekly Tracker'!$O$2:$O$766),"")</f>
        <v/>
      </c>
    </row>
    <row r="1028">
      <c r="A1028" s="9" t="inlineStr">
        <is>
          <t>Deepak Murugan LinkedIn</t>
        </is>
      </c>
      <c r="B1028" s="9" t="inlineStr">
        <is>
          <t>9360744915</t>
        </is>
      </c>
      <c r="C1028" s="9" t="n"/>
      <c r="D1028" s="9" t="n"/>
      <c r="E1028" s="9" t="n"/>
      <c r="F1028" s="9">
        <f>IFERROR(LOOKUP(2,1/('Weekly Tracker'!$E$2:$E$766=$A1028)/('Weekly Tracker'!$F$2:$F$766&lt;&gt;""),'Weekly Tracker'!$F$2:$F$766),"")</f>
        <v/>
      </c>
      <c r="G1028" s="16">
        <f>IF(F1028&lt;&gt;"",LOOKUP(2,1/('Weekly Tracker'!$E$2:$E$766=$A1028)/('Weekly Tracker'!$F$2:$F$766&lt;&gt;""),'Weekly Tracker'!$G$2:$G$766),"")</f>
        <v/>
      </c>
      <c r="H1028" s="9">
        <f>IFERROR(LOOKUP(2,1/('Weekly Tracker'!$E$2:$E$766=$A1028)/('Weekly Tracker'!$H$2:$H$766&lt;&gt;""),'Weekly Tracker'!$H$2:$H$766),"")</f>
        <v/>
      </c>
      <c r="I1028" s="16">
        <f>IF(H1028&lt;&gt;"",LOOKUP(2,1/('Weekly Tracker'!$E$2:$E$766=$A1028)/('Weekly Tracker'!$H$2:$H$766&lt;&gt;""),'Weekly Tracker'!$I$2:$I$766),"")</f>
        <v/>
      </c>
      <c r="J1028" s="9">
        <f>IFERROR(LOOKUP(2,1/('Weekly Tracker'!$E$2:$E$766=$A1028)/('Weekly Tracker'!$J$2:$J$766&lt;&gt;""),'Weekly Tracker'!$J$2:$J$766),"")</f>
        <v/>
      </c>
      <c r="K1028" s="9">
        <f>IFERROR(LOOKUP(2,1/('Weekly Tracker'!$E$2:$E$766=$A1028)/('Weekly Tracker'!$N$2:$N$766&lt;&gt;""),'Weekly Tracker'!$N$2:$N$766),"")</f>
        <v/>
      </c>
      <c r="L1028" s="9">
        <f>IFERROR(LOOKUP(2,1/('Weekly Tracker'!$E$2:$E$766=$A1028)/('Weekly Tracker'!$O$2:$O$766&lt;&gt;""),'Weekly Tracker'!$O$2:$O$766),"")</f>
        <v/>
      </c>
    </row>
    <row r="1029">
      <c r="A1029" s="9" t="inlineStr">
        <is>
          <t>Lenin Prof Ucen</t>
        </is>
      </c>
      <c r="B1029" s="9" t="inlineStr">
        <is>
          <t>917845009396</t>
        </is>
      </c>
      <c r="C1029" s="9" t="n"/>
      <c r="D1029" s="9" t="n"/>
      <c r="E1029" s="9" t="n"/>
      <c r="F1029" s="9">
        <f>IFERROR(LOOKUP(2,1/('Weekly Tracker'!$E$2:$E$766=$A1029)/('Weekly Tracker'!$F$2:$F$766&lt;&gt;""),'Weekly Tracker'!$F$2:$F$766),"")</f>
        <v/>
      </c>
      <c r="G1029" s="16">
        <f>IF(F1029&lt;&gt;"",LOOKUP(2,1/('Weekly Tracker'!$E$2:$E$766=$A1029)/('Weekly Tracker'!$F$2:$F$766&lt;&gt;""),'Weekly Tracker'!$G$2:$G$766),"")</f>
        <v/>
      </c>
      <c r="H1029" s="9">
        <f>IFERROR(LOOKUP(2,1/('Weekly Tracker'!$E$2:$E$766=$A1029)/('Weekly Tracker'!$H$2:$H$766&lt;&gt;""),'Weekly Tracker'!$H$2:$H$766),"")</f>
        <v/>
      </c>
      <c r="I1029" s="16">
        <f>IF(H1029&lt;&gt;"",LOOKUP(2,1/('Weekly Tracker'!$E$2:$E$766=$A1029)/('Weekly Tracker'!$H$2:$H$766&lt;&gt;""),'Weekly Tracker'!$I$2:$I$766),"")</f>
        <v/>
      </c>
      <c r="J1029" s="9">
        <f>IFERROR(LOOKUP(2,1/('Weekly Tracker'!$E$2:$E$766=$A1029)/('Weekly Tracker'!$J$2:$J$766&lt;&gt;""),'Weekly Tracker'!$J$2:$J$766),"")</f>
        <v/>
      </c>
      <c r="K1029" s="9">
        <f>IFERROR(LOOKUP(2,1/('Weekly Tracker'!$E$2:$E$766=$A1029)/('Weekly Tracker'!$N$2:$N$766&lt;&gt;""),'Weekly Tracker'!$N$2:$N$766),"")</f>
        <v/>
      </c>
      <c r="L1029" s="9">
        <f>IFERROR(LOOKUP(2,1/('Weekly Tracker'!$E$2:$E$766=$A1029)/('Weekly Tracker'!$O$2:$O$766&lt;&gt;""),'Weekly Tracker'!$O$2:$O$766),"")</f>
        <v/>
      </c>
    </row>
    <row r="1030">
      <c r="A1030" s="9" t="inlineStr">
        <is>
          <t>Arthi Urja</t>
        </is>
      </c>
      <c r="B1030" s="9" t="inlineStr">
        <is>
          <t>918903791037</t>
        </is>
      </c>
      <c r="C1030" s="9" t="n"/>
      <c r="D1030" s="9" t="n"/>
      <c r="E1030" s="9" t="n"/>
      <c r="F1030" s="9">
        <f>IFERROR(LOOKUP(2,1/('Weekly Tracker'!$E$2:$E$766=$A1030)/('Weekly Tracker'!$F$2:$F$766&lt;&gt;""),'Weekly Tracker'!$F$2:$F$766),"")</f>
        <v/>
      </c>
      <c r="G1030" s="16">
        <f>IF(F1030&lt;&gt;"",LOOKUP(2,1/('Weekly Tracker'!$E$2:$E$766=$A1030)/('Weekly Tracker'!$F$2:$F$766&lt;&gt;""),'Weekly Tracker'!$G$2:$G$766),"")</f>
        <v/>
      </c>
      <c r="H1030" s="9">
        <f>IFERROR(LOOKUP(2,1/('Weekly Tracker'!$E$2:$E$766=$A1030)/('Weekly Tracker'!$H$2:$H$766&lt;&gt;""),'Weekly Tracker'!$H$2:$H$766),"")</f>
        <v/>
      </c>
      <c r="I1030" s="16">
        <f>IF(H1030&lt;&gt;"",LOOKUP(2,1/('Weekly Tracker'!$E$2:$E$766=$A1030)/('Weekly Tracker'!$H$2:$H$766&lt;&gt;""),'Weekly Tracker'!$I$2:$I$766),"")</f>
        <v/>
      </c>
      <c r="J1030" s="9">
        <f>IFERROR(LOOKUP(2,1/('Weekly Tracker'!$E$2:$E$766=$A1030)/('Weekly Tracker'!$J$2:$J$766&lt;&gt;""),'Weekly Tracker'!$J$2:$J$766),"")</f>
        <v/>
      </c>
      <c r="K1030" s="9">
        <f>IFERROR(LOOKUP(2,1/('Weekly Tracker'!$E$2:$E$766=$A1030)/('Weekly Tracker'!$N$2:$N$766&lt;&gt;""),'Weekly Tracker'!$N$2:$N$766),"")</f>
        <v/>
      </c>
      <c r="L1030" s="9">
        <f>IFERROR(LOOKUP(2,1/('Weekly Tracker'!$E$2:$E$766=$A1030)/('Weekly Tracker'!$O$2:$O$766&lt;&gt;""),'Weekly Tracker'!$O$2:$O$766),"")</f>
        <v/>
      </c>
    </row>
    <row r="1031">
      <c r="A1031" s="9" t="inlineStr">
        <is>
          <t>SeKaR_MS Grp Ucen</t>
        </is>
      </c>
      <c r="B1031" s="9" t="inlineStr">
        <is>
          <t>917708933237</t>
        </is>
      </c>
      <c r="C1031" s="9" t="n"/>
      <c r="D1031" s="9" t="n"/>
      <c r="E1031" s="9" t="n"/>
      <c r="F1031" s="9">
        <f>IFERROR(LOOKUP(2,1/('Weekly Tracker'!$E$2:$E$766=$A1031)/('Weekly Tracker'!$F$2:$F$766&lt;&gt;""),'Weekly Tracker'!$F$2:$F$766),"")</f>
        <v/>
      </c>
      <c r="G1031" s="16">
        <f>IF(F1031&lt;&gt;"",LOOKUP(2,1/('Weekly Tracker'!$E$2:$E$766=$A1031)/('Weekly Tracker'!$F$2:$F$766&lt;&gt;""),'Weekly Tracker'!$G$2:$G$766),"")</f>
        <v/>
      </c>
      <c r="H1031" s="9">
        <f>IFERROR(LOOKUP(2,1/('Weekly Tracker'!$E$2:$E$766=$A1031)/('Weekly Tracker'!$H$2:$H$766&lt;&gt;""),'Weekly Tracker'!$H$2:$H$766),"")</f>
        <v/>
      </c>
      <c r="I1031" s="16">
        <f>IF(H1031&lt;&gt;"",LOOKUP(2,1/('Weekly Tracker'!$E$2:$E$766=$A1031)/('Weekly Tracker'!$H$2:$H$766&lt;&gt;""),'Weekly Tracker'!$I$2:$I$766),"")</f>
        <v/>
      </c>
      <c r="J1031" s="9">
        <f>IFERROR(LOOKUP(2,1/('Weekly Tracker'!$E$2:$E$766=$A1031)/('Weekly Tracker'!$J$2:$J$766&lt;&gt;""),'Weekly Tracker'!$J$2:$J$766),"")</f>
        <v/>
      </c>
      <c r="K1031" s="9">
        <f>IFERROR(LOOKUP(2,1/('Weekly Tracker'!$E$2:$E$766=$A1031)/('Weekly Tracker'!$N$2:$N$766&lt;&gt;""),'Weekly Tracker'!$N$2:$N$766),"")</f>
        <v/>
      </c>
      <c r="L1031" s="9">
        <f>IFERROR(LOOKUP(2,1/('Weekly Tracker'!$E$2:$E$766=$A1031)/('Weekly Tracker'!$O$2:$O$766&lt;&gt;""),'Weekly Tracker'!$O$2:$O$766),"")</f>
        <v/>
      </c>
    </row>
    <row r="1032">
      <c r="A1032" s="9" t="inlineStr">
        <is>
          <t>Durai Dev FB</t>
        </is>
      </c>
      <c r="B1032" s="9" t="inlineStr">
        <is>
          <t>918870626947</t>
        </is>
      </c>
      <c r="C1032" s="9" t="n"/>
      <c r="D1032" s="9" t="n"/>
      <c r="E1032" s="9" t="n"/>
      <c r="F1032" s="9">
        <f>IFERROR(LOOKUP(2,1/('Weekly Tracker'!$E$2:$E$766=$A1032)/('Weekly Tracker'!$F$2:$F$766&lt;&gt;""),'Weekly Tracker'!$F$2:$F$766),"")</f>
        <v/>
      </c>
      <c r="G1032" s="16">
        <f>IF(F1032&lt;&gt;"",LOOKUP(2,1/('Weekly Tracker'!$E$2:$E$766=$A1032)/('Weekly Tracker'!$F$2:$F$766&lt;&gt;""),'Weekly Tracker'!$G$2:$G$766),"")</f>
        <v/>
      </c>
      <c r="H1032" s="9">
        <f>IFERROR(LOOKUP(2,1/('Weekly Tracker'!$E$2:$E$766=$A1032)/('Weekly Tracker'!$H$2:$H$766&lt;&gt;""),'Weekly Tracker'!$H$2:$H$766),"")</f>
        <v/>
      </c>
      <c r="I1032" s="16">
        <f>IF(H1032&lt;&gt;"",LOOKUP(2,1/('Weekly Tracker'!$E$2:$E$766=$A1032)/('Weekly Tracker'!$H$2:$H$766&lt;&gt;""),'Weekly Tracker'!$I$2:$I$766),"")</f>
        <v/>
      </c>
      <c r="J1032" s="9">
        <f>IFERROR(LOOKUP(2,1/('Weekly Tracker'!$E$2:$E$766=$A1032)/('Weekly Tracker'!$J$2:$J$766&lt;&gt;""),'Weekly Tracker'!$J$2:$J$766),"")</f>
        <v/>
      </c>
      <c r="K1032" s="9">
        <f>IFERROR(LOOKUP(2,1/('Weekly Tracker'!$E$2:$E$766=$A1032)/('Weekly Tracker'!$N$2:$N$766&lt;&gt;""),'Weekly Tracker'!$N$2:$N$766),"")</f>
        <v/>
      </c>
      <c r="L1032" s="9">
        <f>IFERROR(LOOKUP(2,1/('Weekly Tracker'!$E$2:$E$766=$A1032)/('Weekly Tracker'!$O$2:$O$766&lt;&gt;""),'Weekly Tracker'!$O$2:$O$766),"")</f>
        <v/>
      </c>
    </row>
    <row r="1033">
      <c r="A1033" s="9" t="inlineStr">
        <is>
          <t>Manika Raj Civil</t>
        </is>
      </c>
      <c r="B1033" s="9" t="inlineStr">
        <is>
          <t>96894261053</t>
        </is>
      </c>
      <c r="C1033" s="9" t="n"/>
      <c r="D1033" s="9" t="n"/>
      <c r="E1033" s="9" t="n"/>
      <c r="F1033" s="9">
        <f>IFERROR(LOOKUP(2,1/('Weekly Tracker'!$E$2:$E$766=$A1033)/('Weekly Tracker'!$F$2:$F$766&lt;&gt;""),'Weekly Tracker'!$F$2:$F$766),"")</f>
        <v/>
      </c>
      <c r="G1033" s="16">
        <f>IF(F1033&lt;&gt;"",LOOKUP(2,1/('Weekly Tracker'!$E$2:$E$766=$A1033)/('Weekly Tracker'!$F$2:$F$766&lt;&gt;""),'Weekly Tracker'!$G$2:$G$766),"")</f>
        <v/>
      </c>
      <c r="H1033" s="9">
        <f>IFERROR(LOOKUP(2,1/('Weekly Tracker'!$E$2:$E$766=$A1033)/('Weekly Tracker'!$H$2:$H$766&lt;&gt;""),'Weekly Tracker'!$H$2:$H$766),"")</f>
        <v/>
      </c>
      <c r="I1033" s="16">
        <f>IF(H1033&lt;&gt;"",LOOKUP(2,1/('Weekly Tracker'!$E$2:$E$766=$A1033)/('Weekly Tracker'!$H$2:$H$766&lt;&gt;""),'Weekly Tracker'!$I$2:$I$766),"")</f>
        <v/>
      </c>
      <c r="J1033" s="9">
        <f>IFERROR(LOOKUP(2,1/('Weekly Tracker'!$E$2:$E$766=$A1033)/('Weekly Tracker'!$J$2:$J$766&lt;&gt;""),'Weekly Tracker'!$J$2:$J$766),"")</f>
        <v/>
      </c>
      <c r="K1033" s="9">
        <f>IFERROR(LOOKUP(2,1/('Weekly Tracker'!$E$2:$E$766=$A1033)/('Weekly Tracker'!$N$2:$N$766&lt;&gt;""),'Weekly Tracker'!$N$2:$N$766),"")</f>
        <v/>
      </c>
      <c r="L1033" s="9">
        <f>IFERROR(LOOKUP(2,1/('Weekly Tracker'!$E$2:$E$766=$A1033)/('Weekly Tracker'!$O$2:$O$766&lt;&gt;""),'Weekly Tracker'!$O$2:$O$766),"")</f>
        <v/>
      </c>
    </row>
    <row r="1034">
      <c r="A1034" s="9" t="inlineStr">
        <is>
          <t>Karthik Loan Agent</t>
        </is>
      </c>
      <c r="B1034" s="9" t="inlineStr">
        <is>
          <t>919585662617</t>
        </is>
      </c>
      <c r="C1034" s="9" t="n"/>
      <c r="D1034" s="9" t="n"/>
      <c r="E1034" s="9" t="inlineStr">
        <is>
          <t>Tamil Nadu, India</t>
        </is>
      </c>
      <c r="F1034" s="9">
        <f>IFERROR(LOOKUP(2,1/('Weekly Tracker'!$E$2:$E$766=$A1034)/('Weekly Tracker'!$F$2:$F$766&lt;&gt;""),'Weekly Tracker'!$F$2:$F$766),"")</f>
        <v/>
      </c>
      <c r="G1034" s="16">
        <f>IF(F1034&lt;&gt;"",LOOKUP(2,1/('Weekly Tracker'!$E$2:$E$766=$A1034)/('Weekly Tracker'!$F$2:$F$766&lt;&gt;""),'Weekly Tracker'!$G$2:$G$766),"")</f>
        <v/>
      </c>
      <c r="H1034" s="9">
        <f>IFERROR(LOOKUP(2,1/('Weekly Tracker'!$E$2:$E$766=$A1034)/('Weekly Tracker'!$H$2:$H$766&lt;&gt;""),'Weekly Tracker'!$H$2:$H$766),"")</f>
        <v/>
      </c>
      <c r="I1034" s="16">
        <f>IF(H1034&lt;&gt;"",LOOKUP(2,1/('Weekly Tracker'!$E$2:$E$766=$A1034)/('Weekly Tracker'!$H$2:$H$766&lt;&gt;""),'Weekly Tracker'!$I$2:$I$766),"")</f>
        <v/>
      </c>
      <c r="J1034" s="9">
        <f>IFERROR(LOOKUP(2,1/('Weekly Tracker'!$E$2:$E$766=$A1034)/('Weekly Tracker'!$J$2:$J$766&lt;&gt;""),'Weekly Tracker'!$J$2:$J$766),"")</f>
        <v/>
      </c>
      <c r="K1034" s="9">
        <f>IFERROR(LOOKUP(2,1/('Weekly Tracker'!$E$2:$E$766=$A1034)/('Weekly Tracker'!$N$2:$N$766&lt;&gt;""),'Weekly Tracker'!$N$2:$N$766),"")</f>
        <v/>
      </c>
      <c r="L1034" s="9">
        <f>IFERROR(LOOKUP(2,1/('Weekly Tracker'!$E$2:$E$766=$A1034)/('Weekly Tracker'!$O$2:$O$766&lt;&gt;""),'Weekly Tracker'!$O$2:$O$766),"")</f>
        <v/>
      </c>
    </row>
    <row r="1035">
      <c r="A1035" s="9" t="inlineStr">
        <is>
          <t>Nandhini D4V</t>
        </is>
      </c>
      <c r="B1035" s="9" t="inlineStr">
        <is>
          <t>+91 80564 65877</t>
        </is>
      </c>
      <c r="C1035" s="9" t="n"/>
      <c r="D1035" s="9" t="n"/>
      <c r="E1035" s="9" t="n"/>
      <c r="F1035" s="9">
        <f>IFERROR(LOOKUP(2,1/('Weekly Tracker'!$E$2:$E$766=$A1035)/('Weekly Tracker'!$F$2:$F$766&lt;&gt;""),'Weekly Tracker'!$F$2:$F$766),"")</f>
        <v/>
      </c>
      <c r="G1035" s="16">
        <f>IF(F1035&lt;&gt;"",LOOKUP(2,1/('Weekly Tracker'!$E$2:$E$766=$A1035)/('Weekly Tracker'!$F$2:$F$766&lt;&gt;""),'Weekly Tracker'!$G$2:$G$766),"")</f>
        <v/>
      </c>
      <c r="H1035" s="9">
        <f>IFERROR(LOOKUP(2,1/('Weekly Tracker'!$E$2:$E$766=$A1035)/('Weekly Tracker'!$H$2:$H$766&lt;&gt;""),'Weekly Tracker'!$H$2:$H$766),"")</f>
        <v/>
      </c>
      <c r="I1035" s="16">
        <f>IF(H1035&lt;&gt;"",LOOKUP(2,1/('Weekly Tracker'!$E$2:$E$766=$A1035)/('Weekly Tracker'!$H$2:$H$766&lt;&gt;""),'Weekly Tracker'!$I$2:$I$766),"")</f>
        <v/>
      </c>
      <c r="J1035" s="9">
        <f>IFERROR(LOOKUP(2,1/('Weekly Tracker'!$E$2:$E$766=$A1035)/('Weekly Tracker'!$J$2:$J$766&lt;&gt;""),'Weekly Tracker'!$J$2:$J$766),"")</f>
        <v/>
      </c>
      <c r="K1035" s="9">
        <f>IFERROR(LOOKUP(2,1/('Weekly Tracker'!$E$2:$E$766=$A1035)/('Weekly Tracker'!$N$2:$N$766&lt;&gt;""),'Weekly Tracker'!$N$2:$N$766),"")</f>
        <v/>
      </c>
      <c r="L1035" s="9">
        <f>IFERROR(LOOKUP(2,1/('Weekly Tracker'!$E$2:$E$766=$A1035)/('Weekly Tracker'!$O$2:$O$766&lt;&gt;""),'Weekly Tracker'!$O$2:$O$766),"")</f>
        <v/>
      </c>
    </row>
    <row r="1036">
      <c r="A1036" s="9" t="inlineStr">
        <is>
          <t>Surya Perla HCL</t>
        </is>
      </c>
      <c r="B1036" s="9" t="inlineStr">
        <is>
          <t>8247021924</t>
        </is>
      </c>
      <c r="C1036" s="9" t="n"/>
      <c r="D1036" s="9" t="n"/>
      <c r="E1036" s="9" t="n"/>
      <c r="F1036" s="9">
        <f>IFERROR(LOOKUP(2,1/('Weekly Tracker'!$E$2:$E$766=$A1036)/('Weekly Tracker'!$F$2:$F$766&lt;&gt;""),'Weekly Tracker'!$F$2:$F$766),"")</f>
        <v/>
      </c>
      <c r="G1036" s="16">
        <f>IF(F1036&lt;&gt;"",LOOKUP(2,1/('Weekly Tracker'!$E$2:$E$766=$A1036)/('Weekly Tracker'!$F$2:$F$766&lt;&gt;""),'Weekly Tracker'!$G$2:$G$766),"")</f>
        <v/>
      </c>
      <c r="H1036" s="9">
        <f>IFERROR(LOOKUP(2,1/('Weekly Tracker'!$E$2:$E$766=$A1036)/('Weekly Tracker'!$H$2:$H$766&lt;&gt;""),'Weekly Tracker'!$H$2:$H$766),"")</f>
        <v/>
      </c>
      <c r="I1036" s="16">
        <f>IF(H1036&lt;&gt;"",LOOKUP(2,1/('Weekly Tracker'!$E$2:$E$766=$A1036)/('Weekly Tracker'!$H$2:$H$766&lt;&gt;""),'Weekly Tracker'!$I$2:$I$766),"")</f>
        <v/>
      </c>
      <c r="J1036" s="9">
        <f>IFERROR(LOOKUP(2,1/('Weekly Tracker'!$E$2:$E$766=$A1036)/('Weekly Tracker'!$J$2:$J$766&lt;&gt;""),'Weekly Tracker'!$J$2:$J$766),"")</f>
        <v/>
      </c>
      <c r="K1036" s="9">
        <f>IFERROR(LOOKUP(2,1/('Weekly Tracker'!$E$2:$E$766=$A1036)/('Weekly Tracker'!$N$2:$N$766&lt;&gt;""),'Weekly Tracker'!$N$2:$N$766),"")</f>
        <v/>
      </c>
      <c r="L1036" s="9">
        <f>IFERROR(LOOKUP(2,1/('Weekly Tracker'!$E$2:$E$766=$A1036)/('Weekly Tracker'!$O$2:$O$766&lt;&gt;""),'Weekly Tracker'!$O$2:$O$766),"")</f>
        <v/>
      </c>
    </row>
    <row r="1037">
      <c r="A1037" s="9" t="inlineStr">
        <is>
          <t>Fareed FB</t>
        </is>
      </c>
      <c r="B1037" s="9" t="inlineStr">
        <is>
          <t>9585721053</t>
        </is>
      </c>
      <c r="C1037" s="9" t="n"/>
      <c r="D1037" s="9" t="n"/>
      <c r="E1037" s="9" t="n"/>
      <c r="F1037" s="9">
        <f>IFERROR(LOOKUP(2,1/('Weekly Tracker'!$E$2:$E$766=$A1037)/('Weekly Tracker'!$F$2:$F$766&lt;&gt;""),'Weekly Tracker'!$F$2:$F$766),"")</f>
        <v/>
      </c>
      <c r="G1037" s="16">
        <f>IF(F1037&lt;&gt;"",LOOKUP(2,1/('Weekly Tracker'!$E$2:$E$766=$A1037)/('Weekly Tracker'!$F$2:$F$766&lt;&gt;""),'Weekly Tracker'!$G$2:$G$766),"")</f>
        <v/>
      </c>
      <c r="H1037" s="9">
        <f>IFERROR(LOOKUP(2,1/('Weekly Tracker'!$E$2:$E$766=$A1037)/('Weekly Tracker'!$H$2:$H$766&lt;&gt;""),'Weekly Tracker'!$H$2:$H$766),"")</f>
        <v/>
      </c>
      <c r="I1037" s="16">
        <f>IF(H1037&lt;&gt;"",LOOKUP(2,1/('Weekly Tracker'!$E$2:$E$766=$A1037)/('Weekly Tracker'!$H$2:$H$766&lt;&gt;""),'Weekly Tracker'!$I$2:$I$766),"")</f>
        <v/>
      </c>
      <c r="J1037" s="9">
        <f>IFERROR(LOOKUP(2,1/('Weekly Tracker'!$E$2:$E$766=$A1037)/('Weekly Tracker'!$J$2:$J$766&lt;&gt;""),'Weekly Tracker'!$J$2:$J$766),"")</f>
        <v/>
      </c>
      <c r="K1037" s="9">
        <f>IFERROR(LOOKUP(2,1/('Weekly Tracker'!$E$2:$E$766=$A1037)/('Weekly Tracker'!$N$2:$N$766&lt;&gt;""),'Weekly Tracker'!$N$2:$N$766),"")</f>
        <v/>
      </c>
      <c r="L1037" s="9">
        <f>IFERROR(LOOKUP(2,1/('Weekly Tracker'!$E$2:$E$766=$A1037)/('Weekly Tracker'!$O$2:$O$766&lt;&gt;""),'Weekly Tracker'!$O$2:$O$766),"")</f>
        <v/>
      </c>
    </row>
    <row r="1038">
      <c r="A1038" s="9" t="inlineStr">
        <is>
          <t>Karmegam 2 Verz</t>
        </is>
      </c>
      <c r="B1038" s="9" t="inlineStr">
        <is>
          <t>919566004578</t>
        </is>
      </c>
      <c r="C1038" s="9" t="n"/>
      <c r="D1038" s="9" t="n"/>
      <c r="E1038" s="9" t="n"/>
      <c r="F1038" s="9">
        <f>IFERROR(LOOKUP(2,1/('Weekly Tracker'!$E$2:$E$766=$A1038)/('Weekly Tracker'!$F$2:$F$766&lt;&gt;""),'Weekly Tracker'!$F$2:$F$766),"")</f>
        <v/>
      </c>
      <c r="G1038" s="16">
        <f>IF(F1038&lt;&gt;"",LOOKUP(2,1/('Weekly Tracker'!$E$2:$E$766=$A1038)/('Weekly Tracker'!$F$2:$F$766&lt;&gt;""),'Weekly Tracker'!$G$2:$G$766),"")</f>
        <v/>
      </c>
      <c r="H1038" s="9">
        <f>IFERROR(LOOKUP(2,1/('Weekly Tracker'!$E$2:$E$766=$A1038)/('Weekly Tracker'!$H$2:$H$766&lt;&gt;""),'Weekly Tracker'!$H$2:$H$766),"")</f>
        <v/>
      </c>
      <c r="I1038" s="16">
        <f>IF(H1038&lt;&gt;"",LOOKUP(2,1/('Weekly Tracker'!$E$2:$E$766=$A1038)/('Weekly Tracker'!$H$2:$H$766&lt;&gt;""),'Weekly Tracker'!$I$2:$I$766),"")</f>
        <v/>
      </c>
      <c r="J1038" s="9">
        <f>IFERROR(LOOKUP(2,1/('Weekly Tracker'!$E$2:$E$766=$A1038)/('Weekly Tracker'!$J$2:$J$766&lt;&gt;""),'Weekly Tracker'!$J$2:$J$766),"")</f>
        <v/>
      </c>
      <c r="K1038" s="9">
        <f>IFERROR(LOOKUP(2,1/('Weekly Tracker'!$E$2:$E$766=$A1038)/('Weekly Tracker'!$N$2:$N$766&lt;&gt;""),'Weekly Tracker'!$N$2:$N$766),"")</f>
        <v/>
      </c>
      <c r="L1038" s="9">
        <f>IFERROR(LOOKUP(2,1/('Weekly Tracker'!$E$2:$E$766=$A1038)/('Weekly Tracker'!$O$2:$O$766&lt;&gt;""),'Weekly Tracker'!$O$2:$O$766),"")</f>
        <v/>
      </c>
    </row>
    <row r="1039">
      <c r="A1039" s="9" t="inlineStr">
        <is>
          <t>Janani Bindhiah FB</t>
        </is>
      </c>
      <c r="B1039" s="9" t="inlineStr">
        <is>
          <t>918778400336, 918489474332</t>
        </is>
      </c>
      <c r="C1039" s="9" t="n"/>
      <c r="D1039" s="9" t="n"/>
      <c r="E1039" s="9" t="n"/>
      <c r="F1039" s="9">
        <f>IFERROR(LOOKUP(2,1/('Weekly Tracker'!$E$2:$E$766=$A1039)/('Weekly Tracker'!$F$2:$F$766&lt;&gt;""),'Weekly Tracker'!$F$2:$F$766),"")</f>
        <v/>
      </c>
      <c r="G1039" s="16">
        <f>IF(F1039&lt;&gt;"",LOOKUP(2,1/('Weekly Tracker'!$E$2:$E$766=$A1039)/('Weekly Tracker'!$F$2:$F$766&lt;&gt;""),'Weekly Tracker'!$G$2:$G$766),"")</f>
        <v/>
      </c>
      <c r="H1039" s="9">
        <f>IFERROR(LOOKUP(2,1/('Weekly Tracker'!$E$2:$E$766=$A1039)/('Weekly Tracker'!$H$2:$H$766&lt;&gt;""),'Weekly Tracker'!$H$2:$H$766),"")</f>
        <v/>
      </c>
      <c r="I1039" s="16">
        <f>IF(H1039&lt;&gt;"",LOOKUP(2,1/('Weekly Tracker'!$E$2:$E$766=$A1039)/('Weekly Tracker'!$H$2:$H$766&lt;&gt;""),'Weekly Tracker'!$I$2:$I$766),"")</f>
        <v/>
      </c>
      <c r="J1039" s="9">
        <f>IFERROR(LOOKUP(2,1/('Weekly Tracker'!$E$2:$E$766=$A1039)/('Weekly Tracker'!$J$2:$J$766&lt;&gt;""),'Weekly Tracker'!$J$2:$J$766),"")</f>
        <v/>
      </c>
      <c r="K1039" s="9">
        <f>IFERROR(LOOKUP(2,1/('Weekly Tracker'!$E$2:$E$766=$A1039)/('Weekly Tracker'!$N$2:$N$766&lt;&gt;""),'Weekly Tracker'!$N$2:$N$766),"")</f>
        <v/>
      </c>
      <c r="L1039" s="9">
        <f>IFERROR(LOOKUP(2,1/('Weekly Tracker'!$E$2:$E$766=$A1039)/('Weekly Tracker'!$O$2:$O$766&lt;&gt;""),'Weekly Tracker'!$O$2:$O$766),"")</f>
        <v/>
      </c>
    </row>
    <row r="1040">
      <c r="A1040" s="9" t="inlineStr">
        <is>
          <t>Arun AK Scl FB</t>
        </is>
      </c>
      <c r="B1040" s="9" t="inlineStr">
        <is>
          <t>919843223821</t>
        </is>
      </c>
      <c r="C1040" s="9" t="n"/>
      <c r="D1040" s="9" t="n"/>
      <c r="E1040" s="9" t="n"/>
      <c r="F1040" s="9">
        <f>IFERROR(LOOKUP(2,1/('Weekly Tracker'!$E$2:$E$766=$A1040)/('Weekly Tracker'!$F$2:$F$766&lt;&gt;""),'Weekly Tracker'!$F$2:$F$766),"")</f>
        <v/>
      </c>
      <c r="G1040" s="16">
        <f>IF(F1040&lt;&gt;"",LOOKUP(2,1/('Weekly Tracker'!$E$2:$E$766=$A1040)/('Weekly Tracker'!$F$2:$F$766&lt;&gt;""),'Weekly Tracker'!$G$2:$G$766),"")</f>
        <v/>
      </c>
      <c r="H1040" s="9">
        <f>IFERROR(LOOKUP(2,1/('Weekly Tracker'!$E$2:$E$766=$A1040)/('Weekly Tracker'!$H$2:$H$766&lt;&gt;""),'Weekly Tracker'!$H$2:$H$766),"")</f>
        <v/>
      </c>
      <c r="I1040" s="16">
        <f>IF(H1040&lt;&gt;"",LOOKUP(2,1/('Weekly Tracker'!$E$2:$E$766=$A1040)/('Weekly Tracker'!$H$2:$H$766&lt;&gt;""),'Weekly Tracker'!$I$2:$I$766),"")</f>
        <v/>
      </c>
      <c r="J1040" s="9">
        <f>IFERROR(LOOKUP(2,1/('Weekly Tracker'!$E$2:$E$766=$A1040)/('Weekly Tracker'!$J$2:$J$766&lt;&gt;""),'Weekly Tracker'!$J$2:$J$766),"")</f>
        <v/>
      </c>
      <c r="K1040" s="9">
        <f>IFERROR(LOOKUP(2,1/('Weekly Tracker'!$E$2:$E$766=$A1040)/('Weekly Tracker'!$N$2:$N$766&lt;&gt;""),'Weekly Tracker'!$N$2:$N$766),"")</f>
        <v/>
      </c>
      <c r="L1040" s="9">
        <f>IFERROR(LOOKUP(2,1/('Weekly Tracker'!$E$2:$E$766=$A1040)/('Weekly Tracker'!$O$2:$O$766&lt;&gt;""),'Weekly Tracker'!$O$2:$O$766),"")</f>
        <v/>
      </c>
    </row>
    <row r="1041">
      <c r="A1041" s="9" t="inlineStr">
        <is>
          <t>Bibin Inba kumar FB</t>
        </is>
      </c>
      <c r="B1041" s="9" t="inlineStr">
        <is>
          <t>9487136560</t>
        </is>
      </c>
      <c r="C1041" s="9" t="n"/>
      <c r="D1041" s="9" t="n"/>
      <c r="E1041" s="9" t="n"/>
      <c r="F1041" s="9">
        <f>IFERROR(LOOKUP(2,1/('Weekly Tracker'!$E$2:$E$766=$A1041)/('Weekly Tracker'!$F$2:$F$766&lt;&gt;""),'Weekly Tracker'!$F$2:$F$766),"")</f>
        <v/>
      </c>
      <c r="G1041" s="16">
        <f>IF(F1041&lt;&gt;"",LOOKUP(2,1/('Weekly Tracker'!$E$2:$E$766=$A1041)/('Weekly Tracker'!$F$2:$F$766&lt;&gt;""),'Weekly Tracker'!$G$2:$G$766),"")</f>
        <v/>
      </c>
      <c r="H1041" s="9">
        <f>IFERROR(LOOKUP(2,1/('Weekly Tracker'!$E$2:$E$766=$A1041)/('Weekly Tracker'!$H$2:$H$766&lt;&gt;""),'Weekly Tracker'!$H$2:$H$766),"")</f>
        <v/>
      </c>
      <c r="I1041" s="16">
        <f>IF(H1041&lt;&gt;"",LOOKUP(2,1/('Weekly Tracker'!$E$2:$E$766=$A1041)/('Weekly Tracker'!$H$2:$H$766&lt;&gt;""),'Weekly Tracker'!$I$2:$I$766),"")</f>
        <v/>
      </c>
      <c r="J1041" s="9">
        <f>IFERROR(LOOKUP(2,1/('Weekly Tracker'!$E$2:$E$766=$A1041)/('Weekly Tracker'!$J$2:$J$766&lt;&gt;""),'Weekly Tracker'!$J$2:$J$766),"")</f>
        <v/>
      </c>
      <c r="K1041" s="9">
        <f>IFERROR(LOOKUP(2,1/('Weekly Tracker'!$E$2:$E$766=$A1041)/('Weekly Tracker'!$N$2:$N$766&lt;&gt;""),'Weekly Tracker'!$N$2:$N$766),"")</f>
        <v/>
      </c>
      <c r="L1041" s="9">
        <f>IFERROR(LOOKUP(2,1/('Weekly Tracker'!$E$2:$E$766=$A1041)/('Weekly Tracker'!$O$2:$O$766&lt;&gt;""),'Weekly Tracker'!$O$2:$O$766),"")</f>
        <v/>
      </c>
    </row>
    <row r="1042">
      <c r="A1042" s="9" t="inlineStr">
        <is>
          <t>Sai Keerthi Infy</t>
        </is>
      </c>
      <c r="B1042" s="9" t="inlineStr">
        <is>
          <t>917995662577</t>
        </is>
      </c>
      <c r="C1042" s="9" t="n"/>
      <c r="D1042" s="9" t="n"/>
      <c r="E1042" s="9" t="n"/>
      <c r="F1042" s="9">
        <f>IFERROR(LOOKUP(2,1/('Weekly Tracker'!$E$2:$E$766=$A1042)/('Weekly Tracker'!$F$2:$F$766&lt;&gt;""),'Weekly Tracker'!$F$2:$F$766),"")</f>
        <v/>
      </c>
      <c r="G1042" s="16">
        <f>IF(F1042&lt;&gt;"",LOOKUP(2,1/('Weekly Tracker'!$E$2:$E$766=$A1042)/('Weekly Tracker'!$F$2:$F$766&lt;&gt;""),'Weekly Tracker'!$G$2:$G$766),"")</f>
        <v/>
      </c>
      <c r="H1042" s="9">
        <f>IFERROR(LOOKUP(2,1/('Weekly Tracker'!$E$2:$E$766=$A1042)/('Weekly Tracker'!$H$2:$H$766&lt;&gt;""),'Weekly Tracker'!$H$2:$H$766),"")</f>
        <v/>
      </c>
      <c r="I1042" s="16">
        <f>IF(H1042&lt;&gt;"",LOOKUP(2,1/('Weekly Tracker'!$E$2:$E$766=$A1042)/('Weekly Tracker'!$H$2:$H$766&lt;&gt;""),'Weekly Tracker'!$I$2:$I$766),"")</f>
        <v/>
      </c>
      <c r="J1042" s="9">
        <f>IFERROR(LOOKUP(2,1/('Weekly Tracker'!$E$2:$E$766=$A1042)/('Weekly Tracker'!$J$2:$J$766&lt;&gt;""),'Weekly Tracker'!$J$2:$J$766),"")</f>
        <v/>
      </c>
      <c r="K1042" s="9">
        <f>IFERROR(LOOKUP(2,1/('Weekly Tracker'!$E$2:$E$766=$A1042)/('Weekly Tracker'!$N$2:$N$766&lt;&gt;""),'Weekly Tracker'!$N$2:$N$766),"")</f>
        <v/>
      </c>
      <c r="L1042" s="9">
        <f>IFERROR(LOOKUP(2,1/('Weekly Tracker'!$E$2:$E$766=$A1042)/('Weekly Tracker'!$O$2:$O$766&lt;&gt;""),'Weekly Tracker'!$O$2:$O$766),"")</f>
        <v/>
      </c>
    </row>
    <row r="1043">
      <c r="A1043" s="9" t="inlineStr">
        <is>
          <t>Aravind Benz</t>
        </is>
      </c>
      <c r="B1043" s="9" t="inlineStr">
        <is>
          <t>8754062774</t>
        </is>
      </c>
      <c r="C1043" s="9" t="n"/>
      <c r="D1043" s="9" t="n"/>
      <c r="E1043" s="9" t="n"/>
      <c r="F1043" s="9">
        <f>IFERROR(LOOKUP(2,1/('Weekly Tracker'!$E$2:$E$766=$A1043)/('Weekly Tracker'!$F$2:$F$766&lt;&gt;""),'Weekly Tracker'!$F$2:$F$766),"")</f>
        <v/>
      </c>
      <c r="G1043" s="16">
        <f>IF(F1043&lt;&gt;"",LOOKUP(2,1/('Weekly Tracker'!$E$2:$E$766=$A1043)/('Weekly Tracker'!$F$2:$F$766&lt;&gt;""),'Weekly Tracker'!$G$2:$G$766),"")</f>
        <v/>
      </c>
      <c r="H1043" s="9">
        <f>IFERROR(LOOKUP(2,1/('Weekly Tracker'!$E$2:$E$766=$A1043)/('Weekly Tracker'!$H$2:$H$766&lt;&gt;""),'Weekly Tracker'!$H$2:$H$766),"")</f>
        <v/>
      </c>
      <c r="I1043" s="16">
        <f>IF(H1043&lt;&gt;"",LOOKUP(2,1/('Weekly Tracker'!$E$2:$E$766=$A1043)/('Weekly Tracker'!$H$2:$H$766&lt;&gt;""),'Weekly Tracker'!$I$2:$I$766),"")</f>
        <v/>
      </c>
      <c r="J1043" s="9">
        <f>IFERROR(LOOKUP(2,1/('Weekly Tracker'!$E$2:$E$766=$A1043)/('Weekly Tracker'!$J$2:$J$766&lt;&gt;""),'Weekly Tracker'!$J$2:$J$766),"")</f>
        <v/>
      </c>
      <c r="K1043" s="9">
        <f>IFERROR(LOOKUP(2,1/('Weekly Tracker'!$E$2:$E$766=$A1043)/('Weekly Tracker'!$N$2:$N$766&lt;&gt;""),'Weekly Tracker'!$N$2:$N$766),"")</f>
        <v/>
      </c>
      <c r="L1043" s="9">
        <f>IFERROR(LOOKUP(2,1/('Weekly Tracker'!$E$2:$E$766=$A1043)/('Weekly Tracker'!$O$2:$O$766&lt;&gt;""),'Weekly Tracker'!$O$2:$O$766),"")</f>
        <v/>
      </c>
    </row>
    <row r="1044">
      <c r="A1044" s="9" t="inlineStr">
        <is>
          <t>Bavithran Clg</t>
        </is>
      </c>
      <c r="B1044" s="9" t="inlineStr">
        <is>
          <t>919629374953</t>
        </is>
      </c>
      <c r="C1044" s="9" t="n"/>
      <c r="D1044" s="9" t="n"/>
      <c r="E1044" s="9" t="n"/>
      <c r="F1044" s="9">
        <f>IFERROR(LOOKUP(2,1/('Weekly Tracker'!$E$2:$E$766=$A1044)/('Weekly Tracker'!$F$2:$F$766&lt;&gt;""),'Weekly Tracker'!$F$2:$F$766),"")</f>
        <v/>
      </c>
      <c r="G1044" s="16">
        <f>IF(F1044&lt;&gt;"",LOOKUP(2,1/('Weekly Tracker'!$E$2:$E$766=$A1044)/('Weekly Tracker'!$F$2:$F$766&lt;&gt;""),'Weekly Tracker'!$G$2:$G$766),"")</f>
        <v/>
      </c>
      <c r="H1044" s="9">
        <f>IFERROR(LOOKUP(2,1/('Weekly Tracker'!$E$2:$E$766=$A1044)/('Weekly Tracker'!$H$2:$H$766&lt;&gt;""),'Weekly Tracker'!$H$2:$H$766),"")</f>
        <v/>
      </c>
      <c r="I1044" s="16">
        <f>IF(H1044&lt;&gt;"",LOOKUP(2,1/('Weekly Tracker'!$E$2:$E$766=$A1044)/('Weekly Tracker'!$H$2:$H$766&lt;&gt;""),'Weekly Tracker'!$I$2:$I$766),"")</f>
        <v/>
      </c>
      <c r="J1044" s="9">
        <f>IFERROR(LOOKUP(2,1/('Weekly Tracker'!$E$2:$E$766=$A1044)/('Weekly Tracker'!$J$2:$J$766&lt;&gt;""),'Weekly Tracker'!$J$2:$J$766),"")</f>
        <v/>
      </c>
      <c r="K1044" s="9">
        <f>IFERROR(LOOKUP(2,1/('Weekly Tracker'!$E$2:$E$766=$A1044)/('Weekly Tracker'!$N$2:$N$766&lt;&gt;""),'Weekly Tracker'!$N$2:$N$766),"")</f>
        <v/>
      </c>
      <c r="L1044" s="9">
        <f>IFERROR(LOOKUP(2,1/('Weekly Tracker'!$E$2:$E$766=$A1044)/('Weekly Tracker'!$O$2:$O$766&lt;&gt;""),'Weekly Tracker'!$O$2:$O$766),"")</f>
        <v/>
      </c>
    </row>
    <row r="1045">
      <c r="A1045" s="9" t="inlineStr">
        <is>
          <t>Ajith Raja Junior</t>
        </is>
      </c>
      <c r="B1045" s="9" t="inlineStr">
        <is>
          <t>917094872820</t>
        </is>
      </c>
      <c r="C1045" s="9" t="n"/>
      <c r="D1045" s="9" t="n"/>
      <c r="E1045" s="9" t="n"/>
      <c r="F1045" s="9">
        <f>IFERROR(LOOKUP(2,1/('Weekly Tracker'!$E$2:$E$766=$A1045)/('Weekly Tracker'!$F$2:$F$766&lt;&gt;""),'Weekly Tracker'!$F$2:$F$766),"")</f>
        <v/>
      </c>
      <c r="G1045" s="16">
        <f>IF(F1045&lt;&gt;"",LOOKUP(2,1/('Weekly Tracker'!$E$2:$E$766=$A1045)/('Weekly Tracker'!$F$2:$F$766&lt;&gt;""),'Weekly Tracker'!$G$2:$G$766),"")</f>
        <v/>
      </c>
      <c r="H1045" s="9">
        <f>IFERROR(LOOKUP(2,1/('Weekly Tracker'!$E$2:$E$766=$A1045)/('Weekly Tracker'!$H$2:$H$766&lt;&gt;""),'Weekly Tracker'!$H$2:$H$766),"")</f>
        <v/>
      </c>
      <c r="I1045" s="16">
        <f>IF(H1045&lt;&gt;"",LOOKUP(2,1/('Weekly Tracker'!$E$2:$E$766=$A1045)/('Weekly Tracker'!$H$2:$H$766&lt;&gt;""),'Weekly Tracker'!$I$2:$I$766),"")</f>
        <v/>
      </c>
      <c r="J1045" s="9">
        <f>IFERROR(LOOKUP(2,1/('Weekly Tracker'!$E$2:$E$766=$A1045)/('Weekly Tracker'!$J$2:$J$766&lt;&gt;""),'Weekly Tracker'!$J$2:$J$766),"")</f>
        <v/>
      </c>
      <c r="K1045" s="9">
        <f>IFERROR(LOOKUP(2,1/('Weekly Tracker'!$E$2:$E$766=$A1045)/('Weekly Tracker'!$N$2:$N$766&lt;&gt;""),'Weekly Tracker'!$N$2:$N$766),"")</f>
        <v/>
      </c>
      <c r="L1045" s="9">
        <f>IFERROR(LOOKUP(2,1/('Weekly Tracker'!$E$2:$E$766=$A1045)/('Weekly Tracker'!$O$2:$O$766&lt;&gt;""),'Weekly Tracker'!$O$2:$O$766),"")</f>
        <v/>
      </c>
    </row>
    <row r="1046">
      <c r="A1046" s="9" t="inlineStr">
        <is>
          <t>ACT Shankar</t>
        </is>
      </c>
      <c r="B1046" s="9" t="inlineStr">
        <is>
          <t>919840694707</t>
        </is>
      </c>
      <c r="C1046" s="9" t="n"/>
      <c r="D1046" s="9" t="n"/>
      <c r="E1046" s="9" t="n"/>
      <c r="F1046" s="9">
        <f>IFERROR(LOOKUP(2,1/('Weekly Tracker'!$E$2:$E$766=$A1046)/('Weekly Tracker'!$F$2:$F$766&lt;&gt;""),'Weekly Tracker'!$F$2:$F$766),"")</f>
        <v/>
      </c>
      <c r="G1046" s="16">
        <f>IF(F1046&lt;&gt;"",LOOKUP(2,1/('Weekly Tracker'!$E$2:$E$766=$A1046)/('Weekly Tracker'!$F$2:$F$766&lt;&gt;""),'Weekly Tracker'!$G$2:$G$766),"")</f>
        <v/>
      </c>
      <c r="H1046" s="9">
        <f>IFERROR(LOOKUP(2,1/('Weekly Tracker'!$E$2:$E$766=$A1046)/('Weekly Tracker'!$H$2:$H$766&lt;&gt;""),'Weekly Tracker'!$H$2:$H$766),"")</f>
        <v/>
      </c>
      <c r="I1046" s="16">
        <f>IF(H1046&lt;&gt;"",LOOKUP(2,1/('Weekly Tracker'!$E$2:$E$766=$A1046)/('Weekly Tracker'!$H$2:$H$766&lt;&gt;""),'Weekly Tracker'!$I$2:$I$766),"")</f>
        <v/>
      </c>
      <c r="J1046" s="9">
        <f>IFERROR(LOOKUP(2,1/('Weekly Tracker'!$E$2:$E$766=$A1046)/('Weekly Tracker'!$J$2:$J$766&lt;&gt;""),'Weekly Tracker'!$J$2:$J$766),"")</f>
        <v/>
      </c>
      <c r="K1046" s="9">
        <f>IFERROR(LOOKUP(2,1/('Weekly Tracker'!$E$2:$E$766=$A1046)/('Weekly Tracker'!$N$2:$N$766&lt;&gt;""),'Weekly Tracker'!$N$2:$N$766),"")</f>
        <v/>
      </c>
      <c r="L1046" s="9">
        <f>IFERROR(LOOKUP(2,1/('Weekly Tracker'!$E$2:$E$766=$A1046)/('Weekly Tracker'!$O$2:$O$766&lt;&gt;""),'Weekly Tracker'!$O$2:$O$766),"")</f>
        <v/>
      </c>
    </row>
    <row r="1047">
      <c r="A1047" s="9" t="inlineStr">
        <is>
          <t>Zia Safiy Grp Ucen</t>
        </is>
      </c>
      <c r="B1047" s="9" t="inlineStr">
        <is>
          <t>971507398097</t>
        </is>
      </c>
      <c r="C1047" s="9" t="n"/>
      <c r="D1047" s="9" t="n"/>
      <c r="E1047" s="9" t="n"/>
      <c r="F1047" s="9">
        <f>IFERROR(LOOKUP(2,1/('Weekly Tracker'!$E$2:$E$766=$A1047)/('Weekly Tracker'!$F$2:$F$766&lt;&gt;""),'Weekly Tracker'!$F$2:$F$766),"")</f>
        <v/>
      </c>
      <c r="G1047" s="16">
        <f>IF(F1047&lt;&gt;"",LOOKUP(2,1/('Weekly Tracker'!$E$2:$E$766=$A1047)/('Weekly Tracker'!$F$2:$F$766&lt;&gt;""),'Weekly Tracker'!$G$2:$G$766),"")</f>
        <v/>
      </c>
      <c r="H1047" s="9">
        <f>IFERROR(LOOKUP(2,1/('Weekly Tracker'!$E$2:$E$766=$A1047)/('Weekly Tracker'!$H$2:$H$766&lt;&gt;""),'Weekly Tracker'!$H$2:$H$766),"")</f>
        <v/>
      </c>
      <c r="I1047" s="16">
        <f>IF(H1047&lt;&gt;"",LOOKUP(2,1/('Weekly Tracker'!$E$2:$E$766=$A1047)/('Weekly Tracker'!$H$2:$H$766&lt;&gt;""),'Weekly Tracker'!$I$2:$I$766),"")</f>
        <v/>
      </c>
      <c r="J1047" s="9">
        <f>IFERROR(LOOKUP(2,1/('Weekly Tracker'!$E$2:$E$766=$A1047)/('Weekly Tracker'!$J$2:$J$766&lt;&gt;""),'Weekly Tracker'!$J$2:$J$766),"")</f>
        <v/>
      </c>
      <c r="K1047" s="9">
        <f>IFERROR(LOOKUP(2,1/('Weekly Tracker'!$E$2:$E$766=$A1047)/('Weekly Tracker'!$N$2:$N$766&lt;&gt;""),'Weekly Tracker'!$N$2:$N$766),"")</f>
        <v/>
      </c>
      <c r="L1047" s="9">
        <f>IFERROR(LOOKUP(2,1/('Weekly Tracker'!$E$2:$E$766=$A1047)/('Weekly Tracker'!$O$2:$O$766&lt;&gt;""),'Weekly Tracker'!$O$2:$O$766),"")</f>
        <v/>
      </c>
    </row>
    <row r="1048">
      <c r="A1048" s="9" t="inlineStr">
        <is>
          <t>Karthikeya Owner</t>
        </is>
      </c>
      <c r="B1048" s="9" t="inlineStr">
        <is>
          <t>919884827594</t>
        </is>
      </c>
      <c r="C1048" s="9" t="n"/>
      <c r="D1048" s="9" t="n"/>
      <c r="E1048" s="9" t="n"/>
      <c r="F1048" s="9">
        <f>IFERROR(LOOKUP(2,1/('Weekly Tracker'!$E$2:$E$766=$A1048)/('Weekly Tracker'!$F$2:$F$766&lt;&gt;""),'Weekly Tracker'!$F$2:$F$766),"")</f>
        <v/>
      </c>
      <c r="G1048" s="16">
        <f>IF(F1048&lt;&gt;"",LOOKUP(2,1/('Weekly Tracker'!$E$2:$E$766=$A1048)/('Weekly Tracker'!$F$2:$F$766&lt;&gt;""),'Weekly Tracker'!$G$2:$G$766),"")</f>
        <v/>
      </c>
      <c r="H1048" s="9">
        <f>IFERROR(LOOKUP(2,1/('Weekly Tracker'!$E$2:$E$766=$A1048)/('Weekly Tracker'!$H$2:$H$766&lt;&gt;""),'Weekly Tracker'!$H$2:$H$766),"")</f>
        <v/>
      </c>
      <c r="I1048" s="16">
        <f>IF(H1048&lt;&gt;"",LOOKUP(2,1/('Weekly Tracker'!$E$2:$E$766=$A1048)/('Weekly Tracker'!$H$2:$H$766&lt;&gt;""),'Weekly Tracker'!$I$2:$I$766),"")</f>
        <v/>
      </c>
      <c r="J1048" s="9">
        <f>IFERROR(LOOKUP(2,1/('Weekly Tracker'!$E$2:$E$766=$A1048)/('Weekly Tracker'!$J$2:$J$766&lt;&gt;""),'Weekly Tracker'!$J$2:$J$766),"")</f>
        <v/>
      </c>
      <c r="K1048" s="9">
        <f>IFERROR(LOOKUP(2,1/('Weekly Tracker'!$E$2:$E$766=$A1048)/('Weekly Tracker'!$N$2:$N$766&lt;&gt;""),'Weekly Tracker'!$N$2:$N$766),"")</f>
        <v/>
      </c>
      <c r="L1048" s="9">
        <f>IFERROR(LOOKUP(2,1/('Weekly Tracker'!$E$2:$E$766=$A1048)/('Weekly Tracker'!$O$2:$O$766&lt;&gt;""),'Weekly Tracker'!$O$2:$O$766),"")</f>
        <v/>
      </c>
    </row>
    <row r="1049">
      <c r="A1049" s="9" t="inlineStr">
        <is>
          <t>Kavin College</t>
        </is>
      </c>
      <c r="B1049" s="9" t="inlineStr">
        <is>
          <t>919952727810</t>
        </is>
      </c>
      <c r="C1049" s="9" t="n"/>
      <c r="D1049" s="9" t="n"/>
      <c r="E1049" s="9" t="n"/>
      <c r="F1049" s="9">
        <f>IFERROR(LOOKUP(2,1/('Weekly Tracker'!$E$2:$E$766=$A1049)/('Weekly Tracker'!$F$2:$F$766&lt;&gt;""),'Weekly Tracker'!$F$2:$F$766),"")</f>
        <v/>
      </c>
      <c r="G1049" s="16">
        <f>IF(F1049&lt;&gt;"",LOOKUP(2,1/('Weekly Tracker'!$E$2:$E$766=$A1049)/('Weekly Tracker'!$F$2:$F$766&lt;&gt;""),'Weekly Tracker'!$G$2:$G$766),"")</f>
        <v/>
      </c>
      <c r="H1049" s="9">
        <f>IFERROR(LOOKUP(2,1/('Weekly Tracker'!$E$2:$E$766=$A1049)/('Weekly Tracker'!$H$2:$H$766&lt;&gt;""),'Weekly Tracker'!$H$2:$H$766),"")</f>
        <v/>
      </c>
      <c r="I1049" s="16">
        <f>IF(H1049&lt;&gt;"",LOOKUP(2,1/('Weekly Tracker'!$E$2:$E$766=$A1049)/('Weekly Tracker'!$H$2:$H$766&lt;&gt;""),'Weekly Tracker'!$I$2:$I$766),"")</f>
        <v/>
      </c>
      <c r="J1049" s="9">
        <f>IFERROR(LOOKUP(2,1/('Weekly Tracker'!$E$2:$E$766=$A1049)/('Weekly Tracker'!$J$2:$J$766&lt;&gt;""),'Weekly Tracker'!$J$2:$J$766),"")</f>
        <v/>
      </c>
      <c r="K1049" s="9">
        <f>IFERROR(LOOKUP(2,1/('Weekly Tracker'!$E$2:$E$766=$A1049)/('Weekly Tracker'!$N$2:$N$766&lt;&gt;""),'Weekly Tracker'!$N$2:$N$766),"")</f>
        <v/>
      </c>
      <c r="L1049" s="9">
        <f>IFERROR(LOOKUP(2,1/('Weekly Tracker'!$E$2:$E$766=$A1049)/('Weekly Tracker'!$O$2:$O$766&lt;&gt;""),'Weekly Tracker'!$O$2:$O$766),"")</f>
        <v/>
      </c>
    </row>
    <row r="1050">
      <c r="A1050" s="9" t="inlineStr">
        <is>
          <t>Abdul Rahman</t>
        </is>
      </c>
      <c r="B1050" s="9" t="inlineStr">
        <is>
          <t>9940477602</t>
        </is>
      </c>
      <c r="C1050" s="9" t="n"/>
      <c r="D1050" s="9" t="n"/>
      <c r="E1050" s="9" t="n"/>
      <c r="F1050" s="9">
        <f>IFERROR(LOOKUP(2,1/('Weekly Tracker'!$E$2:$E$766=$A1050)/('Weekly Tracker'!$F$2:$F$766&lt;&gt;""),'Weekly Tracker'!$F$2:$F$766),"")</f>
        <v/>
      </c>
      <c r="G1050" s="16">
        <f>IF(F1050&lt;&gt;"",LOOKUP(2,1/('Weekly Tracker'!$E$2:$E$766=$A1050)/('Weekly Tracker'!$F$2:$F$766&lt;&gt;""),'Weekly Tracker'!$G$2:$G$766),"")</f>
        <v/>
      </c>
      <c r="H1050" s="9">
        <f>IFERROR(LOOKUP(2,1/('Weekly Tracker'!$E$2:$E$766=$A1050)/('Weekly Tracker'!$H$2:$H$766&lt;&gt;""),'Weekly Tracker'!$H$2:$H$766),"")</f>
        <v/>
      </c>
      <c r="I1050" s="16">
        <f>IF(H1050&lt;&gt;"",LOOKUP(2,1/('Weekly Tracker'!$E$2:$E$766=$A1050)/('Weekly Tracker'!$H$2:$H$766&lt;&gt;""),'Weekly Tracker'!$I$2:$I$766),"")</f>
        <v/>
      </c>
      <c r="J1050" s="9">
        <f>IFERROR(LOOKUP(2,1/('Weekly Tracker'!$E$2:$E$766=$A1050)/('Weekly Tracker'!$J$2:$J$766&lt;&gt;""),'Weekly Tracker'!$J$2:$J$766),"")</f>
        <v/>
      </c>
      <c r="K1050" s="9">
        <f>IFERROR(LOOKUP(2,1/('Weekly Tracker'!$E$2:$E$766=$A1050)/('Weekly Tracker'!$N$2:$N$766&lt;&gt;""),'Weekly Tracker'!$N$2:$N$766),"")</f>
        <v/>
      </c>
      <c r="L1050" s="9">
        <f>IFERROR(LOOKUP(2,1/('Weekly Tracker'!$E$2:$E$766=$A1050)/('Weekly Tracker'!$O$2:$O$766&lt;&gt;""),'Weekly Tracker'!$O$2:$O$766),"")</f>
        <v/>
      </c>
    </row>
    <row r="1051">
      <c r="A1051" s="9" t="inlineStr">
        <is>
          <t>Shankar ShankyBoy Verz</t>
        </is>
      </c>
      <c r="B1051" s="9" t="inlineStr">
        <is>
          <t>918807508401</t>
        </is>
      </c>
      <c r="C1051" s="9" t="n"/>
      <c r="D1051" s="9" t="n"/>
      <c r="E1051" s="9" t="n"/>
      <c r="F1051" s="9">
        <f>IFERROR(LOOKUP(2,1/('Weekly Tracker'!$E$2:$E$766=$A1051)/('Weekly Tracker'!$F$2:$F$766&lt;&gt;""),'Weekly Tracker'!$F$2:$F$766),"")</f>
        <v/>
      </c>
      <c r="G1051" s="16">
        <f>IF(F1051&lt;&gt;"",LOOKUP(2,1/('Weekly Tracker'!$E$2:$E$766=$A1051)/('Weekly Tracker'!$F$2:$F$766&lt;&gt;""),'Weekly Tracker'!$G$2:$G$766),"")</f>
        <v/>
      </c>
      <c r="H1051" s="9">
        <f>IFERROR(LOOKUP(2,1/('Weekly Tracker'!$E$2:$E$766=$A1051)/('Weekly Tracker'!$H$2:$H$766&lt;&gt;""),'Weekly Tracker'!$H$2:$H$766),"")</f>
        <v/>
      </c>
      <c r="I1051" s="16">
        <f>IF(H1051&lt;&gt;"",LOOKUP(2,1/('Weekly Tracker'!$E$2:$E$766=$A1051)/('Weekly Tracker'!$H$2:$H$766&lt;&gt;""),'Weekly Tracker'!$I$2:$I$766),"")</f>
        <v/>
      </c>
      <c r="J1051" s="9">
        <f>IFERROR(LOOKUP(2,1/('Weekly Tracker'!$E$2:$E$766=$A1051)/('Weekly Tracker'!$J$2:$J$766&lt;&gt;""),'Weekly Tracker'!$J$2:$J$766),"")</f>
        <v/>
      </c>
      <c r="K1051" s="9">
        <f>IFERROR(LOOKUP(2,1/('Weekly Tracker'!$E$2:$E$766=$A1051)/('Weekly Tracker'!$N$2:$N$766&lt;&gt;""),'Weekly Tracker'!$N$2:$N$766),"")</f>
        <v/>
      </c>
      <c r="L1051" s="9">
        <f>IFERROR(LOOKUP(2,1/('Weekly Tracker'!$E$2:$E$766=$A1051)/('Weekly Tracker'!$O$2:$O$766&lt;&gt;""),'Weekly Tracker'!$O$2:$O$766),"")</f>
        <v/>
      </c>
    </row>
    <row r="1052">
      <c r="A1052" s="9" t="inlineStr">
        <is>
          <t>Karthikeyan Axis Bank</t>
        </is>
      </c>
      <c r="B1052" s="9" t="inlineStr">
        <is>
          <t>919884744316</t>
        </is>
      </c>
      <c r="C1052" s="9" t="n"/>
      <c r="D1052" s="9" t="n"/>
      <c r="E1052" s="9" t="n"/>
      <c r="F1052" s="9">
        <f>IFERROR(LOOKUP(2,1/('Weekly Tracker'!$E$2:$E$766=$A1052)/('Weekly Tracker'!$F$2:$F$766&lt;&gt;""),'Weekly Tracker'!$F$2:$F$766),"")</f>
        <v/>
      </c>
      <c r="G1052" s="16">
        <f>IF(F1052&lt;&gt;"",LOOKUP(2,1/('Weekly Tracker'!$E$2:$E$766=$A1052)/('Weekly Tracker'!$F$2:$F$766&lt;&gt;""),'Weekly Tracker'!$G$2:$G$766),"")</f>
        <v/>
      </c>
      <c r="H1052" s="9">
        <f>IFERROR(LOOKUP(2,1/('Weekly Tracker'!$E$2:$E$766=$A1052)/('Weekly Tracker'!$H$2:$H$766&lt;&gt;""),'Weekly Tracker'!$H$2:$H$766),"")</f>
        <v/>
      </c>
      <c r="I1052" s="16">
        <f>IF(H1052&lt;&gt;"",LOOKUP(2,1/('Weekly Tracker'!$E$2:$E$766=$A1052)/('Weekly Tracker'!$H$2:$H$766&lt;&gt;""),'Weekly Tracker'!$I$2:$I$766),"")</f>
        <v/>
      </c>
      <c r="J1052" s="9">
        <f>IFERROR(LOOKUP(2,1/('Weekly Tracker'!$E$2:$E$766=$A1052)/('Weekly Tracker'!$J$2:$J$766&lt;&gt;""),'Weekly Tracker'!$J$2:$J$766),"")</f>
        <v/>
      </c>
      <c r="K1052" s="9">
        <f>IFERROR(LOOKUP(2,1/('Weekly Tracker'!$E$2:$E$766=$A1052)/('Weekly Tracker'!$N$2:$N$766&lt;&gt;""),'Weekly Tracker'!$N$2:$N$766),"")</f>
        <v/>
      </c>
      <c r="L1052" s="9">
        <f>IFERROR(LOOKUP(2,1/('Weekly Tracker'!$E$2:$E$766=$A1052)/('Weekly Tracker'!$O$2:$O$766&lt;&gt;""),'Weekly Tracker'!$O$2:$O$766),"")</f>
        <v/>
      </c>
    </row>
    <row r="1053">
      <c r="A1053" s="9" t="inlineStr">
        <is>
          <t>Aramudu Uncle</t>
        </is>
      </c>
      <c r="B1053" s="9" t="inlineStr">
        <is>
          <t>918489136660</t>
        </is>
      </c>
      <c r="C1053" s="9" t="n"/>
      <c r="D1053" s="9" t="n"/>
      <c r="E1053" s="9" t="n"/>
      <c r="F1053" s="9">
        <f>IFERROR(LOOKUP(2,1/('Weekly Tracker'!$E$2:$E$766=$A1053)/('Weekly Tracker'!$F$2:$F$766&lt;&gt;""),'Weekly Tracker'!$F$2:$F$766),"")</f>
        <v/>
      </c>
      <c r="G1053" s="16">
        <f>IF(F1053&lt;&gt;"",LOOKUP(2,1/('Weekly Tracker'!$E$2:$E$766=$A1053)/('Weekly Tracker'!$F$2:$F$766&lt;&gt;""),'Weekly Tracker'!$G$2:$G$766),"")</f>
        <v/>
      </c>
      <c r="H1053" s="9">
        <f>IFERROR(LOOKUP(2,1/('Weekly Tracker'!$E$2:$E$766=$A1053)/('Weekly Tracker'!$H$2:$H$766&lt;&gt;""),'Weekly Tracker'!$H$2:$H$766),"")</f>
        <v/>
      </c>
      <c r="I1053" s="16">
        <f>IF(H1053&lt;&gt;"",LOOKUP(2,1/('Weekly Tracker'!$E$2:$E$766=$A1053)/('Weekly Tracker'!$H$2:$H$766&lt;&gt;""),'Weekly Tracker'!$I$2:$I$766),"")</f>
        <v/>
      </c>
      <c r="J1053" s="9">
        <f>IFERROR(LOOKUP(2,1/('Weekly Tracker'!$E$2:$E$766=$A1053)/('Weekly Tracker'!$J$2:$J$766&lt;&gt;""),'Weekly Tracker'!$J$2:$J$766),"")</f>
        <v/>
      </c>
      <c r="K1053" s="9">
        <f>IFERROR(LOOKUP(2,1/('Weekly Tracker'!$E$2:$E$766=$A1053)/('Weekly Tracker'!$N$2:$N$766&lt;&gt;""),'Weekly Tracker'!$N$2:$N$766),"")</f>
        <v/>
      </c>
      <c r="L1053" s="9">
        <f>IFERROR(LOOKUP(2,1/('Weekly Tracker'!$E$2:$E$766=$A1053)/('Weekly Tracker'!$O$2:$O$766&lt;&gt;""),'Weekly Tracker'!$O$2:$O$766),"")</f>
        <v/>
      </c>
    </row>
    <row r="1054">
      <c r="A1054" s="9" t="inlineStr">
        <is>
          <t>Manivannan LinkedIn</t>
        </is>
      </c>
      <c r="B1054" s="9" t="inlineStr">
        <is>
          <t>8754192744</t>
        </is>
      </c>
      <c r="C1054" s="9" t="n"/>
      <c r="D1054" s="9" t="n"/>
      <c r="E1054" s="9" t="n"/>
      <c r="F1054" s="9">
        <f>IFERROR(LOOKUP(2,1/('Weekly Tracker'!$E$2:$E$766=$A1054)/('Weekly Tracker'!$F$2:$F$766&lt;&gt;""),'Weekly Tracker'!$F$2:$F$766),"")</f>
        <v/>
      </c>
      <c r="G1054" s="16">
        <f>IF(F1054&lt;&gt;"",LOOKUP(2,1/('Weekly Tracker'!$E$2:$E$766=$A1054)/('Weekly Tracker'!$F$2:$F$766&lt;&gt;""),'Weekly Tracker'!$G$2:$G$766),"")</f>
        <v/>
      </c>
      <c r="H1054" s="9">
        <f>IFERROR(LOOKUP(2,1/('Weekly Tracker'!$E$2:$E$766=$A1054)/('Weekly Tracker'!$H$2:$H$766&lt;&gt;""),'Weekly Tracker'!$H$2:$H$766),"")</f>
        <v/>
      </c>
      <c r="I1054" s="16">
        <f>IF(H1054&lt;&gt;"",LOOKUP(2,1/('Weekly Tracker'!$E$2:$E$766=$A1054)/('Weekly Tracker'!$H$2:$H$766&lt;&gt;""),'Weekly Tracker'!$I$2:$I$766),"")</f>
        <v/>
      </c>
      <c r="J1054" s="9">
        <f>IFERROR(LOOKUP(2,1/('Weekly Tracker'!$E$2:$E$766=$A1054)/('Weekly Tracker'!$J$2:$J$766&lt;&gt;""),'Weekly Tracker'!$J$2:$J$766),"")</f>
        <v/>
      </c>
      <c r="K1054" s="9">
        <f>IFERROR(LOOKUP(2,1/('Weekly Tracker'!$E$2:$E$766=$A1054)/('Weekly Tracker'!$N$2:$N$766&lt;&gt;""),'Weekly Tracker'!$N$2:$N$766),"")</f>
        <v/>
      </c>
      <c r="L1054" s="9">
        <f>IFERROR(LOOKUP(2,1/('Weekly Tracker'!$E$2:$E$766=$A1054)/('Weekly Tracker'!$O$2:$O$766&lt;&gt;""),'Weekly Tracker'!$O$2:$O$766),"")</f>
        <v/>
      </c>
    </row>
    <row r="1055">
      <c r="A1055" s="9" t="inlineStr">
        <is>
          <t>Vijay Sarathy FB</t>
        </is>
      </c>
      <c r="B1055" s="9" t="inlineStr">
        <is>
          <t>918148515246</t>
        </is>
      </c>
      <c r="C1055" s="9" t="n"/>
      <c r="D1055" s="9" t="n"/>
      <c r="E1055" s="9" t="n"/>
      <c r="F1055" s="9">
        <f>IFERROR(LOOKUP(2,1/('Weekly Tracker'!$E$2:$E$766=$A1055)/('Weekly Tracker'!$F$2:$F$766&lt;&gt;""),'Weekly Tracker'!$F$2:$F$766),"")</f>
        <v/>
      </c>
      <c r="G1055" s="16">
        <f>IF(F1055&lt;&gt;"",LOOKUP(2,1/('Weekly Tracker'!$E$2:$E$766=$A1055)/('Weekly Tracker'!$F$2:$F$766&lt;&gt;""),'Weekly Tracker'!$G$2:$G$766),"")</f>
        <v/>
      </c>
      <c r="H1055" s="9">
        <f>IFERROR(LOOKUP(2,1/('Weekly Tracker'!$E$2:$E$766=$A1055)/('Weekly Tracker'!$H$2:$H$766&lt;&gt;""),'Weekly Tracker'!$H$2:$H$766),"")</f>
        <v/>
      </c>
      <c r="I1055" s="16">
        <f>IF(H1055&lt;&gt;"",LOOKUP(2,1/('Weekly Tracker'!$E$2:$E$766=$A1055)/('Weekly Tracker'!$H$2:$H$766&lt;&gt;""),'Weekly Tracker'!$I$2:$I$766),"")</f>
        <v/>
      </c>
      <c r="J1055" s="9">
        <f>IFERROR(LOOKUP(2,1/('Weekly Tracker'!$E$2:$E$766=$A1055)/('Weekly Tracker'!$J$2:$J$766&lt;&gt;""),'Weekly Tracker'!$J$2:$J$766),"")</f>
        <v/>
      </c>
      <c r="K1055" s="9">
        <f>IFERROR(LOOKUP(2,1/('Weekly Tracker'!$E$2:$E$766=$A1055)/('Weekly Tracker'!$N$2:$N$766&lt;&gt;""),'Weekly Tracker'!$N$2:$N$766),"")</f>
        <v/>
      </c>
      <c r="L1055" s="9">
        <f>IFERROR(LOOKUP(2,1/('Weekly Tracker'!$E$2:$E$766=$A1055)/('Weekly Tracker'!$O$2:$O$766&lt;&gt;""),'Weekly Tracker'!$O$2:$O$766),"")</f>
        <v/>
      </c>
    </row>
    <row r="1056">
      <c r="A1056" s="9" t="inlineStr">
        <is>
          <t>Ravi Mariappan Scl</t>
        </is>
      </c>
      <c r="B1056" s="9" t="inlineStr">
        <is>
          <t>918678905449</t>
        </is>
      </c>
      <c r="C1056" s="9" t="n"/>
      <c r="D1056" s="9" t="n"/>
      <c r="E1056" s="9" t="n"/>
      <c r="F1056" s="9">
        <f>IFERROR(LOOKUP(2,1/('Weekly Tracker'!$E$2:$E$766=$A1056)/('Weekly Tracker'!$F$2:$F$766&lt;&gt;""),'Weekly Tracker'!$F$2:$F$766),"")</f>
        <v/>
      </c>
      <c r="G1056" s="16">
        <f>IF(F1056&lt;&gt;"",LOOKUP(2,1/('Weekly Tracker'!$E$2:$E$766=$A1056)/('Weekly Tracker'!$F$2:$F$766&lt;&gt;""),'Weekly Tracker'!$G$2:$G$766),"")</f>
        <v/>
      </c>
      <c r="H1056" s="9">
        <f>IFERROR(LOOKUP(2,1/('Weekly Tracker'!$E$2:$E$766=$A1056)/('Weekly Tracker'!$H$2:$H$766&lt;&gt;""),'Weekly Tracker'!$H$2:$H$766),"")</f>
        <v/>
      </c>
      <c r="I1056" s="16">
        <f>IF(H1056&lt;&gt;"",LOOKUP(2,1/('Weekly Tracker'!$E$2:$E$766=$A1056)/('Weekly Tracker'!$H$2:$H$766&lt;&gt;""),'Weekly Tracker'!$I$2:$I$766),"")</f>
        <v/>
      </c>
      <c r="J1056" s="9">
        <f>IFERROR(LOOKUP(2,1/('Weekly Tracker'!$E$2:$E$766=$A1056)/('Weekly Tracker'!$J$2:$J$766&lt;&gt;""),'Weekly Tracker'!$J$2:$J$766),"")</f>
        <v/>
      </c>
      <c r="K1056" s="9">
        <f>IFERROR(LOOKUP(2,1/('Weekly Tracker'!$E$2:$E$766=$A1056)/('Weekly Tracker'!$N$2:$N$766&lt;&gt;""),'Weekly Tracker'!$N$2:$N$766),"")</f>
        <v/>
      </c>
      <c r="L1056" s="9">
        <f>IFERROR(LOOKUP(2,1/('Weekly Tracker'!$E$2:$E$766=$A1056)/('Weekly Tracker'!$O$2:$O$766&lt;&gt;""),'Weekly Tracker'!$O$2:$O$766),"")</f>
        <v/>
      </c>
    </row>
    <row r="1057">
      <c r="A1057" s="9" t="inlineStr">
        <is>
          <t>Madasamy Scl</t>
        </is>
      </c>
      <c r="B1057" s="9" t="inlineStr">
        <is>
          <t>971547631325</t>
        </is>
      </c>
      <c r="C1057" s="9" t="n"/>
      <c r="D1057" s="9" t="n"/>
      <c r="E1057" s="9" t="n"/>
      <c r="F1057" s="9">
        <f>IFERROR(LOOKUP(2,1/('Weekly Tracker'!$E$2:$E$766=$A1057)/('Weekly Tracker'!$F$2:$F$766&lt;&gt;""),'Weekly Tracker'!$F$2:$F$766),"")</f>
        <v/>
      </c>
      <c r="G1057" s="16">
        <f>IF(F1057&lt;&gt;"",LOOKUP(2,1/('Weekly Tracker'!$E$2:$E$766=$A1057)/('Weekly Tracker'!$F$2:$F$766&lt;&gt;""),'Weekly Tracker'!$G$2:$G$766),"")</f>
        <v/>
      </c>
      <c r="H1057" s="9">
        <f>IFERROR(LOOKUP(2,1/('Weekly Tracker'!$E$2:$E$766=$A1057)/('Weekly Tracker'!$H$2:$H$766&lt;&gt;""),'Weekly Tracker'!$H$2:$H$766),"")</f>
        <v/>
      </c>
      <c r="I1057" s="16">
        <f>IF(H1057&lt;&gt;"",LOOKUP(2,1/('Weekly Tracker'!$E$2:$E$766=$A1057)/('Weekly Tracker'!$H$2:$H$766&lt;&gt;""),'Weekly Tracker'!$I$2:$I$766),"")</f>
        <v/>
      </c>
      <c r="J1057" s="9">
        <f>IFERROR(LOOKUP(2,1/('Weekly Tracker'!$E$2:$E$766=$A1057)/('Weekly Tracker'!$J$2:$J$766&lt;&gt;""),'Weekly Tracker'!$J$2:$J$766),"")</f>
        <v/>
      </c>
      <c r="K1057" s="9">
        <f>IFERROR(LOOKUP(2,1/('Weekly Tracker'!$E$2:$E$766=$A1057)/('Weekly Tracker'!$N$2:$N$766&lt;&gt;""),'Weekly Tracker'!$N$2:$N$766),"")</f>
        <v/>
      </c>
      <c r="L1057" s="9">
        <f>IFERROR(LOOKUP(2,1/('Weekly Tracker'!$E$2:$E$766=$A1057)/('Weekly Tracker'!$O$2:$O$766&lt;&gt;""),'Weekly Tracker'!$O$2:$O$766),"")</f>
        <v/>
      </c>
    </row>
    <row r="1058">
      <c r="A1058" s="9" t="inlineStr">
        <is>
          <t>Maharaja Kprm Scl</t>
        </is>
      </c>
      <c r="B1058" s="9" t="inlineStr">
        <is>
          <t>919965784264, 917806935159</t>
        </is>
      </c>
      <c r="C1058" s="9" t="n"/>
      <c r="D1058" s="9" t="n"/>
      <c r="E1058" s="9" t="n"/>
      <c r="F1058" s="9">
        <f>IFERROR(LOOKUP(2,1/('Weekly Tracker'!$E$2:$E$766=$A1058)/('Weekly Tracker'!$F$2:$F$766&lt;&gt;""),'Weekly Tracker'!$F$2:$F$766),"")</f>
        <v/>
      </c>
      <c r="G1058" s="16">
        <f>IF(F1058&lt;&gt;"",LOOKUP(2,1/('Weekly Tracker'!$E$2:$E$766=$A1058)/('Weekly Tracker'!$F$2:$F$766&lt;&gt;""),'Weekly Tracker'!$G$2:$G$766),"")</f>
        <v/>
      </c>
      <c r="H1058" s="9">
        <f>IFERROR(LOOKUP(2,1/('Weekly Tracker'!$E$2:$E$766=$A1058)/('Weekly Tracker'!$H$2:$H$766&lt;&gt;""),'Weekly Tracker'!$H$2:$H$766),"")</f>
        <v/>
      </c>
      <c r="I1058" s="16">
        <f>IF(H1058&lt;&gt;"",LOOKUP(2,1/('Weekly Tracker'!$E$2:$E$766=$A1058)/('Weekly Tracker'!$H$2:$H$766&lt;&gt;""),'Weekly Tracker'!$I$2:$I$766),"")</f>
        <v/>
      </c>
      <c r="J1058" s="9">
        <f>IFERROR(LOOKUP(2,1/('Weekly Tracker'!$E$2:$E$766=$A1058)/('Weekly Tracker'!$J$2:$J$766&lt;&gt;""),'Weekly Tracker'!$J$2:$J$766),"")</f>
        <v/>
      </c>
      <c r="K1058" s="9">
        <f>IFERROR(LOOKUP(2,1/('Weekly Tracker'!$E$2:$E$766=$A1058)/('Weekly Tracker'!$N$2:$N$766&lt;&gt;""),'Weekly Tracker'!$N$2:$N$766),"")</f>
        <v/>
      </c>
      <c r="L1058" s="9">
        <f>IFERROR(LOOKUP(2,1/('Weekly Tracker'!$E$2:$E$766=$A1058)/('Weekly Tracker'!$O$2:$O$766&lt;&gt;""),'Weekly Tracker'!$O$2:$O$766),"")</f>
        <v/>
      </c>
    </row>
    <row r="1059">
      <c r="A1059" s="9" t="inlineStr">
        <is>
          <t>Bhupesh Gharat</t>
        </is>
      </c>
      <c r="B1059" s="9" t="inlineStr">
        <is>
          <t>97572 02848, 9962028482</t>
        </is>
      </c>
      <c r="C1059" s="9" t="n"/>
      <c r="D1059" s="9" t="n"/>
      <c r="E1059" s="9" t="n"/>
      <c r="F1059" s="9">
        <f>IFERROR(LOOKUP(2,1/('Weekly Tracker'!$E$2:$E$766=$A1059)/('Weekly Tracker'!$F$2:$F$766&lt;&gt;""),'Weekly Tracker'!$F$2:$F$766),"")</f>
        <v/>
      </c>
      <c r="G1059" s="16">
        <f>IF(F1059&lt;&gt;"",LOOKUP(2,1/('Weekly Tracker'!$E$2:$E$766=$A1059)/('Weekly Tracker'!$F$2:$F$766&lt;&gt;""),'Weekly Tracker'!$G$2:$G$766),"")</f>
        <v/>
      </c>
      <c r="H1059" s="9">
        <f>IFERROR(LOOKUP(2,1/('Weekly Tracker'!$E$2:$E$766=$A1059)/('Weekly Tracker'!$H$2:$H$766&lt;&gt;""),'Weekly Tracker'!$H$2:$H$766),"")</f>
        <v/>
      </c>
      <c r="I1059" s="16">
        <f>IF(H1059&lt;&gt;"",LOOKUP(2,1/('Weekly Tracker'!$E$2:$E$766=$A1059)/('Weekly Tracker'!$H$2:$H$766&lt;&gt;""),'Weekly Tracker'!$I$2:$I$766),"")</f>
        <v/>
      </c>
      <c r="J1059" s="9">
        <f>IFERROR(LOOKUP(2,1/('Weekly Tracker'!$E$2:$E$766=$A1059)/('Weekly Tracker'!$J$2:$J$766&lt;&gt;""),'Weekly Tracker'!$J$2:$J$766),"")</f>
        <v/>
      </c>
      <c r="K1059" s="9">
        <f>IFERROR(LOOKUP(2,1/('Weekly Tracker'!$E$2:$E$766=$A1059)/('Weekly Tracker'!$N$2:$N$766&lt;&gt;""),'Weekly Tracker'!$N$2:$N$766),"")</f>
        <v/>
      </c>
      <c r="L1059" s="9">
        <f>IFERROR(LOOKUP(2,1/('Weekly Tracker'!$E$2:$E$766=$A1059)/('Weekly Tracker'!$O$2:$O$766&lt;&gt;""),'Weekly Tracker'!$O$2:$O$766),"")</f>
        <v/>
      </c>
    </row>
    <row r="1060">
      <c r="A1060" s="9" t="inlineStr">
        <is>
          <t>Mugesh ernesto Grp Junior</t>
        </is>
      </c>
      <c r="B1060" s="9" t="inlineStr">
        <is>
          <t>917094800571</t>
        </is>
      </c>
      <c r="C1060" s="9" t="n"/>
      <c r="D1060" s="9" t="n"/>
      <c r="E1060" s="9" t="n"/>
      <c r="F1060" s="9">
        <f>IFERROR(LOOKUP(2,1/('Weekly Tracker'!$E$2:$E$766=$A1060)/('Weekly Tracker'!$F$2:$F$766&lt;&gt;""),'Weekly Tracker'!$F$2:$F$766),"")</f>
        <v/>
      </c>
      <c r="G1060" s="16">
        <f>IF(F1060&lt;&gt;"",LOOKUP(2,1/('Weekly Tracker'!$E$2:$E$766=$A1060)/('Weekly Tracker'!$F$2:$F$766&lt;&gt;""),'Weekly Tracker'!$G$2:$G$766),"")</f>
        <v/>
      </c>
      <c r="H1060" s="9">
        <f>IFERROR(LOOKUP(2,1/('Weekly Tracker'!$E$2:$E$766=$A1060)/('Weekly Tracker'!$H$2:$H$766&lt;&gt;""),'Weekly Tracker'!$H$2:$H$766),"")</f>
        <v/>
      </c>
      <c r="I1060" s="16">
        <f>IF(H1060&lt;&gt;"",LOOKUP(2,1/('Weekly Tracker'!$E$2:$E$766=$A1060)/('Weekly Tracker'!$H$2:$H$766&lt;&gt;""),'Weekly Tracker'!$I$2:$I$766),"")</f>
        <v/>
      </c>
      <c r="J1060" s="9">
        <f>IFERROR(LOOKUP(2,1/('Weekly Tracker'!$E$2:$E$766=$A1060)/('Weekly Tracker'!$J$2:$J$766&lt;&gt;""),'Weekly Tracker'!$J$2:$J$766),"")</f>
        <v/>
      </c>
      <c r="K1060" s="9">
        <f>IFERROR(LOOKUP(2,1/('Weekly Tracker'!$E$2:$E$766=$A1060)/('Weekly Tracker'!$N$2:$N$766&lt;&gt;""),'Weekly Tracker'!$N$2:$N$766),"")</f>
        <v/>
      </c>
      <c r="L1060" s="9">
        <f>IFERROR(LOOKUP(2,1/('Weekly Tracker'!$E$2:$E$766=$A1060)/('Weekly Tracker'!$O$2:$O$766&lt;&gt;""),'Weekly Tracker'!$O$2:$O$766),"")</f>
        <v/>
      </c>
    </row>
    <row r="1061">
      <c r="A1061" s="9" t="inlineStr">
        <is>
          <t>Siva Sankar</t>
        </is>
      </c>
      <c r="B1061" s="9" t="inlineStr">
        <is>
          <t>919597605501, 918190025501</t>
        </is>
      </c>
      <c r="C1061" s="9" t="n"/>
      <c r="D1061" s="9" t="n"/>
      <c r="E1061" s="9" t="n"/>
      <c r="F1061" s="9">
        <f>IFERROR(LOOKUP(2,1/('Weekly Tracker'!$E$2:$E$766=$A1061)/('Weekly Tracker'!$F$2:$F$766&lt;&gt;""),'Weekly Tracker'!$F$2:$F$766),"")</f>
        <v/>
      </c>
      <c r="G1061" s="16">
        <f>IF(F1061&lt;&gt;"",LOOKUP(2,1/('Weekly Tracker'!$E$2:$E$766=$A1061)/('Weekly Tracker'!$F$2:$F$766&lt;&gt;""),'Weekly Tracker'!$G$2:$G$766),"")</f>
        <v/>
      </c>
      <c r="H1061" s="9">
        <f>IFERROR(LOOKUP(2,1/('Weekly Tracker'!$E$2:$E$766=$A1061)/('Weekly Tracker'!$H$2:$H$766&lt;&gt;""),'Weekly Tracker'!$H$2:$H$766),"")</f>
        <v/>
      </c>
      <c r="I1061" s="16">
        <f>IF(H1061&lt;&gt;"",LOOKUP(2,1/('Weekly Tracker'!$E$2:$E$766=$A1061)/('Weekly Tracker'!$H$2:$H$766&lt;&gt;""),'Weekly Tracker'!$I$2:$I$766),"")</f>
        <v/>
      </c>
      <c r="J1061" s="9">
        <f>IFERROR(LOOKUP(2,1/('Weekly Tracker'!$E$2:$E$766=$A1061)/('Weekly Tracker'!$J$2:$J$766&lt;&gt;""),'Weekly Tracker'!$J$2:$J$766),"")</f>
        <v/>
      </c>
      <c r="K1061" s="9">
        <f>IFERROR(LOOKUP(2,1/('Weekly Tracker'!$E$2:$E$766=$A1061)/('Weekly Tracker'!$N$2:$N$766&lt;&gt;""),'Weekly Tracker'!$N$2:$N$766),"")</f>
        <v/>
      </c>
      <c r="L1061" s="9">
        <f>IFERROR(LOOKUP(2,1/('Weekly Tracker'!$E$2:$E$766=$A1061)/('Weekly Tracker'!$O$2:$O$766&lt;&gt;""),'Weekly Tracker'!$O$2:$O$766),"")</f>
        <v/>
      </c>
    </row>
    <row r="1062">
      <c r="A1062" s="9" t="inlineStr">
        <is>
          <t>Silvia URJANET</t>
        </is>
      </c>
      <c r="B1062" s="9" t="inlineStr">
        <is>
          <t>919962255545</t>
        </is>
      </c>
      <c r="C1062" s="9" t="n"/>
      <c r="D1062" s="9" t="n"/>
      <c r="E1062" s="9" t="n"/>
      <c r="F1062" s="9">
        <f>IFERROR(LOOKUP(2,1/('Weekly Tracker'!$E$2:$E$766=$A1062)/('Weekly Tracker'!$F$2:$F$766&lt;&gt;""),'Weekly Tracker'!$F$2:$F$766),"")</f>
        <v/>
      </c>
      <c r="G1062" s="16">
        <f>IF(F1062&lt;&gt;"",LOOKUP(2,1/('Weekly Tracker'!$E$2:$E$766=$A1062)/('Weekly Tracker'!$F$2:$F$766&lt;&gt;""),'Weekly Tracker'!$G$2:$G$766),"")</f>
        <v/>
      </c>
      <c r="H1062" s="9">
        <f>IFERROR(LOOKUP(2,1/('Weekly Tracker'!$E$2:$E$766=$A1062)/('Weekly Tracker'!$H$2:$H$766&lt;&gt;""),'Weekly Tracker'!$H$2:$H$766),"")</f>
        <v/>
      </c>
      <c r="I1062" s="16">
        <f>IF(H1062&lt;&gt;"",LOOKUP(2,1/('Weekly Tracker'!$E$2:$E$766=$A1062)/('Weekly Tracker'!$H$2:$H$766&lt;&gt;""),'Weekly Tracker'!$I$2:$I$766),"")</f>
        <v/>
      </c>
      <c r="J1062" s="9">
        <f>IFERROR(LOOKUP(2,1/('Weekly Tracker'!$E$2:$E$766=$A1062)/('Weekly Tracker'!$J$2:$J$766&lt;&gt;""),'Weekly Tracker'!$J$2:$J$766),"")</f>
        <v/>
      </c>
      <c r="K1062" s="9">
        <f>IFERROR(LOOKUP(2,1/('Weekly Tracker'!$E$2:$E$766=$A1062)/('Weekly Tracker'!$N$2:$N$766&lt;&gt;""),'Weekly Tracker'!$N$2:$N$766),"")</f>
        <v/>
      </c>
      <c r="L1062" s="9">
        <f>IFERROR(LOOKUP(2,1/('Weekly Tracker'!$E$2:$E$766=$A1062)/('Weekly Tracker'!$O$2:$O$766&lt;&gt;""),'Weekly Tracker'!$O$2:$O$766),"")</f>
        <v/>
      </c>
    </row>
    <row r="1063">
      <c r="A1063" s="9" t="inlineStr">
        <is>
          <t>Vignesh Aaru</t>
        </is>
      </c>
      <c r="B1063" s="9" t="inlineStr">
        <is>
          <t>919840456654</t>
        </is>
      </c>
      <c r="C1063" s="9" t="n"/>
      <c r="D1063" s="9" t="n"/>
      <c r="E1063" s="9" t="n"/>
      <c r="F1063" s="9">
        <f>IFERROR(LOOKUP(2,1/('Weekly Tracker'!$E$2:$E$766=$A1063)/('Weekly Tracker'!$F$2:$F$766&lt;&gt;""),'Weekly Tracker'!$F$2:$F$766),"")</f>
        <v/>
      </c>
      <c r="G1063" s="16">
        <f>IF(F1063&lt;&gt;"",LOOKUP(2,1/('Weekly Tracker'!$E$2:$E$766=$A1063)/('Weekly Tracker'!$F$2:$F$766&lt;&gt;""),'Weekly Tracker'!$G$2:$G$766),"")</f>
        <v/>
      </c>
      <c r="H1063" s="9">
        <f>IFERROR(LOOKUP(2,1/('Weekly Tracker'!$E$2:$E$766=$A1063)/('Weekly Tracker'!$H$2:$H$766&lt;&gt;""),'Weekly Tracker'!$H$2:$H$766),"")</f>
        <v/>
      </c>
      <c r="I1063" s="16">
        <f>IF(H1063&lt;&gt;"",LOOKUP(2,1/('Weekly Tracker'!$E$2:$E$766=$A1063)/('Weekly Tracker'!$H$2:$H$766&lt;&gt;""),'Weekly Tracker'!$I$2:$I$766),"")</f>
        <v/>
      </c>
      <c r="J1063" s="9">
        <f>IFERROR(LOOKUP(2,1/('Weekly Tracker'!$E$2:$E$766=$A1063)/('Weekly Tracker'!$J$2:$J$766&lt;&gt;""),'Weekly Tracker'!$J$2:$J$766),"")</f>
        <v/>
      </c>
      <c r="K1063" s="9">
        <f>IFERROR(LOOKUP(2,1/('Weekly Tracker'!$E$2:$E$766=$A1063)/('Weekly Tracker'!$N$2:$N$766&lt;&gt;""),'Weekly Tracker'!$N$2:$N$766),"")</f>
        <v/>
      </c>
      <c r="L1063" s="9">
        <f>IFERROR(LOOKUP(2,1/('Weekly Tracker'!$E$2:$E$766=$A1063)/('Weekly Tracker'!$O$2:$O$766&lt;&gt;""),'Weekly Tracker'!$O$2:$O$766),"")</f>
        <v/>
      </c>
    </row>
    <row r="1064">
      <c r="A1064" s="9" t="inlineStr">
        <is>
          <t>Senthur Pandiyan Scl</t>
        </is>
      </c>
      <c r="B1064" s="9" t="inlineStr">
        <is>
          <t>917708966183</t>
        </is>
      </c>
      <c r="C1064" s="9" t="n"/>
      <c r="D1064" s="9" t="n"/>
      <c r="E1064" s="9" t="n"/>
      <c r="F1064" s="9">
        <f>IFERROR(LOOKUP(2,1/('Weekly Tracker'!$E$2:$E$766=$A1064)/('Weekly Tracker'!$F$2:$F$766&lt;&gt;""),'Weekly Tracker'!$F$2:$F$766),"")</f>
        <v/>
      </c>
      <c r="G1064" s="16">
        <f>IF(F1064&lt;&gt;"",LOOKUP(2,1/('Weekly Tracker'!$E$2:$E$766=$A1064)/('Weekly Tracker'!$F$2:$F$766&lt;&gt;""),'Weekly Tracker'!$G$2:$G$766),"")</f>
        <v/>
      </c>
      <c r="H1064" s="9">
        <f>IFERROR(LOOKUP(2,1/('Weekly Tracker'!$E$2:$E$766=$A1064)/('Weekly Tracker'!$H$2:$H$766&lt;&gt;""),'Weekly Tracker'!$H$2:$H$766),"")</f>
        <v/>
      </c>
      <c r="I1064" s="16">
        <f>IF(H1064&lt;&gt;"",LOOKUP(2,1/('Weekly Tracker'!$E$2:$E$766=$A1064)/('Weekly Tracker'!$H$2:$H$766&lt;&gt;""),'Weekly Tracker'!$I$2:$I$766),"")</f>
        <v/>
      </c>
      <c r="J1064" s="9">
        <f>IFERROR(LOOKUP(2,1/('Weekly Tracker'!$E$2:$E$766=$A1064)/('Weekly Tracker'!$J$2:$J$766&lt;&gt;""),'Weekly Tracker'!$J$2:$J$766),"")</f>
        <v/>
      </c>
      <c r="K1064" s="9">
        <f>IFERROR(LOOKUP(2,1/('Weekly Tracker'!$E$2:$E$766=$A1064)/('Weekly Tracker'!$N$2:$N$766&lt;&gt;""),'Weekly Tracker'!$N$2:$N$766),"")</f>
        <v/>
      </c>
      <c r="L1064" s="9">
        <f>IFERROR(LOOKUP(2,1/('Weekly Tracker'!$E$2:$E$766=$A1064)/('Weekly Tracker'!$O$2:$O$766&lt;&gt;""),'Weekly Tracker'!$O$2:$O$766),"")</f>
        <v/>
      </c>
    </row>
    <row r="1065">
      <c r="A1065" s="9" t="inlineStr">
        <is>
          <t>Veni Saravanan</t>
        </is>
      </c>
      <c r="B1065" s="9" t="inlineStr">
        <is>
          <t>919486861987</t>
        </is>
      </c>
      <c r="C1065" s="9" t="n"/>
      <c r="D1065" s="9" t="n"/>
      <c r="E1065" s="9" t="n"/>
      <c r="F1065" s="9">
        <f>IFERROR(LOOKUP(2,1/('Weekly Tracker'!$E$2:$E$766=$A1065)/('Weekly Tracker'!$F$2:$F$766&lt;&gt;""),'Weekly Tracker'!$F$2:$F$766),"")</f>
        <v/>
      </c>
      <c r="G1065" s="16">
        <f>IF(F1065&lt;&gt;"",LOOKUP(2,1/('Weekly Tracker'!$E$2:$E$766=$A1065)/('Weekly Tracker'!$F$2:$F$766&lt;&gt;""),'Weekly Tracker'!$G$2:$G$766),"")</f>
        <v/>
      </c>
      <c r="H1065" s="9">
        <f>IFERROR(LOOKUP(2,1/('Weekly Tracker'!$E$2:$E$766=$A1065)/('Weekly Tracker'!$H$2:$H$766&lt;&gt;""),'Weekly Tracker'!$H$2:$H$766),"")</f>
        <v/>
      </c>
      <c r="I1065" s="16">
        <f>IF(H1065&lt;&gt;"",LOOKUP(2,1/('Weekly Tracker'!$E$2:$E$766=$A1065)/('Weekly Tracker'!$H$2:$H$766&lt;&gt;""),'Weekly Tracker'!$I$2:$I$766),"")</f>
        <v/>
      </c>
      <c r="J1065" s="9">
        <f>IFERROR(LOOKUP(2,1/('Weekly Tracker'!$E$2:$E$766=$A1065)/('Weekly Tracker'!$J$2:$J$766&lt;&gt;""),'Weekly Tracker'!$J$2:$J$766),"")</f>
        <v/>
      </c>
      <c r="K1065" s="9">
        <f>IFERROR(LOOKUP(2,1/('Weekly Tracker'!$E$2:$E$766=$A1065)/('Weekly Tracker'!$N$2:$N$766&lt;&gt;""),'Weekly Tracker'!$N$2:$N$766),"")</f>
        <v/>
      </c>
      <c r="L1065" s="9">
        <f>IFERROR(LOOKUP(2,1/('Weekly Tracker'!$E$2:$E$766=$A1065)/('Weekly Tracker'!$O$2:$O$766&lt;&gt;""),'Weekly Tracker'!$O$2:$O$766),"")</f>
        <v/>
      </c>
    </row>
    <row r="1066">
      <c r="A1066" s="9" t="inlineStr">
        <is>
          <t>Mathivanan Urja</t>
        </is>
      </c>
      <c r="B1066" s="9" t="inlineStr">
        <is>
          <t>8682057660</t>
        </is>
      </c>
      <c r="C1066" s="9" t="n"/>
      <c r="D1066" s="9" t="n"/>
      <c r="E1066" s="9" t="n"/>
      <c r="F1066" s="9">
        <f>IFERROR(LOOKUP(2,1/('Weekly Tracker'!$E$2:$E$766=$A1066)/('Weekly Tracker'!$F$2:$F$766&lt;&gt;""),'Weekly Tracker'!$F$2:$F$766),"")</f>
        <v/>
      </c>
      <c r="G1066" s="16">
        <f>IF(F1066&lt;&gt;"",LOOKUP(2,1/('Weekly Tracker'!$E$2:$E$766=$A1066)/('Weekly Tracker'!$F$2:$F$766&lt;&gt;""),'Weekly Tracker'!$G$2:$G$766),"")</f>
        <v/>
      </c>
      <c r="H1066" s="9">
        <f>IFERROR(LOOKUP(2,1/('Weekly Tracker'!$E$2:$E$766=$A1066)/('Weekly Tracker'!$H$2:$H$766&lt;&gt;""),'Weekly Tracker'!$H$2:$H$766),"")</f>
        <v/>
      </c>
      <c r="I1066" s="16">
        <f>IF(H1066&lt;&gt;"",LOOKUP(2,1/('Weekly Tracker'!$E$2:$E$766=$A1066)/('Weekly Tracker'!$H$2:$H$766&lt;&gt;""),'Weekly Tracker'!$I$2:$I$766),"")</f>
        <v/>
      </c>
      <c r="J1066" s="9">
        <f>IFERROR(LOOKUP(2,1/('Weekly Tracker'!$E$2:$E$766=$A1066)/('Weekly Tracker'!$J$2:$J$766&lt;&gt;""),'Weekly Tracker'!$J$2:$J$766),"")</f>
        <v/>
      </c>
      <c r="K1066" s="9">
        <f>IFERROR(LOOKUP(2,1/('Weekly Tracker'!$E$2:$E$766=$A1066)/('Weekly Tracker'!$N$2:$N$766&lt;&gt;""),'Weekly Tracker'!$N$2:$N$766),"")</f>
        <v/>
      </c>
      <c r="L1066" s="9">
        <f>IFERROR(LOOKUP(2,1/('Weekly Tracker'!$E$2:$E$766=$A1066)/('Weekly Tracker'!$O$2:$O$766&lt;&gt;""),'Weekly Tracker'!$O$2:$O$766),"")</f>
        <v/>
      </c>
    </row>
    <row r="1067">
      <c r="A1067" s="9" t="inlineStr">
        <is>
          <t>Anu Sopna Grp Ucen</t>
        </is>
      </c>
      <c r="B1067" s="9" t="inlineStr">
        <is>
          <t>919626580347</t>
        </is>
      </c>
      <c r="C1067" s="9" t="n"/>
      <c r="D1067" s="9" t="n"/>
      <c r="E1067" s="9" t="n"/>
      <c r="F1067" s="9">
        <f>IFERROR(LOOKUP(2,1/('Weekly Tracker'!$E$2:$E$766=$A1067)/('Weekly Tracker'!$F$2:$F$766&lt;&gt;""),'Weekly Tracker'!$F$2:$F$766),"")</f>
        <v/>
      </c>
      <c r="G1067" s="16">
        <f>IF(F1067&lt;&gt;"",LOOKUP(2,1/('Weekly Tracker'!$E$2:$E$766=$A1067)/('Weekly Tracker'!$F$2:$F$766&lt;&gt;""),'Weekly Tracker'!$G$2:$G$766),"")</f>
        <v/>
      </c>
      <c r="H1067" s="9">
        <f>IFERROR(LOOKUP(2,1/('Weekly Tracker'!$E$2:$E$766=$A1067)/('Weekly Tracker'!$H$2:$H$766&lt;&gt;""),'Weekly Tracker'!$H$2:$H$766),"")</f>
        <v/>
      </c>
      <c r="I1067" s="16">
        <f>IF(H1067&lt;&gt;"",LOOKUP(2,1/('Weekly Tracker'!$E$2:$E$766=$A1067)/('Weekly Tracker'!$H$2:$H$766&lt;&gt;""),'Weekly Tracker'!$I$2:$I$766),"")</f>
        <v/>
      </c>
      <c r="J1067" s="9">
        <f>IFERROR(LOOKUP(2,1/('Weekly Tracker'!$E$2:$E$766=$A1067)/('Weekly Tracker'!$J$2:$J$766&lt;&gt;""),'Weekly Tracker'!$J$2:$J$766),"")</f>
        <v/>
      </c>
      <c r="K1067" s="9">
        <f>IFERROR(LOOKUP(2,1/('Weekly Tracker'!$E$2:$E$766=$A1067)/('Weekly Tracker'!$N$2:$N$766&lt;&gt;""),'Weekly Tracker'!$N$2:$N$766),"")</f>
        <v/>
      </c>
      <c r="L1067" s="9">
        <f>IFERROR(LOOKUP(2,1/('Weekly Tracker'!$E$2:$E$766=$A1067)/('Weekly Tracker'!$O$2:$O$766&lt;&gt;""),'Weekly Tracker'!$O$2:$O$766),"")</f>
        <v/>
      </c>
    </row>
    <row r="1068">
      <c r="A1068" s="9" t="inlineStr">
        <is>
          <t>Subha Mam</t>
        </is>
      </c>
      <c r="B1068" s="9" t="inlineStr">
        <is>
          <t>919884823384</t>
        </is>
      </c>
      <c r="C1068" s="9" t="n"/>
      <c r="D1068" s="9" t="n"/>
      <c r="E1068" s="9" t="n"/>
      <c r="F1068" s="9">
        <f>IFERROR(LOOKUP(2,1/('Weekly Tracker'!$E$2:$E$766=$A1068)/('Weekly Tracker'!$F$2:$F$766&lt;&gt;""),'Weekly Tracker'!$F$2:$F$766),"")</f>
        <v/>
      </c>
      <c r="G1068" s="16">
        <f>IF(F1068&lt;&gt;"",LOOKUP(2,1/('Weekly Tracker'!$E$2:$E$766=$A1068)/('Weekly Tracker'!$F$2:$F$766&lt;&gt;""),'Weekly Tracker'!$G$2:$G$766),"")</f>
        <v/>
      </c>
      <c r="H1068" s="9">
        <f>IFERROR(LOOKUP(2,1/('Weekly Tracker'!$E$2:$E$766=$A1068)/('Weekly Tracker'!$H$2:$H$766&lt;&gt;""),'Weekly Tracker'!$H$2:$H$766),"")</f>
        <v/>
      </c>
      <c r="I1068" s="16">
        <f>IF(H1068&lt;&gt;"",LOOKUP(2,1/('Weekly Tracker'!$E$2:$E$766=$A1068)/('Weekly Tracker'!$H$2:$H$766&lt;&gt;""),'Weekly Tracker'!$I$2:$I$766),"")</f>
        <v/>
      </c>
      <c r="J1068" s="9">
        <f>IFERROR(LOOKUP(2,1/('Weekly Tracker'!$E$2:$E$766=$A1068)/('Weekly Tracker'!$J$2:$J$766&lt;&gt;""),'Weekly Tracker'!$J$2:$J$766),"")</f>
        <v/>
      </c>
      <c r="K1068" s="9">
        <f>IFERROR(LOOKUP(2,1/('Weekly Tracker'!$E$2:$E$766=$A1068)/('Weekly Tracker'!$N$2:$N$766&lt;&gt;""),'Weekly Tracker'!$N$2:$N$766),"")</f>
        <v/>
      </c>
      <c r="L1068" s="9">
        <f>IFERROR(LOOKUP(2,1/('Weekly Tracker'!$E$2:$E$766=$A1068)/('Weekly Tracker'!$O$2:$O$766&lt;&gt;""),'Weekly Tracker'!$O$2:$O$766),"")</f>
        <v/>
      </c>
    </row>
    <row r="1069">
      <c r="A1069" s="9" t="inlineStr">
        <is>
          <t>Suresh Raj Grp</t>
        </is>
      </c>
      <c r="B1069" s="9" t="inlineStr">
        <is>
          <t>919677938878</t>
        </is>
      </c>
      <c r="C1069" s="9" t="n"/>
      <c r="D1069" s="9" t="n"/>
      <c r="E1069" s="9" t="n"/>
      <c r="F1069" s="9">
        <f>IFERROR(LOOKUP(2,1/('Weekly Tracker'!$E$2:$E$766=$A1069)/('Weekly Tracker'!$F$2:$F$766&lt;&gt;""),'Weekly Tracker'!$F$2:$F$766),"")</f>
        <v/>
      </c>
      <c r="G1069" s="16">
        <f>IF(F1069&lt;&gt;"",LOOKUP(2,1/('Weekly Tracker'!$E$2:$E$766=$A1069)/('Weekly Tracker'!$F$2:$F$766&lt;&gt;""),'Weekly Tracker'!$G$2:$G$766),"")</f>
        <v/>
      </c>
      <c r="H1069" s="9">
        <f>IFERROR(LOOKUP(2,1/('Weekly Tracker'!$E$2:$E$766=$A1069)/('Weekly Tracker'!$H$2:$H$766&lt;&gt;""),'Weekly Tracker'!$H$2:$H$766),"")</f>
        <v/>
      </c>
      <c r="I1069" s="16">
        <f>IF(H1069&lt;&gt;"",LOOKUP(2,1/('Weekly Tracker'!$E$2:$E$766=$A1069)/('Weekly Tracker'!$H$2:$H$766&lt;&gt;""),'Weekly Tracker'!$I$2:$I$766),"")</f>
        <v/>
      </c>
      <c r="J1069" s="9">
        <f>IFERROR(LOOKUP(2,1/('Weekly Tracker'!$E$2:$E$766=$A1069)/('Weekly Tracker'!$J$2:$J$766&lt;&gt;""),'Weekly Tracker'!$J$2:$J$766),"")</f>
        <v/>
      </c>
      <c r="K1069" s="9">
        <f>IFERROR(LOOKUP(2,1/('Weekly Tracker'!$E$2:$E$766=$A1069)/('Weekly Tracker'!$N$2:$N$766&lt;&gt;""),'Weekly Tracker'!$N$2:$N$766),"")</f>
        <v/>
      </c>
      <c r="L1069" s="9">
        <f>IFERROR(LOOKUP(2,1/('Weekly Tracker'!$E$2:$E$766=$A1069)/('Weekly Tracker'!$O$2:$O$766&lt;&gt;""),'Weekly Tracker'!$O$2:$O$766),"")</f>
        <v/>
      </c>
    </row>
    <row r="1070">
      <c r="A1070" s="9" t="inlineStr">
        <is>
          <t>Arun Pandi Urja</t>
        </is>
      </c>
      <c r="B1070" s="9" t="inlineStr">
        <is>
          <t>918754064321</t>
        </is>
      </c>
      <c r="C1070" s="9" t="n"/>
      <c r="D1070" s="9" t="n"/>
      <c r="E1070" s="9" t="n"/>
      <c r="F1070" s="9">
        <f>IFERROR(LOOKUP(2,1/('Weekly Tracker'!$E$2:$E$766=$A1070)/('Weekly Tracker'!$F$2:$F$766&lt;&gt;""),'Weekly Tracker'!$F$2:$F$766),"")</f>
        <v/>
      </c>
      <c r="G1070" s="16">
        <f>IF(F1070&lt;&gt;"",LOOKUP(2,1/('Weekly Tracker'!$E$2:$E$766=$A1070)/('Weekly Tracker'!$F$2:$F$766&lt;&gt;""),'Weekly Tracker'!$G$2:$G$766),"")</f>
        <v/>
      </c>
      <c r="H1070" s="9">
        <f>IFERROR(LOOKUP(2,1/('Weekly Tracker'!$E$2:$E$766=$A1070)/('Weekly Tracker'!$H$2:$H$766&lt;&gt;""),'Weekly Tracker'!$H$2:$H$766),"")</f>
        <v/>
      </c>
      <c r="I1070" s="16">
        <f>IF(H1070&lt;&gt;"",LOOKUP(2,1/('Weekly Tracker'!$E$2:$E$766=$A1070)/('Weekly Tracker'!$H$2:$H$766&lt;&gt;""),'Weekly Tracker'!$I$2:$I$766),"")</f>
        <v/>
      </c>
      <c r="J1070" s="9">
        <f>IFERROR(LOOKUP(2,1/('Weekly Tracker'!$E$2:$E$766=$A1070)/('Weekly Tracker'!$J$2:$J$766&lt;&gt;""),'Weekly Tracker'!$J$2:$J$766),"")</f>
        <v/>
      </c>
      <c r="K1070" s="9">
        <f>IFERROR(LOOKUP(2,1/('Weekly Tracker'!$E$2:$E$766=$A1070)/('Weekly Tracker'!$N$2:$N$766&lt;&gt;""),'Weekly Tracker'!$N$2:$N$766),"")</f>
        <v/>
      </c>
      <c r="L1070" s="9">
        <f>IFERROR(LOOKUP(2,1/('Weekly Tracker'!$E$2:$E$766=$A1070)/('Weekly Tracker'!$O$2:$O$766&lt;&gt;""),'Weekly Tracker'!$O$2:$O$766),"")</f>
        <v/>
      </c>
    </row>
    <row r="1071">
      <c r="A1071" s="9" t="inlineStr">
        <is>
          <t>Muthu Athan. wf</t>
        </is>
      </c>
      <c r="B1071" s="9" t="inlineStr">
        <is>
          <t>919789908252</t>
        </is>
      </c>
      <c r="C1071" s="9" t="n"/>
      <c r="D1071" s="9" t="n"/>
      <c r="E1071" s="9" t="n"/>
      <c r="F1071" s="9">
        <f>IFERROR(LOOKUP(2,1/('Weekly Tracker'!$E$2:$E$766=$A1071)/('Weekly Tracker'!$F$2:$F$766&lt;&gt;""),'Weekly Tracker'!$F$2:$F$766),"")</f>
        <v/>
      </c>
      <c r="G1071" s="16">
        <f>IF(F1071&lt;&gt;"",LOOKUP(2,1/('Weekly Tracker'!$E$2:$E$766=$A1071)/('Weekly Tracker'!$F$2:$F$766&lt;&gt;""),'Weekly Tracker'!$G$2:$G$766),"")</f>
        <v/>
      </c>
      <c r="H1071" s="9">
        <f>IFERROR(LOOKUP(2,1/('Weekly Tracker'!$E$2:$E$766=$A1071)/('Weekly Tracker'!$H$2:$H$766&lt;&gt;""),'Weekly Tracker'!$H$2:$H$766),"")</f>
        <v/>
      </c>
      <c r="I1071" s="16">
        <f>IF(H1071&lt;&gt;"",LOOKUP(2,1/('Weekly Tracker'!$E$2:$E$766=$A1071)/('Weekly Tracker'!$H$2:$H$766&lt;&gt;""),'Weekly Tracker'!$I$2:$I$766),"")</f>
        <v/>
      </c>
      <c r="J1071" s="9">
        <f>IFERROR(LOOKUP(2,1/('Weekly Tracker'!$E$2:$E$766=$A1071)/('Weekly Tracker'!$J$2:$J$766&lt;&gt;""),'Weekly Tracker'!$J$2:$J$766),"")</f>
        <v/>
      </c>
      <c r="K1071" s="9">
        <f>IFERROR(LOOKUP(2,1/('Weekly Tracker'!$E$2:$E$766=$A1071)/('Weekly Tracker'!$N$2:$N$766&lt;&gt;""),'Weekly Tracker'!$N$2:$N$766),"")</f>
        <v/>
      </c>
      <c r="L1071" s="9">
        <f>IFERROR(LOOKUP(2,1/('Weekly Tracker'!$E$2:$E$766=$A1071)/('Weekly Tracker'!$O$2:$O$766&lt;&gt;""),'Weekly Tracker'!$O$2:$O$766),"")</f>
        <v/>
      </c>
    </row>
    <row r="1072">
      <c r="A1072" s="9" t="inlineStr">
        <is>
          <t>Mano Prasath FB</t>
        </is>
      </c>
      <c r="B1072" s="9" t="inlineStr">
        <is>
          <t>966500483342, 919629424989</t>
        </is>
      </c>
      <c r="C1072" s="9" t="n"/>
      <c r="D1072" s="9" t="n"/>
      <c r="E1072" s="9" t="n"/>
      <c r="F1072" s="9">
        <f>IFERROR(LOOKUP(2,1/('Weekly Tracker'!$E$2:$E$766=$A1072)/('Weekly Tracker'!$F$2:$F$766&lt;&gt;""),'Weekly Tracker'!$F$2:$F$766),"")</f>
        <v/>
      </c>
      <c r="G1072" s="16">
        <f>IF(F1072&lt;&gt;"",LOOKUP(2,1/('Weekly Tracker'!$E$2:$E$766=$A1072)/('Weekly Tracker'!$F$2:$F$766&lt;&gt;""),'Weekly Tracker'!$G$2:$G$766),"")</f>
        <v/>
      </c>
      <c r="H1072" s="9">
        <f>IFERROR(LOOKUP(2,1/('Weekly Tracker'!$E$2:$E$766=$A1072)/('Weekly Tracker'!$H$2:$H$766&lt;&gt;""),'Weekly Tracker'!$H$2:$H$766),"")</f>
        <v/>
      </c>
      <c r="I1072" s="16">
        <f>IF(H1072&lt;&gt;"",LOOKUP(2,1/('Weekly Tracker'!$E$2:$E$766=$A1072)/('Weekly Tracker'!$H$2:$H$766&lt;&gt;""),'Weekly Tracker'!$I$2:$I$766),"")</f>
        <v/>
      </c>
      <c r="J1072" s="9">
        <f>IFERROR(LOOKUP(2,1/('Weekly Tracker'!$E$2:$E$766=$A1072)/('Weekly Tracker'!$J$2:$J$766&lt;&gt;""),'Weekly Tracker'!$J$2:$J$766),"")</f>
        <v/>
      </c>
      <c r="K1072" s="9">
        <f>IFERROR(LOOKUP(2,1/('Weekly Tracker'!$E$2:$E$766=$A1072)/('Weekly Tracker'!$N$2:$N$766&lt;&gt;""),'Weekly Tracker'!$N$2:$N$766),"")</f>
        <v/>
      </c>
      <c r="L1072" s="9">
        <f>IFERROR(LOOKUP(2,1/('Weekly Tracker'!$E$2:$E$766=$A1072)/('Weekly Tracker'!$O$2:$O$766&lt;&gt;""),'Weekly Tracker'!$O$2:$O$766),"")</f>
        <v/>
      </c>
    </row>
    <row r="1073">
      <c r="A1073" s="9" t="inlineStr">
        <is>
          <t>Arun Kumar Infy</t>
        </is>
      </c>
      <c r="B1073" s="9" t="inlineStr">
        <is>
          <t>918508856402</t>
        </is>
      </c>
      <c r="C1073" s="9" t="n"/>
      <c r="D1073" s="9" t="n"/>
      <c r="E1073" s="9" t="n"/>
      <c r="F1073" s="9">
        <f>IFERROR(LOOKUP(2,1/('Weekly Tracker'!$E$2:$E$766=$A1073)/('Weekly Tracker'!$F$2:$F$766&lt;&gt;""),'Weekly Tracker'!$F$2:$F$766),"")</f>
        <v/>
      </c>
      <c r="G1073" s="16">
        <f>IF(F1073&lt;&gt;"",LOOKUP(2,1/('Weekly Tracker'!$E$2:$E$766=$A1073)/('Weekly Tracker'!$F$2:$F$766&lt;&gt;""),'Weekly Tracker'!$G$2:$G$766),"")</f>
        <v/>
      </c>
      <c r="H1073" s="9">
        <f>IFERROR(LOOKUP(2,1/('Weekly Tracker'!$E$2:$E$766=$A1073)/('Weekly Tracker'!$H$2:$H$766&lt;&gt;""),'Weekly Tracker'!$H$2:$H$766),"")</f>
        <v/>
      </c>
      <c r="I1073" s="16">
        <f>IF(H1073&lt;&gt;"",LOOKUP(2,1/('Weekly Tracker'!$E$2:$E$766=$A1073)/('Weekly Tracker'!$H$2:$H$766&lt;&gt;""),'Weekly Tracker'!$I$2:$I$766),"")</f>
        <v/>
      </c>
      <c r="J1073" s="9">
        <f>IFERROR(LOOKUP(2,1/('Weekly Tracker'!$E$2:$E$766=$A1073)/('Weekly Tracker'!$J$2:$J$766&lt;&gt;""),'Weekly Tracker'!$J$2:$J$766),"")</f>
        <v/>
      </c>
      <c r="K1073" s="9">
        <f>IFERROR(LOOKUP(2,1/('Weekly Tracker'!$E$2:$E$766=$A1073)/('Weekly Tracker'!$N$2:$N$766&lt;&gt;""),'Weekly Tracker'!$N$2:$N$766),"")</f>
        <v/>
      </c>
      <c r="L1073" s="9">
        <f>IFERROR(LOOKUP(2,1/('Weekly Tracker'!$E$2:$E$766=$A1073)/('Weekly Tracker'!$O$2:$O$766&lt;&gt;""),'Weekly Tracker'!$O$2:$O$766),"")</f>
        <v/>
      </c>
    </row>
    <row r="1074">
      <c r="A1074" s="9" t="inlineStr">
        <is>
          <t>Jagathi Karthick</t>
        </is>
      </c>
      <c r="B1074" s="9" t="inlineStr">
        <is>
          <t>917708334722, 94896 53509</t>
        </is>
      </c>
      <c r="C1074" s="9" t="n"/>
      <c r="D1074" s="9" t="n"/>
      <c r="E1074" s="9" t="n"/>
      <c r="F1074" s="9">
        <f>IFERROR(LOOKUP(2,1/('Weekly Tracker'!$E$2:$E$766=$A1074)/('Weekly Tracker'!$F$2:$F$766&lt;&gt;""),'Weekly Tracker'!$F$2:$F$766),"")</f>
        <v/>
      </c>
      <c r="G1074" s="16">
        <f>IF(F1074&lt;&gt;"",LOOKUP(2,1/('Weekly Tracker'!$E$2:$E$766=$A1074)/('Weekly Tracker'!$F$2:$F$766&lt;&gt;""),'Weekly Tracker'!$G$2:$G$766),"")</f>
        <v/>
      </c>
      <c r="H1074" s="9">
        <f>IFERROR(LOOKUP(2,1/('Weekly Tracker'!$E$2:$E$766=$A1074)/('Weekly Tracker'!$H$2:$H$766&lt;&gt;""),'Weekly Tracker'!$H$2:$H$766),"")</f>
        <v/>
      </c>
      <c r="I1074" s="16">
        <f>IF(H1074&lt;&gt;"",LOOKUP(2,1/('Weekly Tracker'!$E$2:$E$766=$A1074)/('Weekly Tracker'!$H$2:$H$766&lt;&gt;""),'Weekly Tracker'!$I$2:$I$766),"")</f>
        <v/>
      </c>
      <c r="J1074" s="9">
        <f>IFERROR(LOOKUP(2,1/('Weekly Tracker'!$E$2:$E$766=$A1074)/('Weekly Tracker'!$J$2:$J$766&lt;&gt;""),'Weekly Tracker'!$J$2:$J$766),"")</f>
        <v/>
      </c>
      <c r="K1074" s="9">
        <f>IFERROR(LOOKUP(2,1/('Weekly Tracker'!$E$2:$E$766=$A1074)/('Weekly Tracker'!$N$2:$N$766&lt;&gt;""),'Weekly Tracker'!$N$2:$N$766),"")</f>
        <v/>
      </c>
      <c r="L1074" s="9">
        <f>IFERROR(LOOKUP(2,1/('Weekly Tracker'!$E$2:$E$766=$A1074)/('Weekly Tracker'!$O$2:$O$766&lt;&gt;""),'Weekly Tracker'!$O$2:$O$766),"")</f>
        <v/>
      </c>
    </row>
    <row r="1075">
      <c r="A1075" s="9" t="inlineStr">
        <is>
          <t>Sarakutty Junior</t>
        </is>
      </c>
      <c r="B1075" s="9" t="inlineStr">
        <is>
          <t>918754185012</t>
        </is>
      </c>
      <c r="C1075" s="9" t="n"/>
      <c r="D1075" s="9" t="n"/>
      <c r="E1075" s="9" t="n"/>
      <c r="F1075" s="9">
        <f>IFERROR(LOOKUP(2,1/('Weekly Tracker'!$E$2:$E$766=$A1075)/('Weekly Tracker'!$F$2:$F$766&lt;&gt;""),'Weekly Tracker'!$F$2:$F$766),"")</f>
        <v/>
      </c>
      <c r="G1075" s="16">
        <f>IF(F1075&lt;&gt;"",LOOKUP(2,1/('Weekly Tracker'!$E$2:$E$766=$A1075)/('Weekly Tracker'!$F$2:$F$766&lt;&gt;""),'Weekly Tracker'!$G$2:$G$766),"")</f>
        <v/>
      </c>
      <c r="H1075" s="9">
        <f>IFERROR(LOOKUP(2,1/('Weekly Tracker'!$E$2:$E$766=$A1075)/('Weekly Tracker'!$H$2:$H$766&lt;&gt;""),'Weekly Tracker'!$H$2:$H$766),"")</f>
        <v/>
      </c>
      <c r="I1075" s="16">
        <f>IF(H1075&lt;&gt;"",LOOKUP(2,1/('Weekly Tracker'!$E$2:$E$766=$A1075)/('Weekly Tracker'!$H$2:$H$766&lt;&gt;""),'Weekly Tracker'!$I$2:$I$766),"")</f>
        <v/>
      </c>
      <c r="J1075" s="9">
        <f>IFERROR(LOOKUP(2,1/('Weekly Tracker'!$E$2:$E$766=$A1075)/('Weekly Tracker'!$J$2:$J$766&lt;&gt;""),'Weekly Tracker'!$J$2:$J$766),"")</f>
        <v/>
      </c>
      <c r="K1075" s="9">
        <f>IFERROR(LOOKUP(2,1/('Weekly Tracker'!$E$2:$E$766=$A1075)/('Weekly Tracker'!$N$2:$N$766&lt;&gt;""),'Weekly Tracker'!$N$2:$N$766),"")</f>
        <v/>
      </c>
      <c r="L1075" s="9">
        <f>IFERROR(LOOKUP(2,1/('Weekly Tracker'!$E$2:$E$766=$A1075)/('Weekly Tracker'!$O$2:$O$766&lt;&gt;""),'Weekly Tracker'!$O$2:$O$766),"")</f>
        <v/>
      </c>
    </row>
    <row r="1076">
      <c r="A1076" s="9" t="inlineStr">
        <is>
          <t>Vikash FB Urja</t>
        </is>
      </c>
      <c r="B1076" s="9" t="inlineStr">
        <is>
          <t>919629609824</t>
        </is>
      </c>
      <c r="C1076" s="9" t="n"/>
      <c r="D1076" s="9" t="n"/>
      <c r="E1076" s="9" t="n"/>
      <c r="F1076" s="9">
        <f>IFERROR(LOOKUP(2,1/('Weekly Tracker'!$E$2:$E$766=$A1076)/('Weekly Tracker'!$F$2:$F$766&lt;&gt;""),'Weekly Tracker'!$F$2:$F$766),"")</f>
        <v/>
      </c>
      <c r="G1076" s="16">
        <f>IF(F1076&lt;&gt;"",LOOKUP(2,1/('Weekly Tracker'!$E$2:$E$766=$A1076)/('Weekly Tracker'!$F$2:$F$766&lt;&gt;""),'Weekly Tracker'!$G$2:$G$766),"")</f>
        <v/>
      </c>
      <c r="H1076" s="9">
        <f>IFERROR(LOOKUP(2,1/('Weekly Tracker'!$E$2:$E$766=$A1076)/('Weekly Tracker'!$H$2:$H$766&lt;&gt;""),'Weekly Tracker'!$H$2:$H$766),"")</f>
        <v/>
      </c>
      <c r="I1076" s="16">
        <f>IF(H1076&lt;&gt;"",LOOKUP(2,1/('Weekly Tracker'!$E$2:$E$766=$A1076)/('Weekly Tracker'!$H$2:$H$766&lt;&gt;""),'Weekly Tracker'!$I$2:$I$766),"")</f>
        <v/>
      </c>
      <c r="J1076" s="9">
        <f>IFERROR(LOOKUP(2,1/('Weekly Tracker'!$E$2:$E$766=$A1076)/('Weekly Tracker'!$J$2:$J$766&lt;&gt;""),'Weekly Tracker'!$J$2:$J$766),"")</f>
        <v/>
      </c>
      <c r="K1076" s="9">
        <f>IFERROR(LOOKUP(2,1/('Weekly Tracker'!$E$2:$E$766=$A1076)/('Weekly Tracker'!$N$2:$N$766&lt;&gt;""),'Weekly Tracker'!$N$2:$N$766),"")</f>
        <v/>
      </c>
      <c r="L1076" s="9">
        <f>IFERROR(LOOKUP(2,1/('Weekly Tracker'!$E$2:$E$766=$A1076)/('Weekly Tracker'!$O$2:$O$766&lt;&gt;""),'Weekly Tracker'!$O$2:$O$766),"")</f>
        <v/>
      </c>
    </row>
    <row r="1077">
      <c r="A1077" s="9" t="inlineStr">
        <is>
          <t>Saravanan Paulvannan</t>
        </is>
      </c>
      <c r="B1077" s="9" t="inlineStr">
        <is>
          <t>919500440515</t>
        </is>
      </c>
      <c r="C1077" s="9" t="n"/>
      <c r="D1077" s="9" t="n"/>
      <c r="E1077" s="9" t="inlineStr">
        <is>
          <t>Tamil Nadu, India</t>
        </is>
      </c>
      <c r="F1077" s="9">
        <f>IFERROR(LOOKUP(2,1/('Weekly Tracker'!$E$2:$E$766=$A1077)/('Weekly Tracker'!$F$2:$F$766&lt;&gt;""),'Weekly Tracker'!$F$2:$F$766),"")</f>
        <v/>
      </c>
      <c r="G1077" s="16">
        <f>IF(F1077&lt;&gt;"",LOOKUP(2,1/('Weekly Tracker'!$E$2:$E$766=$A1077)/('Weekly Tracker'!$F$2:$F$766&lt;&gt;""),'Weekly Tracker'!$G$2:$G$766),"")</f>
        <v/>
      </c>
      <c r="H1077" s="9">
        <f>IFERROR(LOOKUP(2,1/('Weekly Tracker'!$E$2:$E$766=$A1077)/('Weekly Tracker'!$H$2:$H$766&lt;&gt;""),'Weekly Tracker'!$H$2:$H$766),"")</f>
        <v/>
      </c>
      <c r="I1077" s="16">
        <f>IF(H1077&lt;&gt;"",LOOKUP(2,1/('Weekly Tracker'!$E$2:$E$766=$A1077)/('Weekly Tracker'!$H$2:$H$766&lt;&gt;""),'Weekly Tracker'!$I$2:$I$766),"")</f>
        <v/>
      </c>
      <c r="J1077" s="9">
        <f>IFERROR(LOOKUP(2,1/('Weekly Tracker'!$E$2:$E$766=$A1077)/('Weekly Tracker'!$J$2:$J$766&lt;&gt;""),'Weekly Tracker'!$J$2:$J$766),"")</f>
        <v/>
      </c>
      <c r="K1077" s="9">
        <f>IFERROR(LOOKUP(2,1/('Weekly Tracker'!$E$2:$E$766=$A1077)/('Weekly Tracker'!$N$2:$N$766&lt;&gt;""),'Weekly Tracker'!$N$2:$N$766),"")</f>
        <v/>
      </c>
      <c r="L1077" s="9">
        <f>IFERROR(LOOKUP(2,1/('Weekly Tracker'!$E$2:$E$766=$A1077)/('Weekly Tracker'!$O$2:$O$766&lt;&gt;""),'Weekly Tracker'!$O$2:$O$766),"")</f>
        <v/>
      </c>
    </row>
    <row r="1078">
      <c r="A1078" s="9" t="inlineStr">
        <is>
          <t>Rajesh Ford</t>
        </is>
      </c>
      <c r="B1078" s="9" t="inlineStr">
        <is>
          <t>9363045882</t>
        </is>
      </c>
      <c r="C1078" s="9" t="n"/>
      <c r="D1078" s="9" t="n"/>
      <c r="E1078" s="9" t="n"/>
      <c r="F1078" s="9">
        <f>IFERROR(LOOKUP(2,1/('Weekly Tracker'!$E$2:$E$766=$A1078)/('Weekly Tracker'!$F$2:$F$766&lt;&gt;""),'Weekly Tracker'!$F$2:$F$766),"")</f>
        <v/>
      </c>
      <c r="G1078" s="16">
        <f>IF(F1078&lt;&gt;"",LOOKUP(2,1/('Weekly Tracker'!$E$2:$E$766=$A1078)/('Weekly Tracker'!$F$2:$F$766&lt;&gt;""),'Weekly Tracker'!$G$2:$G$766),"")</f>
        <v/>
      </c>
      <c r="H1078" s="9">
        <f>IFERROR(LOOKUP(2,1/('Weekly Tracker'!$E$2:$E$766=$A1078)/('Weekly Tracker'!$H$2:$H$766&lt;&gt;""),'Weekly Tracker'!$H$2:$H$766),"")</f>
        <v/>
      </c>
      <c r="I1078" s="16">
        <f>IF(H1078&lt;&gt;"",LOOKUP(2,1/('Weekly Tracker'!$E$2:$E$766=$A1078)/('Weekly Tracker'!$H$2:$H$766&lt;&gt;""),'Weekly Tracker'!$I$2:$I$766),"")</f>
        <v/>
      </c>
      <c r="J1078" s="9">
        <f>IFERROR(LOOKUP(2,1/('Weekly Tracker'!$E$2:$E$766=$A1078)/('Weekly Tracker'!$J$2:$J$766&lt;&gt;""),'Weekly Tracker'!$J$2:$J$766),"")</f>
        <v/>
      </c>
      <c r="K1078" s="9">
        <f>IFERROR(LOOKUP(2,1/('Weekly Tracker'!$E$2:$E$766=$A1078)/('Weekly Tracker'!$N$2:$N$766&lt;&gt;""),'Weekly Tracker'!$N$2:$N$766),"")</f>
        <v/>
      </c>
      <c r="L1078" s="9">
        <f>IFERROR(LOOKUP(2,1/('Weekly Tracker'!$E$2:$E$766=$A1078)/('Weekly Tracker'!$O$2:$O$766&lt;&gt;""),'Weekly Tracker'!$O$2:$O$766),"")</f>
        <v/>
      </c>
    </row>
    <row r="1079">
      <c r="A1079" s="9" t="inlineStr">
        <is>
          <t>Chandu Bhai</t>
        </is>
      </c>
      <c r="B1079" s="9" t="inlineStr">
        <is>
          <t>+91 99493 88344</t>
        </is>
      </c>
      <c r="C1079" s="9" t="n"/>
      <c r="D1079" s="9" t="n"/>
      <c r="E1079" s="9" t="n"/>
      <c r="F1079" s="9">
        <f>IFERROR(LOOKUP(2,1/('Weekly Tracker'!$E$2:$E$766=$A1079)/('Weekly Tracker'!$F$2:$F$766&lt;&gt;""),'Weekly Tracker'!$F$2:$F$766),"")</f>
        <v/>
      </c>
      <c r="G1079" s="16">
        <f>IF(F1079&lt;&gt;"",LOOKUP(2,1/('Weekly Tracker'!$E$2:$E$766=$A1079)/('Weekly Tracker'!$F$2:$F$766&lt;&gt;""),'Weekly Tracker'!$G$2:$G$766),"")</f>
        <v/>
      </c>
      <c r="H1079" s="9">
        <f>IFERROR(LOOKUP(2,1/('Weekly Tracker'!$E$2:$E$766=$A1079)/('Weekly Tracker'!$H$2:$H$766&lt;&gt;""),'Weekly Tracker'!$H$2:$H$766),"")</f>
        <v/>
      </c>
      <c r="I1079" s="16">
        <f>IF(H1079&lt;&gt;"",LOOKUP(2,1/('Weekly Tracker'!$E$2:$E$766=$A1079)/('Weekly Tracker'!$H$2:$H$766&lt;&gt;""),'Weekly Tracker'!$I$2:$I$766),"")</f>
        <v/>
      </c>
      <c r="J1079" s="9">
        <f>IFERROR(LOOKUP(2,1/('Weekly Tracker'!$E$2:$E$766=$A1079)/('Weekly Tracker'!$J$2:$J$766&lt;&gt;""),'Weekly Tracker'!$J$2:$J$766),"")</f>
        <v/>
      </c>
      <c r="K1079" s="9">
        <f>IFERROR(LOOKUP(2,1/('Weekly Tracker'!$E$2:$E$766=$A1079)/('Weekly Tracker'!$N$2:$N$766&lt;&gt;""),'Weekly Tracker'!$N$2:$N$766),"")</f>
        <v/>
      </c>
      <c r="L1079" s="9">
        <f>IFERROR(LOOKUP(2,1/('Weekly Tracker'!$E$2:$E$766=$A1079)/('Weekly Tracker'!$O$2:$O$766&lt;&gt;""),'Weekly Tracker'!$O$2:$O$766),"")</f>
        <v/>
      </c>
    </row>
    <row r="1080">
      <c r="A1080" s="9" t="inlineStr">
        <is>
          <t>Alex V Grp Ucen</t>
        </is>
      </c>
      <c r="B1080" s="9" t="inlineStr">
        <is>
          <t>919489378531</t>
        </is>
      </c>
      <c r="C1080" s="9" t="n"/>
      <c r="D1080" s="9" t="n"/>
      <c r="E1080" s="9" t="n"/>
      <c r="F1080" s="9">
        <f>IFERROR(LOOKUP(2,1/('Weekly Tracker'!$E$2:$E$766=$A1080)/('Weekly Tracker'!$F$2:$F$766&lt;&gt;""),'Weekly Tracker'!$F$2:$F$766),"")</f>
        <v/>
      </c>
      <c r="G1080" s="16">
        <f>IF(F1080&lt;&gt;"",LOOKUP(2,1/('Weekly Tracker'!$E$2:$E$766=$A1080)/('Weekly Tracker'!$F$2:$F$766&lt;&gt;""),'Weekly Tracker'!$G$2:$G$766),"")</f>
        <v/>
      </c>
      <c r="H1080" s="9">
        <f>IFERROR(LOOKUP(2,1/('Weekly Tracker'!$E$2:$E$766=$A1080)/('Weekly Tracker'!$H$2:$H$766&lt;&gt;""),'Weekly Tracker'!$H$2:$H$766),"")</f>
        <v/>
      </c>
      <c r="I1080" s="16">
        <f>IF(H1080&lt;&gt;"",LOOKUP(2,1/('Weekly Tracker'!$E$2:$E$766=$A1080)/('Weekly Tracker'!$H$2:$H$766&lt;&gt;""),'Weekly Tracker'!$I$2:$I$766),"")</f>
        <v/>
      </c>
      <c r="J1080" s="9">
        <f>IFERROR(LOOKUP(2,1/('Weekly Tracker'!$E$2:$E$766=$A1080)/('Weekly Tracker'!$J$2:$J$766&lt;&gt;""),'Weekly Tracker'!$J$2:$J$766),"")</f>
        <v/>
      </c>
      <c r="K1080" s="9">
        <f>IFERROR(LOOKUP(2,1/('Weekly Tracker'!$E$2:$E$766=$A1080)/('Weekly Tracker'!$N$2:$N$766&lt;&gt;""),'Weekly Tracker'!$N$2:$N$766),"")</f>
        <v/>
      </c>
      <c r="L1080" s="9">
        <f>IFERROR(LOOKUP(2,1/('Weekly Tracker'!$E$2:$E$766=$A1080)/('Weekly Tracker'!$O$2:$O$766&lt;&gt;""),'Weekly Tracker'!$O$2:$O$766),"")</f>
        <v/>
      </c>
    </row>
    <row r="1081">
      <c r="A1081" s="9" t="inlineStr">
        <is>
          <t>Senthil Teacher QS</t>
        </is>
      </c>
      <c r="B1081" s="9" t="inlineStr">
        <is>
          <t>9791185513</t>
        </is>
      </c>
      <c r="C1081" s="9" t="n"/>
      <c r="D1081" s="9" t="n"/>
      <c r="E1081" s="9" t="n"/>
      <c r="F1081" s="9">
        <f>IFERROR(LOOKUP(2,1/('Weekly Tracker'!$E$2:$E$766=$A1081)/('Weekly Tracker'!$F$2:$F$766&lt;&gt;""),'Weekly Tracker'!$F$2:$F$766),"")</f>
        <v/>
      </c>
      <c r="G1081" s="16">
        <f>IF(F1081&lt;&gt;"",LOOKUP(2,1/('Weekly Tracker'!$E$2:$E$766=$A1081)/('Weekly Tracker'!$F$2:$F$766&lt;&gt;""),'Weekly Tracker'!$G$2:$G$766),"")</f>
        <v/>
      </c>
      <c r="H1081" s="9">
        <f>IFERROR(LOOKUP(2,1/('Weekly Tracker'!$E$2:$E$766=$A1081)/('Weekly Tracker'!$H$2:$H$766&lt;&gt;""),'Weekly Tracker'!$H$2:$H$766),"")</f>
        <v/>
      </c>
      <c r="I1081" s="16">
        <f>IF(H1081&lt;&gt;"",LOOKUP(2,1/('Weekly Tracker'!$E$2:$E$766=$A1081)/('Weekly Tracker'!$H$2:$H$766&lt;&gt;""),'Weekly Tracker'!$I$2:$I$766),"")</f>
        <v/>
      </c>
      <c r="J1081" s="9">
        <f>IFERROR(LOOKUP(2,1/('Weekly Tracker'!$E$2:$E$766=$A1081)/('Weekly Tracker'!$J$2:$J$766&lt;&gt;""),'Weekly Tracker'!$J$2:$J$766),"")</f>
        <v/>
      </c>
      <c r="K1081" s="9">
        <f>IFERROR(LOOKUP(2,1/('Weekly Tracker'!$E$2:$E$766=$A1081)/('Weekly Tracker'!$N$2:$N$766&lt;&gt;""),'Weekly Tracker'!$N$2:$N$766),"")</f>
        <v/>
      </c>
      <c r="L1081" s="9">
        <f>IFERROR(LOOKUP(2,1/('Weekly Tracker'!$E$2:$E$766=$A1081)/('Weekly Tracker'!$O$2:$O$766&lt;&gt;""),'Weekly Tracker'!$O$2:$O$766),"")</f>
        <v/>
      </c>
    </row>
    <row r="1082">
      <c r="A1082" s="9" t="inlineStr">
        <is>
          <t>Venkat Mech</t>
        </is>
      </c>
      <c r="B1082" s="9" t="inlineStr">
        <is>
          <t>919994209693</t>
        </is>
      </c>
      <c r="C1082" s="9" t="n"/>
      <c r="D1082" s="9" t="n"/>
      <c r="E1082" s="9" t="n"/>
      <c r="F1082" s="9">
        <f>IFERROR(LOOKUP(2,1/('Weekly Tracker'!$E$2:$E$766=$A1082)/('Weekly Tracker'!$F$2:$F$766&lt;&gt;""),'Weekly Tracker'!$F$2:$F$766),"")</f>
        <v/>
      </c>
      <c r="G1082" s="16">
        <f>IF(F1082&lt;&gt;"",LOOKUP(2,1/('Weekly Tracker'!$E$2:$E$766=$A1082)/('Weekly Tracker'!$F$2:$F$766&lt;&gt;""),'Weekly Tracker'!$G$2:$G$766),"")</f>
        <v/>
      </c>
      <c r="H1082" s="9">
        <f>IFERROR(LOOKUP(2,1/('Weekly Tracker'!$E$2:$E$766=$A1082)/('Weekly Tracker'!$H$2:$H$766&lt;&gt;""),'Weekly Tracker'!$H$2:$H$766),"")</f>
        <v/>
      </c>
      <c r="I1082" s="16">
        <f>IF(H1082&lt;&gt;"",LOOKUP(2,1/('Weekly Tracker'!$E$2:$E$766=$A1082)/('Weekly Tracker'!$H$2:$H$766&lt;&gt;""),'Weekly Tracker'!$I$2:$I$766),"")</f>
        <v/>
      </c>
      <c r="J1082" s="9">
        <f>IFERROR(LOOKUP(2,1/('Weekly Tracker'!$E$2:$E$766=$A1082)/('Weekly Tracker'!$J$2:$J$766&lt;&gt;""),'Weekly Tracker'!$J$2:$J$766),"")</f>
        <v/>
      </c>
      <c r="K1082" s="9">
        <f>IFERROR(LOOKUP(2,1/('Weekly Tracker'!$E$2:$E$766=$A1082)/('Weekly Tracker'!$N$2:$N$766&lt;&gt;""),'Weekly Tracker'!$N$2:$N$766),"")</f>
        <v/>
      </c>
      <c r="L1082" s="9">
        <f>IFERROR(LOOKUP(2,1/('Weekly Tracker'!$E$2:$E$766=$A1082)/('Weekly Tracker'!$O$2:$O$766&lt;&gt;""),'Weekly Tracker'!$O$2:$O$766),"")</f>
        <v/>
      </c>
    </row>
    <row r="1083">
      <c r="A1083" s="9" t="inlineStr">
        <is>
          <t>Sathiesh Kumar Grp ucen</t>
        </is>
      </c>
      <c r="B1083" s="9" t="inlineStr">
        <is>
          <t>918300194194</t>
        </is>
      </c>
      <c r="C1083" s="9" t="n"/>
      <c r="D1083" s="9" t="n"/>
      <c r="E1083" s="9" t="n"/>
      <c r="F1083" s="9">
        <f>IFERROR(LOOKUP(2,1/('Weekly Tracker'!$E$2:$E$766=$A1083)/('Weekly Tracker'!$F$2:$F$766&lt;&gt;""),'Weekly Tracker'!$F$2:$F$766),"")</f>
        <v/>
      </c>
      <c r="G1083" s="16">
        <f>IF(F1083&lt;&gt;"",LOOKUP(2,1/('Weekly Tracker'!$E$2:$E$766=$A1083)/('Weekly Tracker'!$F$2:$F$766&lt;&gt;""),'Weekly Tracker'!$G$2:$G$766),"")</f>
        <v/>
      </c>
      <c r="H1083" s="9">
        <f>IFERROR(LOOKUP(2,1/('Weekly Tracker'!$E$2:$E$766=$A1083)/('Weekly Tracker'!$H$2:$H$766&lt;&gt;""),'Weekly Tracker'!$H$2:$H$766),"")</f>
        <v/>
      </c>
      <c r="I1083" s="16">
        <f>IF(H1083&lt;&gt;"",LOOKUP(2,1/('Weekly Tracker'!$E$2:$E$766=$A1083)/('Weekly Tracker'!$H$2:$H$766&lt;&gt;""),'Weekly Tracker'!$I$2:$I$766),"")</f>
        <v/>
      </c>
      <c r="J1083" s="9">
        <f>IFERROR(LOOKUP(2,1/('Weekly Tracker'!$E$2:$E$766=$A1083)/('Weekly Tracker'!$J$2:$J$766&lt;&gt;""),'Weekly Tracker'!$J$2:$J$766),"")</f>
        <v/>
      </c>
      <c r="K1083" s="9">
        <f>IFERROR(LOOKUP(2,1/('Weekly Tracker'!$E$2:$E$766=$A1083)/('Weekly Tracker'!$N$2:$N$766&lt;&gt;""),'Weekly Tracker'!$N$2:$N$766),"")</f>
        <v/>
      </c>
      <c r="L1083" s="9">
        <f>IFERROR(LOOKUP(2,1/('Weekly Tracker'!$E$2:$E$766=$A1083)/('Weekly Tracker'!$O$2:$O$766&lt;&gt;""),'Weekly Tracker'!$O$2:$O$766),"")</f>
        <v/>
      </c>
    </row>
    <row r="1084">
      <c r="A1084" s="9" t="inlineStr">
        <is>
          <t>Shankar Parameshwaran Urja</t>
        </is>
      </c>
      <c r="B1084" s="9" t="inlineStr">
        <is>
          <t>918939899898</t>
        </is>
      </c>
      <c r="C1084" s="9" t="n"/>
      <c r="D1084" s="9" t="n"/>
      <c r="E1084" s="9" t="n"/>
      <c r="F1084" s="9">
        <f>IFERROR(LOOKUP(2,1/('Weekly Tracker'!$E$2:$E$766=$A1084)/('Weekly Tracker'!$F$2:$F$766&lt;&gt;""),'Weekly Tracker'!$F$2:$F$766),"")</f>
        <v/>
      </c>
      <c r="G1084" s="16">
        <f>IF(F1084&lt;&gt;"",LOOKUP(2,1/('Weekly Tracker'!$E$2:$E$766=$A1084)/('Weekly Tracker'!$F$2:$F$766&lt;&gt;""),'Weekly Tracker'!$G$2:$G$766),"")</f>
        <v/>
      </c>
      <c r="H1084" s="9">
        <f>IFERROR(LOOKUP(2,1/('Weekly Tracker'!$E$2:$E$766=$A1084)/('Weekly Tracker'!$H$2:$H$766&lt;&gt;""),'Weekly Tracker'!$H$2:$H$766),"")</f>
        <v/>
      </c>
      <c r="I1084" s="16">
        <f>IF(H1084&lt;&gt;"",LOOKUP(2,1/('Weekly Tracker'!$E$2:$E$766=$A1084)/('Weekly Tracker'!$H$2:$H$766&lt;&gt;""),'Weekly Tracker'!$I$2:$I$766),"")</f>
        <v/>
      </c>
      <c r="J1084" s="9">
        <f>IFERROR(LOOKUP(2,1/('Weekly Tracker'!$E$2:$E$766=$A1084)/('Weekly Tracker'!$J$2:$J$766&lt;&gt;""),'Weekly Tracker'!$J$2:$J$766),"")</f>
        <v/>
      </c>
      <c r="K1084" s="9">
        <f>IFERROR(LOOKUP(2,1/('Weekly Tracker'!$E$2:$E$766=$A1084)/('Weekly Tracker'!$N$2:$N$766&lt;&gt;""),'Weekly Tracker'!$N$2:$N$766),"")</f>
        <v/>
      </c>
      <c r="L1084" s="9">
        <f>IFERROR(LOOKUP(2,1/('Weekly Tracker'!$E$2:$E$766=$A1084)/('Weekly Tracker'!$O$2:$O$766&lt;&gt;""),'Weekly Tracker'!$O$2:$O$766),"")</f>
        <v/>
      </c>
    </row>
    <row r="1085">
      <c r="A1085" s="9" t="inlineStr">
        <is>
          <t>MangeshRajan Infy</t>
        </is>
      </c>
      <c r="B1085" s="9" t="inlineStr">
        <is>
          <t>919633614890</t>
        </is>
      </c>
      <c r="C1085" s="9" t="n"/>
      <c r="D1085" s="9" t="n"/>
      <c r="E1085" s="9" t="n"/>
      <c r="F1085" s="9">
        <f>IFERROR(LOOKUP(2,1/('Weekly Tracker'!$E$2:$E$766=$A1085)/('Weekly Tracker'!$F$2:$F$766&lt;&gt;""),'Weekly Tracker'!$F$2:$F$766),"")</f>
        <v/>
      </c>
      <c r="G1085" s="16">
        <f>IF(F1085&lt;&gt;"",LOOKUP(2,1/('Weekly Tracker'!$E$2:$E$766=$A1085)/('Weekly Tracker'!$F$2:$F$766&lt;&gt;""),'Weekly Tracker'!$G$2:$G$766),"")</f>
        <v/>
      </c>
      <c r="H1085" s="9">
        <f>IFERROR(LOOKUP(2,1/('Weekly Tracker'!$E$2:$E$766=$A1085)/('Weekly Tracker'!$H$2:$H$766&lt;&gt;""),'Weekly Tracker'!$H$2:$H$766),"")</f>
        <v/>
      </c>
      <c r="I1085" s="16">
        <f>IF(H1085&lt;&gt;"",LOOKUP(2,1/('Weekly Tracker'!$E$2:$E$766=$A1085)/('Weekly Tracker'!$H$2:$H$766&lt;&gt;""),'Weekly Tracker'!$I$2:$I$766),"")</f>
        <v/>
      </c>
      <c r="J1085" s="9">
        <f>IFERROR(LOOKUP(2,1/('Weekly Tracker'!$E$2:$E$766=$A1085)/('Weekly Tracker'!$J$2:$J$766&lt;&gt;""),'Weekly Tracker'!$J$2:$J$766),"")</f>
        <v/>
      </c>
      <c r="K1085" s="9">
        <f>IFERROR(LOOKUP(2,1/('Weekly Tracker'!$E$2:$E$766=$A1085)/('Weekly Tracker'!$N$2:$N$766&lt;&gt;""),'Weekly Tracker'!$N$2:$N$766),"")</f>
        <v/>
      </c>
      <c r="L1085" s="9">
        <f>IFERROR(LOOKUP(2,1/('Weekly Tracker'!$E$2:$E$766=$A1085)/('Weekly Tracker'!$O$2:$O$766&lt;&gt;""),'Weekly Tracker'!$O$2:$O$766),"")</f>
        <v/>
      </c>
    </row>
    <row r="1086">
      <c r="A1086" s="9" t="inlineStr">
        <is>
          <t>Jagan Packyaraj FB</t>
        </is>
      </c>
      <c r="B1086" s="9" t="inlineStr">
        <is>
          <t>6374782225</t>
        </is>
      </c>
      <c r="C1086" s="9" t="n"/>
      <c r="D1086" s="9" t="n"/>
      <c r="E1086" s="9" t="n"/>
      <c r="F1086" s="9">
        <f>IFERROR(LOOKUP(2,1/('Weekly Tracker'!$E$2:$E$766=$A1086)/('Weekly Tracker'!$F$2:$F$766&lt;&gt;""),'Weekly Tracker'!$F$2:$F$766),"")</f>
        <v/>
      </c>
      <c r="G1086" s="16">
        <f>IF(F1086&lt;&gt;"",LOOKUP(2,1/('Weekly Tracker'!$E$2:$E$766=$A1086)/('Weekly Tracker'!$F$2:$F$766&lt;&gt;""),'Weekly Tracker'!$G$2:$G$766),"")</f>
        <v/>
      </c>
      <c r="H1086" s="9">
        <f>IFERROR(LOOKUP(2,1/('Weekly Tracker'!$E$2:$E$766=$A1086)/('Weekly Tracker'!$H$2:$H$766&lt;&gt;""),'Weekly Tracker'!$H$2:$H$766),"")</f>
        <v/>
      </c>
      <c r="I1086" s="16">
        <f>IF(H1086&lt;&gt;"",LOOKUP(2,1/('Weekly Tracker'!$E$2:$E$766=$A1086)/('Weekly Tracker'!$H$2:$H$766&lt;&gt;""),'Weekly Tracker'!$I$2:$I$766),"")</f>
        <v/>
      </c>
      <c r="J1086" s="9">
        <f>IFERROR(LOOKUP(2,1/('Weekly Tracker'!$E$2:$E$766=$A1086)/('Weekly Tracker'!$J$2:$J$766&lt;&gt;""),'Weekly Tracker'!$J$2:$J$766),"")</f>
        <v/>
      </c>
      <c r="K1086" s="9">
        <f>IFERROR(LOOKUP(2,1/('Weekly Tracker'!$E$2:$E$766=$A1086)/('Weekly Tracker'!$N$2:$N$766&lt;&gt;""),'Weekly Tracker'!$N$2:$N$766),"")</f>
        <v/>
      </c>
      <c r="L1086" s="9">
        <f>IFERROR(LOOKUP(2,1/('Weekly Tracker'!$E$2:$E$766=$A1086)/('Weekly Tracker'!$O$2:$O$766&lt;&gt;""),'Weekly Tracker'!$O$2:$O$766),"")</f>
        <v/>
      </c>
    </row>
    <row r="1087">
      <c r="A1087" s="9" t="inlineStr">
        <is>
          <t>Kailasam Kprm Scl</t>
        </is>
      </c>
      <c r="B1087" s="9" t="inlineStr">
        <is>
          <t>919043935240</t>
        </is>
      </c>
      <c r="C1087" s="9" t="n"/>
      <c r="D1087" s="9" t="n"/>
      <c r="E1087" s="9" t="n"/>
      <c r="F1087" s="9">
        <f>IFERROR(LOOKUP(2,1/('Weekly Tracker'!$E$2:$E$766=$A1087)/('Weekly Tracker'!$F$2:$F$766&lt;&gt;""),'Weekly Tracker'!$F$2:$F$766),"")</f>
        <v/>
      </c>
      <c r="G1087" s="16">
        <f>IF(F1087&lt;&gt;"",LOOKUP(2,1/('Weekly Tracker'!$E$2:$E$766=$A1087)/('Weekly Tracker'!$F$2:$F$766&lt;&gt;""),'Weekly Tracker'!$G$2:$G$766),"")</f>
        <v/>
      </c>
      <c r="H1087" s="9">
        <f>IFERROR(LOOKUP(2,1/('Weekly Tracker'!$E$2:$E$766=$A1087)/('Weekly Tracker'!$H$2:$H$766&lt;&gt;""),'Weekly Tracker'!$H$2:$H$766),"")</f>
        <v/>
      </c>
      <c r="I1087" s="16">
        <f>IF(H1087&lt;&gt;"",LOOKUP(2,1/('Weekly Tracker'!$E$2:$E$766=$A1087)/('Weekly Tracker'!$H$2:$H$766&lt;&gt;""),'Weekly Tracker'!$I$2:$I$766),"")</f>
        <v/>
      </c>
      <c r="J1087" s="9">
        <f>IFERROR(LOOKUP(2,1/('Weekly Tracker'!$E$2:$E$766=$A1087)/('Weekly Tracker'!$J$2:$J$766&lt;&gt;""),'Weekly Tracker'!$J$2:$J$766),"")</f>
        <v/>
      </c>
      <c r="K1087" s="9">
        <f>IFERROR(LOOKUP(2,1/('Weekly Tracker'!$E$2:$E$766=$A1087)/('Weekly Tracker'!$N$2:$N$766&lt;&gt;""),'Weekly Tracker'!$N$2:$N$766),"")</f>
        <v/>
      </c>
      <c r="L1087" s="9">
        <f>IFERROR(LOOKUP(2,1/('Weekly Tracker'!$E$2:$E$766=$A1087)/('Weekly Tracker'!$O$2:$O$766&lt;&gt;""),'Weekly Tracker'!$O$2:$O$766),"")</f>
        <v/>
      </c>
    </row>
    <row r="1088">
      <c r="A1088" s="9" t="inlineStr">
        <is>
          <t>Vigneshwaran Yoga Urja</t>
        </is>
      </c>
      <c r="B1088" s="9" t="inlineStr">
        <is>
          <t>8608851972</t>
        </is>
      </c>
      <c r="C1088" s="9" t="n"/>
      <c r="D1088" s="9" t="n"/>
      <c r="E1088" s="9" t="n"/>
      <c r="F1088" s="9">
        <f>IFERROR(LOOKUP(2,1/('Weekly Tracker'!$E$2:$E$766=$A1088)/('Weekly Tracker'!$F$2:$F$766&lt;&gt;""),'Weekly Tracker'!$F$2:$F$766),"")</f>
        <v/>
      </c>
      <c r="G1088" s="16">
        <f>IF(F1088&lt;&gt;"",LOOKUP(2,1/('Weekly Tracker'!$E$2:$E$766=$A1088)/('Weekly Tracker'!$F$2:$F$766&lt;&gt;""),'Weekly Tracker'!$G$2:$G$766),"")</f>
        <v/>
      </c>
      <c r="H1088" s="9">
        <f>IFERROR(LOOKUP(2,1/('Weekly Tracker'!$E$2:$E$766=$A1088)/('Weekly Tracker'!$H$2:$H$766&lt;&gt;""),'Weekly Tracker'!$H$2:$H$766),"")</f>
        <v/>
      </c>
      <c r="I1088" s="16">
        <f>IF(H1088&lt;&gt;"",LOOKUP(2,1/('Weekly Tracker'!$E$2:$E$766=$A1088)/('Weekly Tracker'!$H$2:$H$766&lt;&gt;""),'Weekly Tracker'!$I$2:$I$766),"")</f>
        <v/>
      </c>
      <c r="J1088" s="9">
        <f>IFERROR(LOOKUP(2,1/('Weekly Tracker'!$E$2:$E$766=$A1088)/('Weekly Tracker'!$J$2:$J$766&lt;&gt;""),'Weekly Tracker'!$J$2:$J$766),"")</f>
        <v/>
      </c>
      <c r="K1088" s="9">
        <f>IFERROR(LOOKUP(2,1/('Weekly Tracker'!$E$2:$E$766=$A1088)/('Weekly Tracker'!$N$2:$N$766&lt;&gt;""),'Weekly Tracker'!$N$2:$N$766),"")</f>
        <v/>
      </c>
      <c r="L1088" s="9">
        <f>IFERROR(LOOKUP(2,1/('Weekly Tracker'!$E$2:$E$766=$A1088)/('Weekly Tracker'!$O$2:$O$766&lt;&gt;""),'Weekly Tracker'!$O$2:$O$766),"")</f>
        <v/>
      </c>
    </row>
    <row r="1089">
      <c r="A1089" s="9" t="inlineStr">
        <is>
          <t>Gayathri Urja</t>
        </is>
      </c>
      <c r="B1089" s="9" t="inlineStr">
        <is>
          <t>919498061589</t>
        </is>
      </c>
      <c r="C1089" s="9" t="n"/>
      <c r="D1089" s="9" t="n"/>
      <c r="E1089" s="9" t="n"/>
      <c r="F1089" s="9">
        <f>IFERROR(LOOKUP(2,1/('Weekly Tracker'!$E$2:$E$766=$A1089)/('Weekly Tracker'!$F$2:$F$766&lt;&gt;""),'Weekly Tracker'!$F$2:$F$766),"")</f>
        <v/>
      </c>
      <c r="G1089" s="16">
        <f>IF(F1089&lt;&gt;"",LOOKUP(2,1/('Weekly Tracker'!$E$2:$E$766=$A1089)/('Weekly Tracker'!$F$2:$F$766&lt;&gt;""),'Weekly Tracker'!$G$2:$G$766),"")</f>
        <v/>
      </c>
      <c r="H1089" s="9">
        <f>IFERROR(LOOKUP(2,1/('Weekly Tracker'!$E$2:$E$766=$A1089)/('Weekly Tracker'!$H$2:$H$766&lt;&gt;""),'Weekly Tracker'!$H$2:$H$766),"")</f>
        <v/>
      </c>
      <c r="I1089" s="16">
        <f>IF(H1089&lt;&gt;"",LOOKUP(2,1/('Weekly Tracker'!$E$2:$E$766=$A1089)/('Weekly Tracker'!$H$2:$H$766&lt;&gt;""),'Weekly Tracker'!$I$2:$I$766),"")</f>
        <v/>
      </c>
      <c r="J1089" s="9">
        <f>IFERROR(LOOKUP(2,1/('Weekly Tracker'!$E$2:$E$766=$A1089)/('Weekly Tracker'!$J$2:$J$766&lt;&gt;""),'Weekly Tracker'!$J$2:$J$766),"")</f>
        <v/>
      </c>
      <c r="K1089" s="9">
        <f>IFERROR(LOOKUP(2,1/('Weekly Tracker'!$E$2:$E$766=$A1089)/('Weekly Tracker'!$N$2:$N$766&lt;&gt;""),'Weekly Tracker'!$N$2:$N$766),"")</f>
        <v/>
      </c>
      <c r="L1089" s="9">
        <f>IFERROR(LOOKUP(2,1/('Weekly Tracker'!$E$2:$E$766=$A1089)/('Weekly Tracker'!$O$2:$O$766&lt;&gt;""),'Weekly Tracker'!$O$2:$O$766),"")</f>
        <v/>
      </c>
    </row>
    <row r="1090">
      <c r="A1090" s="9" t="inlineStr">
        <is>
          <t>Siva Cheliyen FB</t>
        </is>
      </c>
      <c r="B1090" s="9" t="inlineStr">
        <is>
          <t>6374726305</t>
        </is>
      </c>
      <c r="C1090" s="9" t="n"/>
      <c r="D1090" s="9" t="n"/>
      <c r="E1090" s="9" t="n"/>
      <c r="F1090" s="9">
        <f>IFERROR(LOOKUP(2,1/('Weekly Tracker'!$E$2:$E$766=$A1090)/('Weekly Tracker'!$F$2:$F$766&lt;&gt;""),'Weekly Tracker'!$F$2:$F$766),"")</f>
        <v/>
      </c>
      <c r="G1090" s="16">
        <f>IF(F1090&lt;&gt;"",LOOKUP(2,1/('Weekly Tracker'!$E$2:$E$766=$A1090)/('Weekly Tracker'!$F$2:$F$766&lt;&gt;""),'Weekly Tracker'!$G$2:$G$766),"")</f>
        <v/>
      </c>
      <c r="H1090" s="9">
        <f>IFERROR(LOOKUP(2,1/('Weekly Tracker'!$E$2:$E$766=$A1090)/('Weekly Tracker'!$H$2:$H$766&lt;&gt;""),'Weekly Tracker'!$H$2:$H$766),"")</f>
        <v/>
      </c>
      <c r="I1090" s="16">
        <f>IF(H1090&lt;&gt;"",LOOKUP(2,1/('Weekly Tracker'!$E$2:$E$766=$A1090)/('Weekly Tracker'!$H$2:$H$766&lt;&gt;""),'Weekly Tracker'!$I$2:$I$766),"")</f>
        <v/>
      </c>
      <c r="J1090" s="9">
        <f>IFERROR(LOOKUP(2,1/('Weekly Tracker'!$E$2:$E$766=$A1090)/('Weekly Tracker'!$J$2:$J$766&lt;&gt;""),'Weekly Tracker'!$J$2:$J$766),"")</f>
        <v/>
      </c>
      <c r="K1090" s="9">
        <f>IFERROR(LOOKUP(2,1/('Weekly Tracker'!$E$2:$E$766=$A1090)/('Weekly Tracker'!$N$2:$N$766&lt;&gt;""),'Weekly Tracker'!$N$2:$N$766),"")</f>
        <v/>
      </c>
      <c r="L1090" s="9">
        <f>IFERROR(LOOKUP(2,1/('Weekly Tracker'!$E$2:$E$766=$A1090)/('Weekly Tracker'!$O$2:$O$766&lt;&gt;""),'Weekly Tracker'!$O$2:$O$766),"")</f>
        <v/>
      </c>
    </row>
    <row r="1091">
      <c r="A1091" s="9" t="inlineStr">
        <is>
          <t>Velu civil</t>
        </is>
      </c>
      <c r="B1091" s="9" t="inlineStr">
        <is>
          <t>918870700362</t>
        </is>
      </c>
      <c r="C1091" s="9" t="n"/>
      <c r="D1091" s="9" t="n"/>
      <c r="E1091" s="9" t="n"/>
      <c r="F1091" s="9">
        <f>IFERROR(LOOKUP(2,1/('Weekly Tracker'!$E$2:$E$766=$A1091)/('Weekly Tracker'!$F$2:$F$766&lt;&gt;""),'Weekly Tracker'!$F$2:$F$766),"")</f>
        <v/>
      </c>
      <c r="G1091" s="16">
        <f>IF(F1091&lt;&gt;"",LOOKUP(2,1/('Weekly Tracker'!$E$2:$E$766=$A1091)/('Weekly Tracker'!$F$2:$F$766&lt;&gt;""),'Weekly Tracker'!$G$2:$G$766),"")</f>
        <v/>
      </c>
      <c r="H1091" s="9">
        <f>IFERROR(LOOKUP(2,1/('Weekly Tracker'!$E$2:$E$766=$A1091)/('Weekly Tracker'!$H$2:$H$766&lt;&gt;""),'Weekly Tracker'!$H$2:$H$766),"")</f>
        <v/>
      </c>
      <c r="I1091" s="16">
        <f>IF(H1091&lt;&gt;"",LOOKUP(2,1/('Weekly Tracker'!$E$2:$E$766=$A1091)/('Weekly Tracker'!$H$2:$H$766&lt;&gt;""),'Weekly Tracker'!$I$2:$I$766),"")</f>
        <v/>
      </c>
      <c r="J1091" s="9">
        <f>IFERROR(LOOKUP(2,1/('Weekly Tracker'!$E$2:$E$766=$A1091)/('Weekly Tracker'!$J$2:$J$766&lt;&gt;""),'Weekly Tracker'!$J$2:$J$766),"")</f>
        <v/>
      </c>
      <c r="K1091" s="9">
        <f>IFERROR(LOOKUP(2,1/('Weekly Tracker'!$E$2:$E$766=$A1091)/('Weekly Tracker'!$N$2:$N$766&lt;&gt;""),'Weekly Tracker'!$N$2:$N$766),"")</f>
        <v/>
      </c>
      <c r="L1091" s="9">
        <f>IFERROR(LOOKUP(2,1/('Weekly Tracker'!$E$2:$E$766=$A1091)/('Weekly Tracker'!$O$2:$O$766&lt;&gt;""),'Weekly Tracker'!$O$2:$O$766),"")</f>
        <v/>
      </c>
    </row>
    <row r="1092">
      <c r="A1092" s="9" t="inlineStr">
        <is>
          <t>Muthu Selvam Civil</t>
        </is>
      </c>
      <c r="B1092" s="9" t="inlineStr">
        <is>
          <t>+971 52 436 4175, 919384159185</t>
        </is>
      </c>
      <c r="C1092" s="9" t="n"/>
      <c r="D1092" s="9" t="n"/>
      <c r="E1092" s="9" t="n"/>
      <c r="F1092" s="9">
        <f>IFERROR(LOOKUP(2,1/('Weekly Tracker'!$E$2:$E$766=$A1092)/('Weekly Tracker'!$F$2:$F$766&lt;&gt;""),'Weekly Tracker'!$F$2:$F$766),"")</f>
        <v/>
      </c>
      <c r="G1092" s="16">
        <f>IF(F1092&lt;&gt;"",LOOKUP(2,1/('Weekly Tracker'!$E$2:$E$766=$A1092)/('Weekly Tracker'!$F$2:$F$766&lt;&gt;""),'Weekly Tracker'!$G$2:$G$766),"")</f>
        <v/>
      </c>
      <c r="H1092" s="9">
        <f>IFERROR(LOOKUP(2,1/('Weekly Tracker'!$E$2:$E$766=$A1092)/('Weekly Tracker'!$H$2:$H$766&lt;&gt;""),'Weekly Tracker'!$H$2:$H$766),"")</f>
        <v/>
      </c>
      <c r="I1092" s="16">
        <f>IF(H1092&lt;&gt;"",LOOKUP(2,1/('Weekly Tracker'!$E$2:$E$766=$A1092)/('Weekly Tracker'!$H$2:$H$766&lt;&gt;""),'Weekly Tracker'!$I$2:$I$766),"")</f>
        <v/>
      </c>
      <c r="J1092" s="9">
        <f>IFERROR(LOOKUP(2,1/('Weekly Tracker'!$E$2:$E$766=$A1092)/('Weekly Tracker'!$J$2:$J$766&lt;&gt;""),'Weekly Tracker'!$J$2:$J$766),"")</f>
        <v/>
      </c>
      <c r="K1092" s="9">
        <f>IFERROR(LOOKUP(2,1/('Weekly Tracker'!$E$2:$E$766=$A1092)/('Weekly Tracker'!$N$2:$N$766&lt;&gt;""),'Weekly Tracker'!$N$2:$N$766),"")</f>
        <v/>
      </c>
      <c r="L1092" s="9">
        <f>IFERROR(LOOKUP(2,1/('Weekly Tracker'!$E$2:$E$766=$A1092)/('Weekly Tracker'!$O$2:$O$766&lt;&gt;""),'Weekly Tracker'!$O$2:$O$766),"")</f>
        <v/>
      </c>
    </row>
    <row r="1093">
      <c r="A1093" s="9" t="inlineStr">
        <is>
          <t>SuganthRaj Junior</t>
        </is>
      </c>
      <c r="B1093" s="9" t="inlineStr">
        <is>
          <t>7845034464</t>
        </is>
      </c>
      <c r="C1093" s="9" t="n"/>
      <c r="D1093" s="9" t="n"/>
      <c r="E1093" s="9" t="n"/>
      <c r="F1093" s="9">
        <f>IFERROR(LOOKUP(2,1/('Weekly Tracker'!$E$2:$E$766=$A1093)/('Weekly Tracker'!$F$2:$F$766&lt;&gt;""),'Weekly Tracker'!$F$2:$F$766),"")</f>
        <v/>
      </c>
      <c r="G1093" s="16">
        <f>IF(F1093&lt;&gt;"",LOOKUP(2,1/('Weekly Tracker'!$E$2:$E$766=$A1093)/('Weekly Tracker'!$F$2:$F$766&lt;&gt;""),'Weekly Tracker'!$G$2:$G$766),"")</f>
        <v/>
      </c>
      <c r="H1093" s="9">
        <f>IFERROR(LOOKUP(2,1/('Weekly Tracker'!$E$2:$E$766=$A1093)/('Weekly Tracker'!$H$2:$H$766&lt;&gt;""),'Weekly Tracker'!$H$2:$H$766),"")</f>
        <v/>
      </c>
      <c r="I1093" s="16">
        <f>IF(H1093&lt;&gt;"",LOOKUP(2,1/('Weekly Tracker'!$E$2:$E$766=$A1093)/('Weekly Tracker'!$H$2:$H$766&lt;&gt;""),'Weekly Tracker'!$I$2:$I$766),"")</f>
        <v/>
      </c>
      <c r="J1093" s="9">
        <f>IFERROR(LOOKUP(2,1/('Weekly Tracker'!$E$2:$E$766=$A1093)/('Weekly Tracker'!$J$2:$J$766&lt;&gt;""),'Weekly Tracker'!$J$2:$J$766),"")</f>
        <v/>
      </c>
      <c r="K1093" s="9">
        <f>IFERROR(LOOKUP(2,1/('Weekly Tracker'!$E$2:$E$766=$A1093)/('Weekly Tracker'!$N$2:$N$766&lt;&gt;""),'Weekly Tracker'!$N$2:$N$766),"")</f>
        <v/>
      </c>
      <c r="L1093" s="9">
        <f>IFERROR(LOOKUP(2,1/('Weekly Tracker'!$E$2:$E$766=$A1093)/('Weekly Tracker'!$O$2:$O$766&lt;&gt;""),'Weekly Tracker'!$O$2:$O$766),"")</f>
        <v/>
      </c>
    </row>
    <row r="1094">
      <c r="A1094" s="9" t="inlineStr">
        <is>
          <t>Guna Sankara Scl</t>
        </is>
      </c>
      <c r="B1094" s="9" t="inlineStr">
        <is>
          <t>917904850080, 966577429169</t>
        </is>
      </c>
      <c r="C1094" s="9" t="n"/>
      <c r="D1094" s="9" t="n"/>
      <c r="E1094" s="9" t="n"/>
      <c r="F1094" s="9">
        <f>IFERROR(LOOKUP(2,1/('Weekly Tracker'!$E$2:$E$766=$A1094)/('Weekly Tracker'!$F$2:$F$766&lt;&gt;""),'Weekly Tracker'!$F$2:$F$766),"")</f>
        <v/>
      </c>
      <c r="G1094" s="16">
        <f>IF(F1094&lt;&gt;"",LOOKUP(2,1/('Weekly Tracker'!$E$2:$E$766=$A1094)/('Weekly Tracker'!$F$2:$F$766&lt;&gt;""),'Weekly Tracker'!$G$2:$G$766),"")</f>
        <v/>
      </c>
      <c r="H1094" s="9">
        <f>IFERROR(LOOKUP(2,1/('Weekly Tracker'!$E$2:$E$766=$A1094)/('Weekly Tracker'!$H$2:$H$766&lt;&gt;""),'Weekly Tracker'!$H$2:$H$766),"")</f>
        <v/>
      </c>
      <c r="I1094" s="16">
        <f>IF(H1094&lt;&gt;"",LOOKUP(2,1/('Weekly Tracker'!$E$2:$E$766=$A1094)/('Weekly Tracker'!$H$2:$H$766&lt;&gt;""),'Weekly Tracker'!$I$2:$I$766),"")</f>
        <v/>
      </c>
      <c r="J1094" s="9">
        <f>IFERROR(LOOKUP(2,1/('Weekly Tracker'!$E$2:$E$766=$A1094)/('Weekly Tracker'!$J$2:$J$766&lt;&gt;""),'Weekly Tracker'!$J$2:$J$766),"")</f>
        <v/>
      </c>
      <c r="K1094" s="9">
        <f>IFERROR(LOOKUP(2,1/('Weekly Tracker'!$E$2:$E$766=$A1094)/('Weekly Tracker'!$N$2:$N$766&lt;&gt;""),'Weekly Tracker'!$N$2:$N$766),"")</f>
        <v/>
      </c>
      <c r="L1094" s="9">
        <f>IFERROR(LOOKUP(2,1/('Weekly Tracker'!$E$2:$E$766=$A1094)/('Weekly Tracker'!$O$2:$O$766&lt;&gt;""),'Weekly Tracker'!$O$2:$O$766),"")</f>
        <v/>
      </c>
    </row>
    <row r="1095">
      <c r="A1095" s="9" t="inlineStr">
        <is>
          <t>Pradeep Grp Ucen</t>
        </is>
      </c>
      <c r="B1095" s="9" t="inlineStr">
        <is>
          <t>8220677052</t>
        </is>
      </c>
      <c r="C1095" s="9" t="n"/>
      <c r="D1095" s="9" t="n"/>
      <c r="E1095" s="9" t="n"/>
      <c r="F1095" s="9">
        <f>IFERROR(LOOKUP(2,1/('Weekly Tracker'!$E$2:$E$766=$A1095)/('Weekly Tracker'!$F$2:$F$766&lt;&gt;""),'Weekly Tracker'!$F$2:$F$766),"")</f>
        <v/>
      </c>
      <c r="G1095" s="16">
        <f>IF(F1095&lt;&gt;"",LOOKUP(2,1/('Weekly Tracker'!$E$2:$E$766=$A1095)/('Weekly Tracker'!$F$2:$F$766&lt;&gt;""),'Weekly Tracker'!$G$2:$G$766),"")</f>
        <v/>
      </c>
      <c r="H1095" s="9">
        <f>IFERROR(LOOKUP(2,1/('Weekly Tracker'!$E$2:$E$766=$A1095)/('Weekly Tracker'!$H$2:$H$766&lt;&gt;""),'Weekly Tracker'!$H$2:$H$766),"")</f>
        <v/>
      </c>
      <c r="I1095" s="16">
        <f>IF(H1095&lt;&gt;"",LOOKUP(2,1/('Weekly Tracker'!$E$2:$E$766=$A1095)/('Weekly Tracker'!$H$2:$H$766&lt;&gt;""),'Weekly Tracker'!$I$2:$I$766),"")</f>
        <v/>
      </c>
      <c r="J1095" s="9">
        <f>IFERROR(LOOKUP(2,1/('Weekly Tracker'!$E$2:$E$766=$A1095)/('Weekly Tracker'!$J$2:$J$766&lt;&gt;""),'Weekly Tracker'!$J$2:$J$766),"")</f>
        <v/>
      </c>
      <c r="K1095" s="9">
        <f>IFERROR(LOOKUP(2,1/('Weekly Tracker'!$E$2:$E$766=$A1095)/('Weekly Tracker'!$N$2:$N$766&lt;&gt;""),'Weekly Tracker'!$N$2:$N$766),"")</f>
        <v/>
      </c>
      <c r="L1095" s="9">
        <f>IFERROR(LOOKUP(2,1/('Weekly Tracker'!$E$2:$E$766=$A1095)/('Weekly Tracker'!$O$2:$O$766&lt;&gt;""),'Weekly Tracker'!$O$2:$O$766),"")</f>
        <v/>
      </c>
    </row>
    <row r="1096">
      <c r="A1096" s="9" t="inlineStr">
        <is>
          <t>Balan Ram FB</t>
        </is>
      </c>
      <c r="B1096" s="9" t="inlineStr">
        <is>
          <t>919445506426</t>
        </is>
      </c>
      <c r="C1096" s="9" t="n"/>
      <c r="D1096" s="9" t="n"/>
      <c r="E1096" s="9" t="n"/>
      <c r="F1096" s="9">
        <f>IFERROR(LOOKUP(2,1/('Weekly Tracker'!$E$2:$E$766=$A1096)/('Weekly Tracker'!$F$2:$F$766&lt;&gt;""),'Weekly Tracker'!$F$2:$F$766),"")</f>
        <v/>
      </c>
      <c r="G1096" s="16">
        <f>IF(F1096&lt;&gt;"",LOOKUP(2,1/('Weekly Tracker'!$E$2:$E$766=$A1096)/('Weekly Tracker'!$F$2:$F$766&lt;&gt;""),'Weekly Tracker'!$G$2:$G$766),"")</f>
        <v/>
      </c>
      <c r="H1096" s="9">
        <f>IFERROR(LOOKUP(2,1/('Weekly Tracker'!$E$2:$E$766=$A1096)/('Weekly Tracker'!$H$2:$H$766&lt;&gt;""),'Weekly Tracker'!$H$2:$H$766),"")</f>
        <v/>
      </c>
      <c r="I1096" s="16">
        <f>IF(H1096&lt;&gt;"",LOOKUP(2,1/('Weekly Tracker'!$E$2:$E$766=$A1096)/('Weekly Tracker'!$H$2:$H$766&lt;&gt;""),'Weekly Tracker'!$I$2:$I$766),"")</f>
        <v/>
      </c>
      <c r="J1096" s="9">
        <f>IFERROR(LOOKUP(2,1/('Weekly Tracker'!$E$2:$E$766=$A1096)/('Weekly Tracker'!$J$2:$J$766&lt;&gt;""),'Weekly Tracker'!$J$2:$J$766),"")</f>
        <v/>
      </c>
      <c r="K1096" s="9">
        <f>IFERROR(LOOKUP(2,1/('Weekly Tracker'!$E$2:$E$766=$A1096)/('Weekly Tracker'!$N$2:$N$766&lt;&gt;""),'Weekly Tracker'!$N$2:$N$766),"")</f>
        <v/>
      </c>
      <c r="L1096" s="9">
        <f>IFERROR(LOOKUP(2,1/('Weekly Tracker'!$E$2:$E$766=$A1096)/('Weekly Tracker'!$O$2:$O$766&lt;&gt;""),'Weekly Tracker'!$O$2:$O$766),"")</f>
        <v/>
      </c>
    </row>
    <row r="1097">
      <c r="A1097" s="9" t="inlineStr">
        <is>
          <t>VenkiSubbu Urja</t>
        </is>
      </c>
      <c r="B1097" s="9" t="inlineStr">
        <is>
          <t>919092860862</t>
        </is>
      </c>
      <c r="C1097" s="9" t="n"/>
      <c r="D1097" s="9" t="n"/>
      <c r="E1097" s="9" t="n"/>
      <c r="F1097" s="9">
        <f>IFERROR(LOOKUP(2,1/('Weekly Tracker'!$E$2:$E$766=$A1097)/('Weekly Tracker'!$F$2:$F$766&lt;&gt;""),'Weekly Tracker'!$F$2:$F$766),"")</f>
        <v/>
      </c>
      <c r="G1097" s="16">
        <f>IF(F1097&lt;&gt;"",LOOKUP(2,1/('Weekly Tracker'!$E$2:$E$766=$A1097)/('Weekly Tracker'!$F$2:$F$766&lt;&gt;""),'Weekly Tracker'!$G$2:$G$766),"")</f>
        <v/>
      </c>
      <c r="H1097" s="9">
        <f>IFERROR(LOOKUP(2,1/('Weekly Tracker'!$E$2:$E$766=$A1097)/('Weekly Tracker'!$H$2:$H$766&lt;&gt;""),'Weekly Tracker'!$H$2:$H$766),"")</f>
        <v/>
      </c>
      <c r="I1097" s="16">
        <f>IF(H1097&lt;&gt;"",LOOKUP(2,1/('Weekly Tracker'!$E$2:$E$766=$A1097)/('Weekly Tracker'!$H$2:$H$766&lt;&gt;""),'Weekly Tracker'!$I$2:$I$766),"")</f>
        <v/>
      </c>
      <c r="J1097" s="9">
        <f>IFERROR(LOOKUP(2,1/('Weekly Tracker'!$E$2:$E$766=$A1097)/('Weekly Tracker'!$J$2:$J$766&lt;&gt;""),'Weekly Tracker'!$J$2:$J$766),"")</f>
        <v/>
      </c>
      <c r="K1097" s="9">
        <f>IFERROR(LOOKUP(2,1/('Weekly Tracker'!$E$2:$E$766=$A1097)/('Weekly Tracker'!$N$2:$N$766&lt;&gt;""),'Weekly Tracker'!$N$2:$N$766),"")</f>
        <v/>
      </c>
      <c r="L1097" s="9">
        <f>IFERROR(LOOKUP(2,1/('Weekly Tracker'!$E$2:$E$766=$A1097)/('Weekly Tracker'!$O$2:$O$766&lt;&gt;""),'Weekly Tracker'!$O$2:$O$766),"")</f>
        <v/>
      </c>
    </row>
    <row r="1098">
      <c r="A1098" s="9" t="inlineStr">
        <is>
          <t>Magesh Narwal Magesh</t>
        </is>
      </c>
      <c r="B1098" s="9" t="n"/>
      <c r="C1098" s="9" t="n"/>
      <c r="D1098" s="9" t="n"/>
      <c r="E1098" s="9" t="n"/>
      <c r="F1098" s="9">
        <f>IFERROR(LOOKUP(2,1/('Weekly Tracker'!$E$2:$E$766=$A1098)/('Weekly Tracker'!$F$2:$F$766&lt;&gt;""),'Weekly Tracker'!$F$2:$F$766),"")</f>
        <v/>
      </c>
      <c r="G1098" s="16">
        <f>IF(F1098&lt;&gt;"",LOOKUP(2,1/('Weekly Tracker'!$E$2:$E$766=$A1098)/('Weekly Tracker'!$F$2:$F$766&lt;&gt;""),'Weekly Tracker'!$G$2:$G$766),"")</f>
        <v/>
      </c>
      <c r="H1098" s="9">
        <f>IFERROR(LOOKUP(2,1/('Weekly Tracker'!$E$2:$E$766=$A1098)/('Weekly Tracker'!$H$2:$H$766&lt;&gt;""),'Weekly Tracker'!$H$2:$H$766),"")</f>
        <v/>
      </c>
      <c r="I1098" s="16">
        <f>IF(H1098&lt;&gt;"",LOOKUP(2,1/('Weekly Tracker'!$E$2:$E$766=$A1098)/('Weekly Tracker'!$H$2:$H$766&lt;&gt;""),'Weekly Tracker'!$I$2:$I$766),"")</f>
        <v/>
      </c>
      <c r="J1098" s="9">
        <f>IFERROR(LOOKUP(2,1/('Weekly Tracker'!$E$2:$E$766=$A1098)/('Weekly Tracker'!$J$2:$J$766&lt;&gt;""),'Weekly Tracker'!$J$2:$J$766),"")</f>
        <v/>
      </c>
      <c r="K1098" s="9">
        <f>IFERROR(LOOKUP(2,1/('Weekly Tracker'!$E$2:$E$766=$A1098)/('Weekly Tracker'!$N$2:$N$766&lt;&gt;""),'Weekly Tracker'!$N$2:$N$766),"")</f>
        <v/>
      </c>
      <c r="L1098" s="9">
        <f>IFERROR(LOOKUP(2,1/('Weekly Tracker'!$E$2:$E$766=$A1098)/('Weekly Tracker'!$O$2:$O$766&lt;&gt;""),'Weekly Tracker'!$O$2:$O$766),"")</f>
        <v/>
      </c>
    </row>
    <row r="1099">
      <c r="A1099" s="9" t="inlineStr">
        <is>
          <t>Sivaraman Gopal FB</t>
        </is>
      </c>
      <c r="B1099" s="9" t="inlineStr">
        <is>
          <t>919952475076</t>
        </is>
      </c>
      <c r="C1099" s="9" t="n"/>
      <c r="D1099" s="9" t="n"/>
      <c r="E1099" s="9" t="n"/>
      <c r="F1099" s="9">
        <f>IFERROR(LOOKUP(2,1/('Weekly Tracker'!$E$2:$E$766=$A1099)/('Weekly Tracker'!$F$2:$F$766&lt;&gt;""),'Weekly Tracker'!$F$2:$F$766),"")</f>
        <v/>
      </c>
      <c r="G1099" s="16">
        <f>IF(F1099&lt;&gt;"",LOOKUP(2,1/('Weekly Tracker'!$E$2:$E$766=$A1099)/('Weekly Tracker'!$F$2:$F$766&lt;&gt;""),'Weekly Tracker'!$G$2:$G$766),"")</f>
        <v/>
      </c>
      <c r="H1099" s="9">
        <f>IFERROR(LOOKUP(2,1/('Weekly Tracker'!$E$2:$E$766=$A1099)/('Weekly Tracker'!$H$2:$H$766&lt;&gt;""),'Weekly Tracker'!$H$2:$H$766),"")</f>
        <v/>
      </c>
      <c r="I1099" s="16">
        <f>IF(H1099&lt;&gt;"",LOOKUP(2,1/('Weekly Tracker'!$E$2:$E$766=$A1099)/('Weekly Tracker'!$H$2:$H$766&lt;&gt;""),'Weekly Tracker'!$I$2:$I$766),"")</f>
        <v/>
      </c>
      <c r="J1099" s="9">
        <f>IFERROR(LOOKUP(2,1/('Weekly Tracker'!$E$2:$E$766=$A1099)/('Weekly Tracker'!$J$2:$J$766&lt;&gt;""),'Weekly Tracker'!$J$2:$J$766),"")</f>
        <v/>
      </c>
      <c r="K1099" s="9">
        <f>IFERROR(LOOKUP(2,1/('Weekly Tracker'!$E$2:$E$766=$A1099)/('Weekly Tracker'!$N$2:$N$766&lt;&gt;""),'Weekly Tracker'!$N$2:$N$766),"")</f>
        <v/>
      </c>
      <c r="L1099" s="9">
        <f>IFERROR(LOOKUP(2,1/('Weekly Tracker'!$E$2:$E$766=$A1099)/('Weekly Tracker'!$O$2:$O$766&lt;&gt;""),'Weekly Tracker'!$O$2:$O$766),"")</f>
        <v/>
      </c>
    </row>
    <row r="1100">
      <c r="A1100" s="9" t="inlineStr">
        <is>
          <t>Ram Sundar Scl</t>
        </is>
      </c>
      <c r="B1100" s="9" t="inlineStr">
        <is>
          <t>919566890543</t>
        </is>
      </c>
      <c r="C1100" s="9" t="n"/>
      <c r="D1100" s="9" t="n"/>
      <c r="E1100" s="9" t="n"/>
      <c r="F1100" s="9">
        <f>IFERROR(LOOKUP(2,1/('Weekly Tracker'!$E$2:$E$766=$A1100)/('Weekly Tracker'!$F$2:$F$766&lt;&gt;""),'Weekly Tracker'!$F$2:$F$766),"")</f>
        <v/>
      </c>
      <c r="G1100" s="16">
        <f>IF(F1100&lt;&gt;"",LOOKUP(2,1/('Weekly Tracker'!$E$2:$E$766=$A1100)/('Weekly Tracker'!$F$2:$F$766&lt;&gt;""),'Weekly Tracker'!$G$2:$G$766),"")</f>
        <v/>
      </c>
      <c r="H1100" s="9">
        <f>IFERROR(LOOKUP(2,1/('Weekly Tracker'!$E$2:$E$766=$A1100)/('Weekly Tracker'!$H$2:$H$766&lt;&gt;""),'Weekly Tracker'!$H$2:$H$766),"")</f>
        <v/>
      </c>
      <c r="I1100" s="16">
        <f>IF(H1100&lt;&gt;"",LOOKUP(2,1/('Weekly Tracker'!$E$2:$E$766=$A1100)/('Weekly Tracker'!$H$2:$H$766&lt;&gt;""),'Weekly Tracker'!$I$2:$I$766),"")</f>
        <v/>
      </c>
      <c r="J1100" s="9">
        <f>IFERROR(LOOKUP(2,1/('Weekly Tracker'!$E$2:$E$766=$A1100)/('Weekly Tracker'!$J$2:$J$766&lt;&gt;""),'Weekly Tracker'!$J$2:$J$766),"")</f>
        <v/>
      </c>
      <c r="K1100" s="9">
        <f>IFERROR(LOOKUP(2,1/('Weekly Tracker'!$E$2:$E$766=$A1100)/('Weekly Tracker'!$N$2:$N$766&lt;&gt;""),'Weekly Tracker'!$N$2:$N$766),"")</f>
        <v/>
      </c>
      <c r="L1100" s="9">
        <f>IFERROR(LOOKUP(2,1/('Weekly Tracker'!$E$2:$E$766=$A1100)/('Weekly Tracker'!$O$2:$O$766&lt;&gt;""),'Weekly Tracker'!$O$2:$O$766),"")</f>
        <v/>
      </c>
    </row>
    <row r="1101">
      <c r="A1101" s="9" t="inlineStr">
        <is>
          <t>Arjun GP</t>
        </is>
      </c>
      <c r="B1101" s="9" t="inlineStr">
        <is>
          <t>917598239050</t>
        </is>
      </c>
      <c r="C1101" s="9" t="n"/>
      <c r="D1101" s="9" t="n"/>
      <c r="E1101" s="9" t="n"/>
      <c r="F1101" s="9">
        <f>IFERROR(LOOKUP(2,1/('Weekly Tracker'!$E$2:$E$766=$A1101)/('Weekly Tracker'!$F$2:$F$766&lt;&gt;""),'Weekly Tracker'!$F$2:$F$766),"")</f>
        <v/>
      </c>
      <c r="G1101" s="16">
        <f>IF(F1101&lt;&gt;"",LOOKUP(2,1/('Weekly Tracker'!$E$2:$E$766=$A1101)/('Weekly Tracker'!$F$2:$F$766&lt;&gt;""),'Weekly Tracker'!$G$2:$G$766),"")</f>
        <v/>
      </c>
      <c r="H1101" s="9">
        <f>IFERROR(LOOKUP(2,1/('Weekly Tracker'!$E$2:$E$766=$A1101)/('Weekly Tracker'!$H$2:$H$766&lt;&gt;""),'Weekly Tracker'!$H$2:$H$766),"")</f>
        <v/>
      </c>
      <c r="I1101" s="16">
        <f>IF(H1101&lt;&gt;"",LOOKUP(2,1/('Weekly Tracker'!$E$2:$E$766=$A1101)/('Weekly Tracker'!$H$2:$H$766&lt;&gt;""),'Weekly Tracker'!$I$2:$I$766),"")</f>
        <v/>
      </c>
      <c r="J1101" s="9">
        <f>IFERROR(LOOKUP(2,1/('Weekly Tracker'!$E$2:$E$766=$A1101)/('Weekly Tracker'!$J$2:$J$766&lt;&gt;""),'Weekly Tracker'!$J$2:$J$766),"")</f>
        <v/>
      </c>
      <c r="K1101" s="9">
        <f>IFERROR(LOOKUP(2,1/('Weekly Tracker'!$E$2:$E$766=$A1101)/('Weekly Tracker'!$N$2:$N$766&lt;&gt;""),'Weekly Tracker'!$N$2:$N$766),"")</f>
        <v/>
      </c>
      <c r="L1101" s="9">
        <f>IFERROR(LOOKUP(2,1/('Weekly Tracker'!$E$2:$E$766=$A1101)/('Weekly Tracker'!$O$2:$O$766&lt;&gt;""),'Weekly Tracker'!$O$2:$O$766),"")</f>
        <v/>
      </c>
    </row>
    <row r="1102">
      <c r="A1102" s="9" t="inlineStr">
        <is>
          <t>Vignesh Periyasamy Fb</t>
        </is>
      </c>
      <c r="B1102" s="9" t="inlineStr">
        <is>
          <t>917639543420</t>
        </is>
      </c>
      <c r="C1102" s="9" t="n"/>
      <c r="D1102" s="9" t="n"/>
      <c r="E1102" s="9" t="n"/>
      <c r="F1102" s="9">
        <f>IFERROR(LOOKUP(2,1/('Weekly Tracker'!$E$2:$E$766=$A1102)/('Weekly Tracker'!$F$2:$F$766&lt;&gt;""),'Weekly Tracker'!$F$2:$F$766),"")</f>
        <v/>
      </c>
      <c r="G1102" s="16">
        <f>IF(F1102&lt;&gt;"",LOOKUP(2,1/('Weekly Tracker'!$E$2:$E$766=$A1102)/('Weekly Tracker'!$F$2:$F$766&lt;&gt;""),'Weekly Tracker'!$G$2:$G$766),"")</f>
        <v/>
      </c>
      <c r="H1102" s="9">
        <f>IFERROR(LOOKUP(2,1/('Weekly Tracker'!$E$2:$E$766=$A1102)/('Weekly Tracker'!$H$2:$H$766&lt;&gt;""),'Weekly Tracker'!$H$2:$H$766),"")</f>
        <v/>
      </c>
      <c r="I1102" s="16">
        <f>IF(H1102&lt;&gt;"",LOOKUP(2,1/('Weekly Tracker'!$E$2:$E$766=$A1102)/('Weekly Tracker'!$H$2:$H$766&lt;&gt;""),'Weekly Tracker'!$I$2:$I$766),"")</f>
        <v/>
      </c>
      <c r="J1102" s="9">
        <f>IFERROR(LOOKUP(2,1/('Weekly Tracker'!$E$2:$E$766=$A1102)/('Weekly Tracker'!$J$2:$J$766&lt;&gt;""),'Weekly Tracker'!$J$2:$J$766),"")</f>
        <v/>
      </c>
      <c r="K1102" s="9">
        <f>IFERROR(LOOKUP(2,1/('Weekly Tracker'!$E$2:$E$766=$A1102)/('Weekly Tracker'!$N$2:$N$766&lt;&gt;""),'Weekly Tracker'!$N$2:$N$766),"")</f>
        <v/>
      </c>
      <c r="L1102" s="9">
        <f>IFERROR(LOOKUP(2,1/('Weekly Tracker'!$E$2:$E$766=$A1102)/('Weekly Tracker'!$O$2:$O$766&lt;&gt;""),'Weekly Tracker'!$O$2:$O$766),"")</f>
        <v/>
      </c>
    </row>
    <row r="1103">
      <c r="A1103" s="9" t="inlineStr">
        <is>
          <t>Naveenraj Dharmalingam FB</t>
        </is>
      </c>
      <c r="B1103" s="9" t="inlineStr">
        <is>
          <t>918344575135, 919344872104</t>
        </is>
      </c>
      <c r="C1103" s="9" t="n"/>
      <c r="D1103" s="9" t="n"/>
      <c r="E1103" s="9" t="n"/>
      <c r="F1103" s="9">
        <f>IFERROR(LOOKUP(2,1/('Weekly Tracker'!$E$2:$E$766=$A1103)/('Weekly Tracker'!$F$2:$F$766&lt;&gt;""),'Weekly Tracker'!$F$2:$F$766),"")</f>
        <v/>
      </c>
      <c r="G1103" s="16">
        <f>IF(F1103&lt;&gt;"",LOOKUP(2,1/('Weekly Tracker'!$E$2:$E$766=$A1103)/('Weekly Tracker'!$F$2:$F$766&lt;&gt;""),'Weekly Tracker'!$G$2:$G$766),"")</f>
        <v/>
      </c>
      <c r="H1103" s="9">
        <f>IFERROR(LOOKUP(2,1/('Weekly Tracker'!$E$2:$E$766=$A1103)/('Weekly Tracker'!$H$2:$H$766&lt;&gt;""),'Weekly Tracker'!$H$2:$H$766),"")</f>
        <v/>
      </c>
      <c r="I1103" s="16">
        <f>IF(H1103&lt;&gt;"",LOOKUP(2,1/('Weekly Tracker'!$E$2:$E$766=$A1103)/('Weekly Tracker'!$H$2:$H$766&lt;&gt;""),'Weekly Tracker'!$I$2:$I$766),"")</f>
        <v/>
      </c>
      <c r="J1103" s="9">
        <f>IFERROR(LOOKUP(2,1/('Weekly Tracker'!$E$2:$E$766=$A1103)/('Weekly Tracker'!$J$2:$J$766&lt;&gt;""),'Weekly Tracker'!$J$2:$J$766),"")</f>
        <v/>
      </c>
      <c r="K1103" s="9">
        <f>IFERROR(LOOKUP(2,1/('Weekly Tracker'!$E$2:$E$766=$A1103)/('Weekly Tracker'!$N$2:$N$766&lt;&gt;""),'Weekly Tracker'!$N$2:$N$766),"")</f>
        <v/>
      </c>
      <c r="L1103" s="9">
        <f>IFERROR(LOOKUP(2,1/('Weekly Tracker'!$E$2:$E$766=$A1103)/('Weekly Tracker'!$O$2:$O$766&lt;&gt;""),'Weekly Tracker'!$O$2:$O$766),"")</f>
        <v/>
      </c>
    </row>
    <row r="1104">
      <c r="A1104" s="9" t="inlineStr">
        <is>
          <t>Raja Kutty FB</t>
        </is>
      </c>
      <c r="B1104" s="9" t="inlineStr">
        <is>
          <t>7356648023</t>
        </is>
      </c>
      <c r="C1104" s="9" t="n"/>
      <c r="D1104" s="9" t="n"/>
      <c r="E1104" s="9" t="n"/>
      <c r="F1104" s="9">
        <f>IFERROR(LOOKUP(2,1/('Weekly Tracker'!$E$2:$E$766=$A1104)/('Weekly Tracker'!$F$2:$F$766&lt;&gt;""),'Weekly Tracker'!$F$2:$F$766),"")</f>
        <v/>
      </c>
      <c r="G1104" s="16">
        <f>IF(F1104&lt;&gt;"",LOOKUP(2,1/('Weekly Tracker'!$E$2:$E$766=$A1104)/('Weekly Tracker'!$F$2:$F$766&lt;&gt;""),'Weekly Tracker'!$G$2:$G$766),"")</f>
        <v/>
      </c>
      <c r="H1104" s="9">
        <f>IFERROR(LOOKUP(2,1/('Weekly Tracker'!$E$2:$E$766=$A1104)/('Weekly Tracker'!$H$2:$H$766&lt;&gt;""),'Weekly Tracker'!$H$2:$H$766),"")</f>
        <v/>
      </c>
      <c r="I1104" s="16">
        <f>IF(H1104&lt;&gt;"",LOOKUP(2,1/('Weekly Tracker'!$E$2:$E$766=$A1104)/('Weekly Tracker'!$H$2:$H$766&lt;&gt;""),'Weekly Tracker'!$I$2:$I$766),"")</f>
        <v/>
      </c>
      <c r="J1104" s="9">
        <f>IFERROR(LOOKUP(2,1/('Weekly Tracker'!$E$2:$E$766=$A1104)/('Weekly Tracker'!$J$2:$J$766&lt;&gt;""),'Weekly Tracker'!$J$2:$J$766),"")</f>
        <v/>
      </c>
      <c r="K1104" s="9">
        <f>IFERROR(LOOKUP(2,1/('Weekly Tracker'!$E$2:$E$766=$A1104)/('Weekly Tracker'!$N$2:$N$766&lt;&gt;""),'Weekly Tracker'!$N$2:$N$766),"")</f>
        <v/>
      </c>
      <c r="L1104" s="9">
        <f>IFERROR(LOOKUP(2,1/('Weekly Tracker'!$E$2:$E$766=$A1104)/('Weekly Tracker'!$O$2:$O$766&lt;&gt;""),'Weekly Tracker'!$O$2:$O$766),"")</f>
        <v/>
      </c>
    </row>
    <row r="1105">
      <c r="A1105" s="9" t="inlineStr">
        <is>
          <t>Suresh Urja</t>
        </is>
      </c>
      <c r="B1105" s="9" t="inlineStr">
        <is>
          <t>919894806143</t>
        </is>
      </c>
      <c r="C1105" s="9" t="n"/>
      <c r="D1105" s="9" t="n"/>
      <c r="E1105" s="9" t="n"/>
      <c r="F1105" s="9">
        <f>IFERROR(LOOKUP(2,1/('Weekly Tracker'!$E$2:$E$766=$A1105)/('Weekly Tracker'!$F$2:$F$766&lt;&gt;""),'Weekly Tracker'!$F$2:$F$766),"")</f>
        <v/>
      </c>
      <c r="G1105" s="16">
        <f>IF(F1105&lt;&gt;"",LOOKUP(2,1/('Weekly Tracker'!$E$2:$E$766=$A1105)/('Weekly Tracker'!$F$2:$F$766&lt;&gt;""),'Weekly Tracker'!$G$2:$G$766),"")</f>
        <v/>
      </c>
      <c r="H1105" s="9">
        <f>IFERROR(LOOKUP(2,1/('Weekly Tracker'!$E$2:$E$766=$A1105)/('Weekly Tracker'!$H$2:$H$766&lt;&gt;""),'Weekly Tracker'!$H$2:$H$766),"")</f>
        <v/>
      </c>
      <c r="I1105" s="16">
        <f>IF(H1105&lt;&gt;"",LOOKUP(2,1/('Weekly Tracker'!$E$2:$E$766=$A1105)/('Weekly Tracker'!$H$2:$H$766&lt;&gt;""),'Weekly Tracker'!$I$2:$I$766),"")</f>
        <v/>
      </c>
      <c r="J1105" s="9">
        <f>IFERROR(LOOKUP(2,1/('Weekly Tracker'!$E$2:$E$766=$A1105)/('Weekly Tracker'!$J$2:$J$766&lt;&gt;""),'Weekly Tracker'!$J$2:$J$766),"")</f>
        <v/>
      </c>
      <c r="K1105" s="9">
        <f>IFERROR(LOOKUP(2,1/('Weekly Tracker'!$E$2:$E$766=$A1105)/('Weekly Tracker'!$N$2:$N$766&lt;&gt;""),'Weekly Tracker'!$N$2:$N$766),"")</f>
        <v/>
      </c>
      <c r="L1105" s="9">
        <f>IFERROR(LOOKUP(2,1/('Weekly Tracker'!$E$2:$E$766=$A1105)/('Weekly Tracker'!$O$2:$O$766&lt;&gt;""),'Weekly Tracker'!$O$2:$O$766),"")</f>
        <v/>
      </c>
    </row>
    <row r="1106">
      <c r="A1106" s="9" t="inlineStr">
        <is>
          <t>Sakthi Grp</t>
        </is>
      </c>
      <c r="B1106" s="9" t="inlineStr">
        <is>
          <t>919655458379</t>
        </is>
      </c>
      <c r="C1106" s="9" t="n"/>
      <c r="D1106" s="9" t="n"/>
      <c r="E1106" s="9" t="n"/>
      <c r="F1106" s="9">
        <f>IFERROR(LOOKUP(2,1/('Weekly Tracker'!$E$2:$E$766=$A1106)/('Weekly Tracker'!$F$2:$F$766&lt;&gt;""),'Weekly Tracker'!$F$2:$F$766),"")</f>
        <v/>
      </c>
      <c r="G1106" s="16">
        <f>IF(F1106&lt;&gt;"",LOOKUP(2,1/('Weekly Tracker'!$E$2:$E$766=$A1106)/('Weekly Tracker'!$F$2:$F$766&lt;&gt;""),'Weekly Tracker'!$G$2:$G$766),"")</f>
        <v/>
      </c>
      <c r="H1106" s="9">
        <f>IFERROR(LOOKUP(2,1/('Weekly Tracker'!$E$2:$E$766=$A1106)/('Weekly Tracker'!$H$2:$H$766&lt;&gt;""),'Weekly Tracker'!$H$2:$H$766),"")</f>
        <v/>
      </c>
      <c r="I1106" s="16">
        <f>IF(H1106&lt;&gt;"",LOOKUP(2,1/('Weekly Tracker'!$E$2:$E$766=$A1106)/('Weekly Tracker'!$H$2:$H$766&lt;&gt;""),'Weekly Tracker'!$I$2:$I$766),"")</f>
        <v/>
      </c>
      <c r="J1106" s="9">
        <f>IFERROR(LOOKUP(2,1/('Weekly Tracker'!$E$2:$E$766=$A1106)/('Weekly Tracker'!$J$2:$J$766&lt;&gt;""),'Weekly Tracker'!$J$2:$J$766),"")</f>
        <v/>
      </c>
      <c r="K1106" s="9">
        <f>IFERROR(LOOKUP(2,1/('Weekly Tracker'!$E$2:$E$766=$A1106)/('Weekly Tracker'!$N$2:$N$766&lt;&gt;""),'Weekly Tracker'!$N$2:$N$766),"")</f>
        <v/>
      </c>
      <c r="L1106" s="9">
        <f>IFERROR(LOOKUP(2,1/('Weekly Tracker'!$E$2:$E$766=$A1106)/('Weekly Tracker'!$O$2:$O$766&lt;&gt;""),'Weekly Tracker'!$O$2:$O$766),"")</f>
        <v/>
      </c>
    </row>
    <row r="1107">
      <c r="A1107" s="9" t="inlineStr">
        <is>
          <t>Balaji Urja</t>
        </is>
      </c>
      <c r="B1107" s="9" t="inlineStr">
        <is>
          <t>919551432538</t>
        </is>
      </c>
      <c r="C1107" s="9" t="n"/>
      <c r="D1107" s="9" t="n"/>
      <c r="E1107" s="9" t="n"/>
      <c r="F1107" s="9">
        <f>IFERROR(LOOKUP(2,1/('Weekly Tracker'!$E$2:$E$766=$A1107)/('Weekly Tracker'!$F$2:$F$766&lt;&gt;""),'Weekly Tracker'!$F$2:$F$766),"")</f>
        <v/>
      </c>
      <c r="G1107" s="16">
        <f>IF(F1107&lt;&gt;"",LOOKUP(2,1/('Weekly Tracker'!$E$2:$E$766=$A1107)/('Weekly Tracker'!$F$2:$F$766&lt;&gt;""),'Weekly Tracker'!$G$2:$G$766),"")</f>
        <v/>
      </c>
      <c r="H1107" s="9">
        <f>IFERROR(LOOKUP(2,1/('Weekly Tracker'!$E$2:$E$766=$A1107)/('Weekly Tracker'!$H$2:$H$766&lt;&gt;""),'Weekly Tracker'!$H$2:$H$766),"")</f>
        <v/>
      </c>
      <c r="I1107" s="16">
        <f>IF(H1107&lt;&gt;"",LOOKUP(2,1/('Weekly Tracker'!$E$2:$E$766=$A1107)/('Weekly Tracker'!$H$2:$H$766&lt;&gt;""),'Weekly Tracker'!$I$2:$I$766),"")</f>
        <v/>
      </c>
      <c r="J1107" s="9">
        <f>IFERROR(LOOKUP(2,1/('Weekly Tracker'!$E$2:$E$766=$A1107)/('Weekly Tracker'!$J$2:$J$766&lt;&gt;""),'Weekly Tracker'!$J$2:$J$766),"")</f>
        <v/>
      </c>
      <c r="K1107" s="9">
        <f>IFERROR(LOOKUP(2,1/('Weekly Tracker'!$E$2:$E$766=$A1107)/('Weekly Tracker'!$N$2:$N$766&lt;&gt;""),'Weekly Tracker'!$N$2:$N$766),"")</f>
        <v/>
      </c>
      <c r="L1107" s="9">
        <f>IFERROR(LOOKUP(2,1/('Weekly Tracker'!$E$2:$E$766=$A1107)/('Weekly Tracker'!$O$2:$O$766&lt;&gt;""),'Weekly Tracker'!$O$2:$O$766),"")</f>
        <v/>
      </c>
    </row>
    <row r="1108">
      <c r="A1108" s="9" t="inlineStr">
        <is>
          <t>Vimal Raj Junior FB</t>
        </is>
      </c>
      <c r="B1108" s="9" t="inlineStr">
        <is>
          <t>+91 95787 54033</t>
        </is>
      </c>
      <c r="C1108" s="9" t="n"/>
      <c r="D1108" s="9" t="n"/>
      <c r="E1108" s="9" t="n"/>
      <c r="F1108" s="9">
        <f>IFERROR(LOOKUP(2,1/('Weekly Tracker'!$E$2:$E$766=$A1108)/('Weekly Tracker'!$F$2:$F$766&lt;&gt;""),'Weekly Tracker'!$F$2:$F$766),"")</f>
        <v/>
      </c>
      <c r="G1108" s="16">
        <f>IF(F1108&lt;&gt;"",LOOKUP(2,1/('Weekly Tracker'!$E$2:$E$766=$A1108)/('Weekly Tracker'!$F$2:$F$766&lt;&gt;""),'Weekly Tracker'!$G$2:$G$766),"")</f>
        <v/>
      </c>
      <c r="H1108" s="9">
        <f>IFERROR(LOOKUP(2,1/('Weekly Tracker'!$E$2:$E$766=$A1108)/('Weekly Tracker'!$H$2:$H$766&lt;&gt;""),'Weekly Tracker'!$H$2:$H$766),"")</f>
        <v/>
      </c>
      <c r="I1108" s="16">
        <f>IF(H1108&lt;&gt;"",LOOKUP(2,1/('Weekly Tracker'!$E$2:$E$766=$A1108)/('Weekly Tracker'!$H$2:$H$766&lt;&gt;""),'Weekly Tracker'!$I$2:$I$766),"")</f>
        <v/>
      </c>
      <c r="J1108" s="9">
        <f>IFERROR(LOOKUP(2,1/('Weekly Tracker'!$E$2:$E$766=$A1108)/('Weekly Tracker'!$J$2:$J$766&lt;&gt;""),'Weekly Tracker'!$J$2:$J$766),"")</f>
        <v/>
      </c>
      <c r="K1108" s="9">
        <f>IFERROR(LOOKUP(2,1/('Weekly Tracker'!$E$2:$E$766=$A1108)/('Weekly Tracker'!$N$2:$N$766&lt;&gt;""),'Weekly Tracker'!$N$2:$N$766),"")</f>
        <v/>
      </c>
      <c r="L1108" s="9">
        <f>IFERROR(LOOKUP(2,1/('Weekly Tracker'!$E$2:$E$766=$A1108)/('Weekly Tracker'!$O$2:$O$766&lt;&gt;""),'Weekly Tracker'!$O$2:$O$766),"")</f>
        <v/>
      </c>
    </row>
    <row r="1109">
      <c r="A1109" s="9" t="inlineStr">
        <is>
          <t>Muthu Kumar SS Scl</t>
        </is>
      </c>
      <c r="B1109" s="9" t="inlineStr">
        <is>
          <t>919360822995, 919629465964</t>
        </is>
      </c>
      <c r="C1109" s="9" t="n"/>
      <c r="D1109" s="9" t="n"/>
      <c r="E1109" s="9" t="n"/>
      <c r="F1109" s="9">
        <f>IFERROR(LOOKUP(2,1/('Weekly Tracker'!$E$2:$E$766=$A1109)/('Weekly Tracker'!$F$2:$F$766&lt;&gt;""),'Weekly Tracker'!$F$2:$F$766),"")</f>
        <v/>
      </c>
      <c r="G1109" s="16">
        <f>IF(F1109&lt;&gt;"",LOOKUP(2,1/('Weekly Tracker'!$E$2:$E$766=$A1109)/('Weekly Tracker'!$F$2:$F$766&lt;&gt;""),'Weekly Tracker'!$G$2:$G$766),"")</f>
        <v/>
      </c>
      <c r="H1109" s="9">
        <f>IFERROR(LOOKUP(2,1/('Weekly Tracker'!$E$2:$E$766=$A1109)/('Weekly Tracker'!$H$2:$H$766&lt;&gt;""),'Weekly Tracker'!$H$2:$H$766),"")</f>
        <v/>
      </c>
      <c r="I1109" s="16">
        <f>IF(H1109&lt;&gt;"",LOOKUP(2,1/('Weekly Tracker'!$E$2:$E$766=$A1109)/('Weekly Tracker'!$H$2:$H$766&lt;&gt;""),'Weekly Tracker'!$I$2:$I$766),"")</f>
        <v/>
      </c>
      <c r="J1109" s="9">
        <f>IFERROR(LOOKUP(2,1/('Weekly Tracker'!$E$2:$E$766=$A1109)/('Weekly Tracker'!$J$2:$J$766&lt;&gt;""),'Weekly Tracker'!$J$2:$J$766),"")</f>
        <v/>
      </c>
      <c r="K1109" s="9">
        <f>IFERROR(LOOKUP(2,1/('Weekly Tracker'!$E$2:$E$766=$A1109)/('Weekly Tracker'!$N$2:$N$766&lt;&gt;""),'Weekly Tracker'!$N$2:$N$766),"")</f>
        <v/>
      </c>
      <c r="L1109" s="9">
        <f>IFERROR(LOOKUP(2,1/('Weekly Tracker'!$E$2:$E$766=$A1109)/('Weekly Tracker'!$O$2:$O$766&lt;&gt;""),'Weekly Tracker'!$O$2:$O$766),"")</f>
        <v/>
      </c>
    </row>
    <row r="1110">
      <c r="A1110" s="9" t="inlineStr">
        <is>
          <t>Pravin Kumar Grp ucen</t>
        </is>
      </c>
      <c r="B1110" s="9" t="inlineStr">
        <is>
          <t>918220353043</t>
        </is>
      </c>
      <c r="C1110" s="9" t="n"/>
      <c r="D1110" s="9" t="n"/>
      <c r="E1110" s="9" t="n"/>
      <c r="F1110" s="9">
        <f>IFERROR(LOOKUP(2,1/('Weekly Tracker'!$E$2:$E$766=$A1110)/('Weekly Tracker'!$F$2:$F$766&lt;&gt;""),'Weekly Tracker'!$F$2:$F$766),"")</f>
        <v/>
      </c>
      <c r="G1110" s="16">
        <f>IF(F1110&lt;&gt;"",LOOKUP(2,1/('Weekly Tracker'!$E$2:$E$766=$A1110)/('Weekly Tracker'!$F$2:$F$766&lt;&gt;""),'Weekly Tracker'!$G$2:$G$766),"")</f>
        <v/>
      </c>
      <c r="H1110" s="9">
        <f>IFERROR(LOOKUP(2,1/('Weekly Tracker'!$E$2:$E$766=$A1110)/('Weekly Tracker'!$H$2:$H$766&lt;&gt;""),'Weekly Tracker'!$H$2:$H$766),"")</f>
        <v/>
      </c>
      <c r="I1110" s="16">
        <f>IF(H1110&lt;&gt;"",LOOKUP(2,1/('Weekly Tracker'!$E$2:$E$766=$A1110)/('Weekly Tracker'!$H$2:$H$766&lt;&gt;""),'Weekly Tracker'!$I$2:$I$766),"")</f>
        <v/>
      </c>
      <c r="J1110" s="9">
        <f>IFERROR(LOOKUP(2,1/('Weekly Tracker'!$E$2:$E$766=$A1110)/('Weekly Tracker'!$J$2:$J$766&lt;&gt;""),'Weekly Tracker'!$J$2:$J$766),"")</f>
        <v/>
      </c>
      <c r="K1110" s="9">
        <f>IFERROR(LOOKUP(2,1/('Weekly Tracker'!$E$2:$E$766=$A1110)/('Weekly Tracker'!$N$2:$N$766&lt;&gt;""),'Weekly Tracker'!$N$2:$N$766),"")</f>
        <v/>
      </c>
      <c r="L1110" s="9">
        <f>IFERROR(LOOKUP(2,1/('Weekly Tracker'!$E$2:$E$766=$A1110)/('Weekly Tracker'!$O$2:$O$766&lt;&gt;""),'Weekly Tracker'!$O$2:$O$766),"")</f>
        <v/>
      </c>
    </row>
    <row r="1111">
      <c r="A1111" s="9" t="inlineStr">
        <is>
          <t>Ramasubramanian Mano Insta</t>
        </is>
      </c>
      <c r="B1111" s="9" t="inlineStr">
        <is>
          <t>919629379227</t>
        </is>
      </c>
      <c r="C1111" s="9" t="n"/>
      <c r="D1111" s="9" t="n"/>
      <c r="E1111" s="9" t="n"/>
      <c r="F1111" s="9">
        <f>IFERROR(LOOKUP(2,1/('Weekly Tracker'!$E$2:$E$766=$A1111)/('Weekly Tracker'!$F$2:$F$766&lt;&gt;""),'Weekly Tracker'!$F$2:$F$766),"")</f>
        <v/>
      </c>
      <c r="G1111" s="16">
        <f>IF(F1111&lt;&gt;"",LOOKUP(2,1/('Weekly Tracker'!$E$2:$E$766=$A1111)/('Weekly Tracker'!$F$2:$F$766&lt;&gt;""),'Weekly Tracker'!$G$2:$G$766),"")</f>
        <v/>
      </c>
      <c r="H1111" s="9">
        <f>IFERROR(LOOKUP(2,1/('Weekly Tracker'!$E$2:$E$766=$A1111)/('Weekly Tracker'!$H$2:$H$766&lt;&gt;""),'Weekly Tracker'!$H$2:$H$766),"")</f>
        <v/>
      </c>
      <c r="I1111" s="16">
        <f>IF(H1111&lt;&gt;"",LOOKUP(2,1/('Weekly Tracker'!$E$2:$E$766=$A1111)/('Weekly Tracker'!$H$2:$H$766&lt;&gt;""),'Weekly Tracker'!$I$2:$I$766),"")</f>
        <v/>
      </c>
      <c r="J1111" s="9">
        <f>IFERROR(LOOKUP(2,1/('Weekly Tracker'!$E$2:$E$766=$A1111)/('Weekly Tracker'!$J$2:$J$766&lt;&gt;""),'Weekly Tracker'!$J$2:$J$766),"")</f>
        <v/>
      </c>
      <c r="K1111" s="9">
        <f>IFERROR(LOOKUP(2,1/('Weekly Tracker'!$E$2:$E$766=$A1111)/('Weekly Tracker'!$N$2:$N$766&lt;&gt;""),'Weekly Tracker'!$N$2:$N$766),"")</f>
        <v/>
      </c>
      <c r="L1111" s="9">
        <f>IFERROR(LOOKUP(2,1/('Weekly Tracker'!$E$2:$E$766=$A1111)/('Weekly Tracker'!$O$2:$O$766&lt;&gt;""),'Weekly Tracker'!$O$2:$O$766),"")</f>
        <v/>
      </c>
    </row>
    <row r="1112">
      <c r="A1112" s="9" t="inlineStr">
        <is>
          <t>Fathima Haanim Grp</t>
        </is>
      </c>
      <c r="B1112" s="9" t="inlineStr">
        <is>
          <t>919944415684</t>
        </is>
      </c>
      <c r="C1112" s="9" t="n"/>
      <c r="D1112" s="9" t="n"/>
      <c r="E1112" s="9" t="n"/>
      <c r="F1112" s="9">
        <f>IFERROR(LOOKUP(2,1/('Weekly Tracker'!$E$2:$E$766=$A1112)/('Weekly Tracker'!$F$2:$F$766&lt;&gt;""),'Weekly Tracker'!$F$2:$F$766),"")</f>
        <v/>
      </c>
      <c r="G1112" s="16">
        <f>IF(F1112&lt;&gt;"",LOOKUP(2,1/('Weekly Tracker'!$E$2:$E$766=$A1112)/('Weekly Tracker'!$F$2:$F$766&lt;&gt;""),'Weekly Tracker'!$G$2:$G$766),"")</f>
        <v/>
      </c>
      <c r="H1112" s="9">
        <f>IFERROR(LOOKUP(2,1/('Weekly Tracker'!$E$2:$E$766=$A1112)/('Weekly Tracker'!$H$2:$H$766&lt;&gt;""),'Weekly Tracker'!$H$2:$H$766),"")</f>
        <v/>
      </c>
      <c r="I1112" s="16">
        <f>IF(H1112&lt;&gt;"",LOOKUP(2,1/('Weekly Tracker'!$E$2:$E$766=$A1112)/('Weekly Tracker'!$H$2:$H$766&lt;&gt;""),'Weekly Tracker'!$I$2:$I$766),"")</f>
        <v/>
      </c>
      <c r="J1112" s="9">
        <f>IFERROR(LOOKUP(2,1/('Weekly Tracker'!$E$2:$E$766=$A1112)/('Weekly Tracker'!$J$2:$J$766&lt;&gt;""),'Weekly Tracker'!$J$2:$J$766),"")</f>
        <v/>
      </c>
      <c r="K1112" s="9">
        <f>IFERROR(LOOKUP(2,1/('Weekly Tracker'!$E$2:$E$766=$A1112)/('Weekly Tracker'!$N$2:$N$766&lt;&gt;""),'Weekly Tracker'!$N$2:$N$766),"")</f>
        <v/>
      </c>
      <c r="L1112" s="9">
        <f>IFERROR(LOOKUP(2,1/('Weekly Tracker'!$E$2:$E$766=$A1112)/('Weekly Tracker'!$O$2:$O$766&lt;&gt;""),'Weekly Tracker'!$O$2:$O$766),"")</f>
        <v/>
      </c>
    </row>
    <row r="1113">
      <c r="A1113" s="9" t="inlineStr">
        <is>
          <t>Bala Prabha FB</t>
        </is>
      </c>
      <c r="B1113" s="9" t="inlineStr">
        <is>
          <t>73588 13484</t>
        </is>
      </c>
      <c r="C1113" s="9" t="n"/>
      <c r="D1113" s="9" t="n"/>
      <c r="E1113" s="9" t="n"/>
      <c r="F1113" s="9">
        <f>IFERROR(LOOKUP(2,1/('Weekly Tracker'!$E$2:$E$766=$A1113)/('Weekly Tracker'!$F$2:$F$766&lt;&gt;""),'Weekly Tracker'!$F$2:$F$766),"")</f>
        <v/>
      </c>
      <c r="G1113" s="16">
        <f>IF(F1113&lt;&gt;"",LOOKUP(2,1/('Weekly Tracker'!$E$2:$E$766=$A1113)/('Weekly Tracker'!$F$2:$F$766&lt;&gt;""),'Weekly Tracker'!$G$2:$G$766),"")</f>
        <v/>
      </c>
      <c r="H1113" s="9">
        <f>IFERROR(LOOKUP(2,1/('Weekly Tracker'!$E$2:$E$766=$A1113)/('Weekly Tracker'!$H$2:$H$766&lt;&gt;""),'Weekly Tracker'!$H$2:$H$766),"")</f>
        <v/>
      </c>
      <c r="I1113" s="16">
        <f>IF(H1113&lt;&gt;"",LOOKUP(2,1/('Weekly Tracker'!$E$2:$E$766=$A1113)/('Weekly Tracker'!$H$2:$H$766&lt;&gt;""),'Weekly Tracker'!$I$2:$I$766),"")</f>
        <v/>
      </c>
      <c r="J1113" s="9">
        <f>IFERROR(LOOKUP(2,1/('Weekly Tracker'!$E$2:$E$766=$A1113)/('Weekly Tracker'!$J$2:$J$766&lt;&gt;""),'Weekly Tracker'!$J$2:$J$766),"")</f>
        <v/>
      </c>
      <c r="K1113" s="9">
        <f>IFERROR(LOOKUP(2,1/('Weekly Tracker'!$E$2:$E$766=$A1113)/('Weekly Tracker'!$N$2:$N$766&lt;&gt;""),'Weekly Tracker'!$N$2:$N$766),"")</f>
        <v/>
      </c>
      <c r="L1113" s="9">
        <f>IFERROR(LOOKUP(2,1/('Weekly Tracker'!$E$2:$E$766=$A1113)/('Weekly Tracker'!$O$2:$O$766&lt;&gt;""),'Weekly Tracker'!$O$2:$O$766),"")</f>
        <v/>
      </c>
    </row>
    <row r="1114">
      <c r="A1114" s="9" t="inlineStr">
        <is>
          <t>Omnitya Urja</t>
        </is>
      </c>
      <c r="B1114" s="9" t="inlineStr">
        <is>
          <t>917845466785</t>
        </is>
      </c>
      <c r="C1114" s="9" t="n"/>
      <c r="D1114" s="9" t="n"/>
      <c r="E1114" s="9" t="n"/>
      <c r="F1114" s="9">
        <f>IFERROR(LOOKUP(2,1/('Weekly Tracker'!$E$2:$E$766=$A1114)/('Weekly Tracker'!$F$2:$F$766&lt;&gt;""),'Weekly Tracker'!$F$2:$F$766),"")</f>
        <v/>
      </c>
      <c r="G1114" s="16">
        <f>IF(F1114&lt;&gt;"",LOOKUP(2,1/('Weekly Tracker'!$E$2:$E$766=$A1114)/('Weekly Tracker'!$F$2:$F$766&lt;&gt;""),'Weekly Tracker'!$G$2:$G$766),"")</f>
        <v/>
      </c>
      <c r="H1114" s="9">
        <f>IFERROR(LOOKUP(2,1/('Weekly Tracker'!$E$2:$E$766=$A1114)/('Weekly Tracker'!$H$2:$H$766&lt;&gt;""),'Weekly Tracker'!$H$2:$H$766),"")</f>
        <v/>
      </c>
      <c r="I1114" s="16">
        <f>IF(H1114&lt;&gt;"",LOOKUP(2,1/('Weekly Tracker'!$E$2:$E$766=$A1114)/('Weekly Tracker'!$H$2:$H$766&lt;&gt;""),'Weekly Tracker'!$I$2:$I$766),"")</f>
        <v/>
      </c>
      <c r="J1114" s="9">
        <f>IFERROR(LOOKUP(2,1/('Weekly Tracker'!$E$2:$E$766=$A1114)/('Weekly Tracker'!$J$2:$J$766&lt;&gt;""),'Weekly Tracker'!$J$2:$J$766),"")</f>
        <v/>
      </c>
      <c r="K1114" s="9">
        <f>IFERROR(LOOKUP(2,1/('Weekly Tracker'!$E$2:$E$766=$A1114)/('Weekly Tracker'!$N$2:$N$766&lt;&gt;""),'Weekly Tracker'!$N$2:$N$766),"")</f>
        <v/>
      </c>
      <c r="L1114" s="9">
        <f>IFERROR(LOOKUP(2,1/('Weekly Tracker'!$E$2:$E$766=$A1114)/('Weekly Tracker'!$O$2:$O$766&lt;&gt;""),'Weekly Tracker'!$O$2:$O$766),"")</f>
        <v/>
      </c>
    </row>
    <row r="1115">
      <c r="A1115" s="9" t="inlineStr">
        <is>
          <t>Raja Durai NDLF</t>
        </is>
      </c>
      <c r="B1115" s="9" t="inlineStr">
        <is>
          <t>918939943383</t>
        </is>
      </c>
      <c r="C1115" s="9" t="n"/>
      <c r="D1115" s="9" t="n"/>
      <c r="E1115" s="9" t="n"/>
      <c r="F1115" s="9">
        <f>IFERROR(LOOKUP(2,1/('Weekly Tracker'!$E$2:$E$766=$A1115)/('Weekly Tracker'!$F$2:$F$766&lt;&gt;""),'Weekly Tracker'!$F$2:$F$766),"")</f>
        <v/>
      </c>
      <c r="G1115" s="16">
        <f>IF(F1115&lt;&gt;"",LOOKUP(2,1/('Weekly Tracker'!$E$2:$E$766=$A1115)/('Weekly Tracker'!$F$2:$F$766&lt;&gt;""),'Weekly Tracker'!$G$2:$G$766),"")</f>
        <v/>
      </c>
      <c r="H1115" s="9">
        <f>IFERROR(LOOKUP(2,1/('Weekly Tracker'!$E$2:$E$766=$A1115)/('Weekly Tracker'!$H$2:$H$766&lt;&gt;""),'Weekly Tracker'!$H$2:$H$766),"")</f>
        <v/>
      </c>
      <c r="I1115" s="16">
        <f>IF(H1115&lt;&gt;"",LOOKUP(2,1/('Weekly Tracker'!$E$2:$E$766=$A1115)/('Weekly Tracker'!$H$2:$H$766&lt;&gt;""),'Weekly Tracker'!$I$2:$I$766),"")</f>
        <v/>
      </c>
      <c r="J1115" s="9">
        <f>IFERROR(LOOKUP(2,1/('Weekly Tracker'!$E$2:$E$766=$A1115)/('Weekly Tracker'!$J$2:$J$766&lt;&gt;""),'Weekly Tracker'!$J$2:$J$766),"")</f>
        <v/>
      </c>
      <c r="K1115" s="9">
        <f>IFERROR(LOOKUP(2,1/('Weekly Tracker'!$E$2:$E$766=$A1115)/('Weekly Tracker'!$N$2:$N$766&lt;&gt;""),'Weekly Tracker'!$N$2:$N$766),"")</f>
        <v/>
      </c>
      <c r="L1115" s="9">
        <f>IFERROR(LOOKUP(2,1/('Weekly Tracker'!$E$2:$E$766=$A1115)/('Weekly Tracker'!$O$2:$O$766&lt;&gt;""),'Weekly Tracker'!$O$2:$O$766),"")</f>
        <v/>
      </c>
    </row>
    <row r="1116">
      <c r="A1116" s="9" t="inlineStr">
        <is>
          <t>Padma Kumar FB</t>
        </is>
      </c>
      <c r="B1116" s="9" t="inlineStr">
        <is>
          <t>918838993978, 919092288116</t>
        </is>
      </c>
      <c r="C1116" s="9" t="n"/>
      <c r="D1116" s="9" t="n"/>
      <c r="E1116" s="9" t="n"/>
      <c r="F1116" s="9">
        <f>IFERROR(LOOKUP(2,1/('Weekly Tracker'!$E$2:$E$766=$A1116)/('Weekly Tracker'!$F$2:$F$766&lt;&gt;""),'Weekly Tracker'!$F$2:$F$766),"")</f>
        <v/>
      </c>
      <c r="G1116" s="16">
        <f>IF(F1116&lt;&gt;"",LOOKUP(2,1/('Weekly Tracker'!$E$2:$E$766=$A1116)/('Weekly Tracker'!$F$2:$F$766&lt;&gt;""),'Weekly Tracker'!$G$2:$G$766),"")</f>
        <v/>
      </c>
      <c r="H1116" s="9">
        <f>IFERROR(LOOKUP(2,1/('Weekly Tracker'!$E$2:$E$766=$A1116)/('Weekly Tracker'!$H$2:$H$766&lt;&gt;""),'Weekly Tracker'!$H$2:$H$766),"")</f>
        <v/>
      </c>
      <c r="I1116" s="16">
        <f>IF(H1116&lt;&gt;"",LOOKUP(2,1/('Weekly Tracker'!$E$2:$E$766=$A1116)/('Weekly Tracker'!$H$2:$H$766&lt;&gt;""),'Weekly Tracker'!$I$2:$I$766),"")</f>
        <v/>
      </c>
      <c r="J1116" s="9">
        <f>IFERROR(LOOKUP(2,1/('Weekly Tracker'!$E$2:$E$766=$A1116)/('Weekly Tracker'!$J$2:$J$766&lt;&gt;""),'Weekly Tracker'!$J$2:$J$766),"")</f>
        <v/>
      </c>
      <c r="K1116" s="9">
        <f>IFERROR(LOOKUP(2,1/('Weekly Tracker'!$E$2:$E$766=$A1116)/('Weekly Tracker'!$N$2:$N$766&lt;&gt;""),'Weekly Tracker'!$N$2:$N$766),"")</f>
        <v/>
      </c>
      <c r="L1116" s="9">
        <f>IFERROR(LOOKUP(2,1/('Weekly Tracker'!$E$2:$E$766=$A1116)/('Weekly Tracker'!$O$2:$O$766&lt;&gt;""),'Weekly Tracker'!$O$2:$O$766),"")</f>
        <v/>
      </c>
    </row>
    <row r="1117">
      <c r="A1117" s="9" t="inlineStr">
        <is>
          <t>Samuvel FB</t>
        </is>
      </c>
      <c r="B1117" s="9" t="inlineStr">
        <is>
          <t>6380094952</t>
        </is>
      </c>
      <c r="C1117" s="9" t="n"/>
      <c r="D1117" s="9" t="n"/>
      <c r="E1117" s="9" t="n"/>
      <c r="F1117" s="9">
        <f>IFERROR(LOOKUP(2,1/('Weekly Tracker'!$E$2:$E$766=$A1117)/('Weekly Tracker'!$F$2:$F$766&lt;&gt;""),'Weekly Tracker'!$F$2:$F$766),"")</f>
        <v/>
      </c>
      <c r="G1117" s="16">
        <f>IF(F1117&lt;&gt;"",LOOKUP(2,1/('Weekly Tracker'!$E$2:$E$766=$A1117)/('Weekly Tracker'!$F$2:$F$766&lt;&gt;""),'Weekly Tracker'!$G$2:$G$766),"")</f>
        <v/>
      </c>
      <c r="H1117" s="9">
        <f>IFERROR(LOOKUP(2,1/('Weekly Tracker'!$E$2:$E$766=$A1117)/('Weekly Tracker'!$H$2:$H$766&lt;&gt;""),'Weekly Tracker'!$H$2:$H$766),"")</f>
        <v/>
      </c>
      <c r="I1117" s="16">
        <f>IF(H1117&lt;&gt;"",LOOKUP(2,1/('Weekly Tracker'!$E$2:$E$766=$A1117)/('Weekly Tracker'!$H$2:$H$766&lt;&gt;""),'Weekly Tracker'!$I$2:$I$766),"")</f>
        <v/>
      </c>
      <c r="J1117" s="9">
        <f>IFERROR(LOOKUP(2,1/('Weekly Tracker'!$E$2:$E$766=$A1117)/('Weekly Tracker'!$J$2:$J$766&lt;&gt;""),'Weekly Tracker'!$J$2:$J$766),"")</f>
        <v/>
      </c>
      <c r="K1117" s="9">
        <f>IFERROR(LOOKUP(2,1/('Weekly Tracker'!$E$2:$E$766=$A1117)/('Weekly Tracker'!$N$2:$N$766&lt;&gt;""),'Weekly Tracker'!$N$2:$N$766),"")</f>
        <v/>
      </c>
      <c r="L1117" s="9">
        <f>IFERROR(LOOKUP(2,1/('Weekly Tracker'!$E$2:$E$766=$A1117)/('Weekly Tracker'!$O$2:$O$766&lt;&gt;""),'Weekly Tracker'!$O$2:$O$766),"")</f>
        <v/>
      </c>
    </row>
    <row r="1118">
      <c r="A1118" s="9" t="inlineStr">
        <is>
          <t>Parsana jun. qs</t>
        </is>
      </c>
      <c r="B1118" s="9" t="inlineStr">
        <is>
          <t>918015205773</t>
        </is>
      </c>
      <c r="C1118" s="9" t="n"/>
      <c r="D1118" s="9" t="n"/>
      <c r="E1118" s="9" t="n"/>
      <c r="F1118" s="9">
        <f>IFERROR(LOOKUP(2,1/('Weekly Tracker'!$E$2:$E$766=$A1118)/('Weekly Tracker'!$F$2:$F$766&lt;&gt;""),'Weekly Tracker'!$F$2:$F$766),"")</f>
        <v/>
      </c>
      <c r="G1118" s="16">
        <f>IF(F1118&lt;&gt;"",LOOKUP(2,1/('Weekly Tracker'!$E$2:$E$766=$A1118)/('Weekly Tracker'!$F$2:$F$766&lt;&gt;""),'Weekly Tracker'!$G$2:$G$766),"")</f>
        <v/>
      </c>
      <c r="H1118" s="9">
        <f>IFERROR(LOOKUP(2,1/('Weekly Tracker'!$E$2:$E$766=$A1118)/('Weekly Tracker'!$H$2:$H$766&lt;&gt;""),'Weekly Tracker'!$H$2:$H$766),"")</f>
        <v/>
      </c>
      <c r="I1118" s="16">
        <f>IF(H1118&lt;&gt;"",LOOKUP(2,1/('Weekly Tracker'!$E$2:$E$766=$A1118)/('Weekly Tracker'!$H$2:$H$766&lt;&gt;""),'Weekly Tracker'!$I$2:$I$766),"")</f>
        <v/>
      </c>
      <c r="J1118" s="9">
        <f>IFERROR(LOOKUP(2,1/('Weekly Tracker'!$E$2:$E$766=$A1118)/('Weekly Tracker'!$J$2:$J$766&lt;&gt;""),'Weekly Tracker'!$J$2:$J$766),"")</f>
        <v/>
      </c>
      <c r="K1118" s="9">
        <f>IFERROR(LOOKUP(2,1/('Weekly Tracker'!$E$2:$E$766=$A1118)/('Weekly Tracker'!$N$2:$N$766&lt;&gt;""),'Weekly Tracker'!$N$2:$N$766),"")</f>
        <v/>
      </c>
      <c r="L1118" s="9">
        <f>IFERROR(LOOKUP(2,1/('Weekly Tracker'!$E$2:$E$766=$A1118)/('Weekly Tracker'!$O$2:$O$766&lt;&gt;""),'Weekly Tracker'!$O$2:$O$766),"")</f>
        <v/>
      </c>
    </row>
    <row r="1119">
      <c r="A1119" s="9" t="inlineStr">
        <is>
          <t>Sailendra Urja</t>
        </is>
      </c>
      <c r="B1119" s="9" t="inlineStr">
        <is>
          <t>919866622021</t>
        </is>
      </c>
      <c r="C1119" s="9" t="n"/>
      <c r="D1119" s="9" t="n"/>
      <c r="E1119" s="9" t="n"/>
      <c r="F1119" s="9">
        <f>IFERROR(LOOKUP(2,1/('Weekly Tracker'!$E$2:$E$766=$A1119)/('Weekly Tracker'!$F$2:$F$766&lt;&gt;""),'Weekly Tracker'!$F$2:$F$766),"")</f>
        <v/>
      </c>
      <c r="G1119" s="16">
        <f>IF(F1119&lt;&gt;"",LOOKUP(2,1/('Weekly Tracker'!$E$2:$E$766=$A1119)/('Weekly Tracker'!$F$2:$F$766&lt;&gt;""),'Weekly Tracker'!$G$2:$G$766),"")</f>
        <v/>
      </c>
      <c r="H1119" s="9">
        <f>IFERROR(LOOKUP(2,1/('Weekly Tracker'!$E$2:$E$766=$A1119)/('Weekly Tracker'!$H$2:$H$766&lt;&gt;""),'Weekly Tracker'!$H$2:$H$766),"")</f>
        <v/>
      </c>
      <c r="I1119" s="16">
        <f>IF(H1119&lt;&gt;"",LOOKUP(2,1/('Weekly Tracker'!$E$2:$E$766=$A1119)/('Weekly Tracker'!$H$2:$H$766&lt;&gt;""),'Weekly Tracker'!$I$2:$I$766),"")</f>
        <v/>
      </c>
      <c r="J1119" s="9">
        <f>IFERROR(LOOKUP(2,1/('Weekly Tracker'!$E$2:$E$766=$A1119)/('Weekly Tracker'!$J$2:$J$766&lt;&gt;""),'Weekly Tracker'!$J$2:$J$766),"")</f>
        <v/>
      </c>
      <c r="K1119" s="9">
        <f>IFERROR(LOOKUP(2,1/('Weekly Tracker'!$E$2:$E$766=$A1119)/('Weekly Tracker'!$N$2:$N$766&lt;&gt;""),'Weekly Tracker'!$N$2:$N$766),"")</f>
        <v/>
      </c>
      <c r="L1119" s="9">
        <f>IFERROR(LOOKUP(2,1/('Weekly Tracker'!$E$2:$E$766=$A1119)/('Weekly Tracker'!$O$2:$O$766&lt;&gt;""),'Weekly Tracker'!$O$2:$O$766),"")</f>
        <v/>
      </c>
    </row>
    <row r="1120">
      <c r="A1120" s="9" t="inlineStr">
        <is>
          <t>Gnanam Prakash FB</t>
        </is>
      </c>
      <c r="B1120" s="9" t="inlineStr">
        <is>
          <t>919751693625</t>
        </is>
      </c>
      <c r="C1120" s="9" t="n"/>
      <c r="D1120" s="9" t="n"/>
      <c r="E1120" s="9" t="n"/>
      <c r="F1120" s="9">
        <f>IFERROR(LOOKUP(2,1/('Weekly Tracker'!$E$2:$E$766=$A1120)/('Weekly Tracker'!$F$2:$F$766&lt;&gt;""),'Weekly Tracker'!$F$2:$F$766),"")</f>
        <v/>
      </c>
      <c r="G1120" s="16">
        <f>IF(F1120&lt;&gt;"",LOOKUP(2,1/('Weekly Tracker'!$E$2:$E$766=$A1120)/('Weekly Tracker'!$F$2:$F$766&lt;&gt;""),'Weekly Tracker'!$G$2:$G$766),"")</f>
        <v/>
      </c>
      <c r="H1120" s="9">
        <f>IFERROR(LOOKUP(2,1/('Weekly Tracker'!$E$2:$E$766=$A1120)/('Weekly Tracker'!$H$2:$H$766&lt;&gt;""),'Weekly Tracker'!$H$2:$H$766),"")</f>
        <v/>
      </c>
      <c r="I1120" s="16">
        <f>IF(H1120&lt;&gt;"",LOOKUP(2,1/('Weekly Tracker'!$E$2:$E$766=$A1120)/('Weekly Tracker'!$H$2:$H$766&lt;&gt;""),'Weekly Tracker'!$I$2:$I$766),"")</f>
        <v/>
      </c>
      <c r="J1120" s="9">
        <f>IFERROR(LOOKUP(2,1/('Weekly Tracker'!$E$2:$E$766=$A1120)/('Weekly Tracker'!$J$2:$J$766&lt;&gt;""),'Weekly Tracker'!$J$2:$J$766),"")</f>
        <v/>
      </c>
      <c r="K1120" s="9">
        <f>IFERROR(LOOKUP(2,1/('Weekly Tracker'!$E$2:$E$766=$A1120)/('Weekly Tracker'!$N$2:$N$766&lt;&gt;""),'Weekly Tracker'!$N$2:$N$766),"")</f>
        <v/>
      </c>
      <c r="L1120" s="9">
        <f>IFERROR(LOOKUP(2,1/('Weekly Tracker'!$E$2:$E$766=$A1120)/('Weekly Tracker'!$O$2:$O$766&lt;&gt;""),'Weekly Tracker'!$O$2:$O$766),"")</f>
        <v/>
      </c>
    </row>
    <row r="1121">
      <c r="A1121" s="9" t="inlineStr">
        <is>
          <t>Balaji Bala FB</t>
        </is>
      </c>
      <c r="B1121" s="9" t="inlineStr">
        <is>
          <t>8190856491</t>
        </is>
      </c>
      <c r="C1121" s="9" t="n"/>
      <c r="D1121" s="9" t="n"/>
      <c r="E1121" s="9" t="n"/>
      <c r="F1121" s="9">
        <f>IFERROR(LOOKUP(2,1/('Weekly Tracker'!$E$2:$E$766=$A1121)/('Weekly Tracker'!$F$2:$F$766&lt;&gt;""),'Weekly Tracker'!$F$2:$F$766),"")</f>
        <v/>
      </c>
      <c r="G1121" s="16">
        <f>IF(F1121&lt;&gt;"",LOOKUP(2,1/('Weekly Tracker'!$E$2:$E$766=$A1121)/('Weekly Tracker'!$F$2:$F$766&lt;&gt;""),'Weekly Tracker'!$G$2:$G$766),"")</f>
        <v/>
      </c>
      <c r="H1121" s="9">
        <f>IFERROR(LOOKUP(2,1/('Weekly Tracker'!$E$2:$E$766=$A1121)/('Weekly Tracker'!$H$2:$H$766&lt;&gt;""),'Weekly Tracker'!$H$2:$H$766),"")</f>
        <v/>
      </c>
      <c r="I1121" s="16">
        <f>IF(H1121&lt;&gt;"",LOOKUP(2,1/('Weekly Tracker'!$E$2:$E$766=$A1121)/('Weekly Tracker'!$H$2:$H$766&lt;&gt;""),'Weekly Tracker'!$I$2:$I$766),"")</f>
        <v/>
      </c>
      <c r="J1121" s="9">
        <f>IFERROR(LOOKUP(2,1/('Weekly Tracker'!$E$2:$E$766=$A1121)/('Weekly Tracker'!$J$2:$J$766&lt;&gt;""),'Weekly Tracker'!$J$2:$J$766),"")</f>
        <v/>
      </c>
      <c r="K1121" s="9">
        <f>IFERROR(LOOKUP(2,1/('Weekly Tracker'!$E$2:$E$766=$A1121)/('Weekly Tracker'!$N$2:$N$766&lt;&gt;""),'Weekly Tracker'!$N$2:$N$766),"")</f>
        <v/>
      </c>
      <c r="L1121" s="9">
        <f>IFERROR(LOOKUP(2,1/('Weekly Tracker'!$E$2:$E$766=$A1121)/('Weekly Tracker'!$O$2:$O$766&lt;&gt;""),'Weekly Tracker'!$O$2:$O$766),"")</f>
        <v/>
      </c>
    </row>
    <row r="1122">
      <c r="A1122" s="9" t="inlineStr">
        <is>
          <t>Jagadeesh FB</t>
        </is>
      </c>
      <c r="B1122" s="9" t="inlineStr">
        <is>
          <t>918870690381</t>
        </is>
      </c>
      <c r="C1122" s="9" t="n"/>
      <c r="D1122" s="9" t="n"/>
      <c r="E1122" s="9" t="n"/>
      <c r="F1122" s="9">
        <f>IFERROR(LOOKUP(2,1/('Weekly Tracker'!$E$2:$E$766=$A1122)/('Weekly Tracker'!$F$2:$F$766&lt;&gt;""),'Weekly Tracker'!$F$2:$F$766),"")</f>
        <v/>
      </c>
      <c r="G1122" s="16">
        <f>IF(F1122&lt;&gt;"",LOOKUP(2,1/('Weekly Tracker'!$E$2:$E$766=$A1122)/('Weekly Tracker'!$F$2:$F$766&lt;&gt;""),'Weekly Tracker'!$G$2:$G$766),"")</f>
        <v/>
      </c>
      <c r="H1122" s="9">
        <f>IFERROR(LOOKUP(2,1/('Weekly Tracker'!$E$2:$E$766=$A1122)/('Weekly Tracker'!$H$2:$H$766&lt;&gt;""),'Weekly Tracker'!$H$2:$H$766),"")</f>
        <v/>
      </c>
      <c r="I1122" s="16">
        <f>IF(H1122&lt;&gt;"",LOOKUP(2,1/('Weekly Tracker'!$E$2:$E$766=$A1122)/('Weekly Tracker'!$H$2:$H$766&lt;&gt;""),'Weekly Tracker'!$I$2:$I$766),"")</f>
        <v/>
      </c>
      <c r="J1122" s="9">
        <f>IFERROR(LOOKUP(2,1/('Weekly Tracker'!$E$2:$E$766=$A1122)/('Weekly Tracker'!$J$2:$J$766&lt;&gt;""),'Weekly Tracker'!$J$2:$J$766),"")</f>
        <v/>
      </c>
      <c r="K1122" s="9">
        <f>IFERROR(LOOKUP(2,1/('Weekly Tracker'!$E$2:$E$766=$A1122)/('Weekly Tracker'!$N$2:$N$766&lt;&gt;""),'Weekly Tracker'!$N$2:$N$766),"")</f>
        <v/>
      </c>
      <c r="L1122" s="9">
        <f>IFERROR(LOOKUP(2,1/('Weekly Tracker'!$E$2:$E$766=$A1122)/('Weekly Tracker'!$O$2:$O$766&lt;&gt;""),'Weekly Tracker'!$O$2:$O$766),"")</f>
        <v/>
      </c>
    </row>
    <row r="1123">
      <c r="A1123" s="9" t="inlineStr">
        <is>
          <t>Gokul CMDB Verz</t>
        </is>
      </c>
      <c r="B1123" s="9" t="inlineStr">
        <is>
          <t>8668160892</t>
        </is>
      </c>
      <c r="C1123" s="9" t="n"/>
      <c r="D1123" s="9" t="n"/>
      <c r="E1123" s="9" t="n"/>
      <c r="F1123" s="9">
        <f>IFERROR(LOOKUP(2,1/('Weekly Tracker'!$E$2:$E$766=$A1123)/('Weekly Tracker'!$F$2:$F$766&lt;&gt;""),'Weekly Tracker'!$F$2:$F$766),"")</f>
        <v/>
      </c>
      <c r="G1123" s="16">
        <f>IF(F1123&lt;&gt;"",LOOKUP(2,1/('Weekly Tracker'!$E$2:$E$766=$A1123)/('Weekly Tracker'!$F$2:$F$766&lt;&gt;""),'Weekly Tracker'!$G$2:$G$766),"")</f>
        <v/>
      </c>
      <c r="H1123" s="9">
        <f>IFERROR(LOOKUP(2,1/('Weekly Tracker'!$E$2:$E$766=$A1123)/('Weekly Tracker'!$H$2:$H$766&lt;&gt;""),'Weekly Tracker'!$H$2:$H$766),"")</f>
        <v/>
      </c>
      <c r="I1123" s="16">
        <f>IF(H1123&lt;&gt;"",LOOKUP(2,1/('Weekly Tracker'!$E$2:$E$766=$A1123)/('Weekly Tracker'!$H$2:$H$766&lt;&gt;""),'Weekly Tracker'!$I$2:$I$766),"")</f>
        <v/>
      </c>
      <c r="J1123" s="9">
        <f>IFERROR(LOOKUP(2,1/('Weekly Tracker'!$E$2:$E$766=$A1123)/('Weekly Tracker'!$J$2:$J$766&lt;&gt;""),'Weekly Tracker'!$J$2:$J$766),"")</f>
        <v/>
      </c>
      <c r="K1123" s="9">
        <f>IFERROR(LOOKUP(2,1/('Weekly Tracker'!$E$2:$E$766=$A1123)/('Weekly Tracker'!$N$2:$N$766&lt;&gt;""),'Weekly Tracker'!$N$2:$N$766),"")</f>
        <v/>
      </c>
      <c r="L1123" s="9">
        <f>IFERROR(LOOKUP(2,1/('Weekly Tracker'!$E$2:$E$766=$A1123)/('Weekly Tracker'!$O$2:$O$766&lt;&gt;""),'Weekly Tracker'!$O$2:$O$766),"")</f>
        <v/>
      </c>
    </row>
    <row r="1124">
      <c r="A1124" s="9" t="inlineStr">
        <is>
          <t>Prakash Ravi HR HCL</t>
        </is>
      </c>
      <c r="B1124" s="9" t="inlineStr">
        <is>
          <t>918122121328</t>
        </is>
      </c>
      <c r="C1124" s="9" t="n"/>
      <c r="D1124" s="9" t="n"/>
      <c r="E1124" s="9" t="n"/>
      <c r="F1124" s="9">
        <f>IFERROR(LOOKUP(2,1/('Weekly Tracker'!$E$2:$E$766=$A1124)/('Weekly Tracker'!$F$2:$F$766&lt;&gt;""),'Weekly Tracker'!$F$2:$F$766),"")</f>
        <v/>
      </c>
      <c r="G1124" s="16">
        <f>IF(F1124&lt;&gt;"",LOOKUP(2,1/('Weekly Tracker'!$E$2:$E$766=$A1124)/('Weekly Tracker'!$F$2:$F$766&lt;&gt;""),'Weekly Tracker'!$G$2:$G$766),"")</f>
        <v/>
      </c>
      <c r="H1124" s="9">
        <f>IFERROR(LOOKUP(2,1/('Weekly Tracker'!$E$2:$E$766=$A1124)/('Weekly Tracker'!$H$2:$H$766&lt;&gt;""),'Weekly Tracker'!$H$2:$H$766),"")</f>
        <v/>
      </c>
      <c r="I1124" s="16">
        <f>IF(H1124&lt;&gt;"",LOOKUP(2,1/('Weekly Tracker'!$E$2:$E$766=$A1124)/('Weekly Tracker'!$H$2:$H$766&lt;&gt;""),'Weekly Tracker'!$I$2:$I$766),"")</f>
        <v/>
      </c>
      <c r="J1124" s="9">
        <f>IFERROR(LOOKUP(2,1/('Weekly Tracker'!$E$2:$E$766=$A1124)/('Weekly Tracker'!$J$2:$J$766&lt;&gt;""),'Weekly Tracker'!$J$2:$J$766),"")</f>
        <v/>
      </c>
      <c r="K1124" s="9">
        <f>IFERROR(LOOKUP(2,1/('Weekly Tracker'!$E$2:$E$766=$A1124)/('Weekly Tracker'!$N$2:$N$766&lt;&gt;""),'Weekly Tracker'!$N$2:$N$766),"")</f>
        <v/>
      </c>
      <c r="L1124" s="9">
        <f>IFERROR(LOOKUP(2,1/('Weekly Tracker'!$E$2:$E$766=$A1124)/('Weekly Tracker'!$O$2:$O$766&lt;&gt;""),'Weekly Tracker'!$O$2:$O$766),"")</f>
        <v/>
      </c>
    </row>
    <row r="1125">
      <c r="A1125" s="9" t="inlineStr">
        <is>
          <t>Manis Edwin FB</t>
        </is>
      </c>
      <c r="B1125" s="9" t="inlineStr">
        <is>
          <t>9578973783</t>
        </is>
      </c>
      <c r="C1125" s="9" t="n"/>
      <c r="D1125" s="9" t="n"/>
      <c r="E1125" s="9" t="n"/>
      <c r="F1125" s="9">
        <f>IFERROR(LOOKUP(2,1/('Weekly Tracker'!$E$2:$E$766=$A1125)/('Weekly Tracker'!$F$2:$F$766&lt;&gt;""),'Weekly Tracker'!$F$2:$F$766),"")</f>
        <v/>
      </c>
      <c r="G1125" s="16">
        <f>IF(F1125&lt;&gt;"",LOOKUP(2,1/('Weekly Tracker'!$E$2:$E$766=$A1125)/('Weekly Tracker'!$F$2:$F$766&lt;&gt;""),'Weekly Tracker'!$G$2:$G$766),"")</f>
        <v/>
      </c>
      <c r="H1125" s="9">
        <f>IFERROR(LOOKUP(2,1/('Weekly Tracker'!$E$2:$E$766=$A1125)/('Weekly Tracker'!$H$2:$H$766&lt;&gt;""),'Weekly Tracker'!$H$2:$H$766),"")</f>
        <v/>
      </c>
      <c r="I1125" s="16">
        <f>IF(H1125&lt;&gt;"",LOOKUP(2,1/('Weekly Tracker'!$E$2:$E$766=$A1125)/('Weekly Tracker'!$H$2:$H$766&lt;&gt;""),'Weekly Tracker'!$I$2:$I$766),"")</f>
        <v/>
      </c>
      <c r="J1125" s="9">
        <f>IFERROR(LOOKUP(2,1/('Weekly Tracker'!$E$2:$E$766=$A1125)/('Weekly Tracker'!$J$2:$J$766&lt;&gt;""),'Weekly Tracker'!$J$2:$J$766),"")</f>
        <v/>
      </c>
      <c r="K1125" s="9">
        <f>IFERROR(LOOKUP(2,1/('Weekly Tracker'!$E$2:$E$766=$A1125)/('Weekly Tracker'!$N$2:$N$766&lt;&gt;""),'Weekly Tracker'!$N$2:$N$766),"")</f>
        <v/>
      </c>
      <c r="L1125" s="9">
        <f>IFERROR(LOOKUP(2,1/('Weekly Tracker'!$E$2:$E$766=$A1125)/('Weekly Tracker'!$O$2:$O$766&lt;&gt;""),'Weekly Tracker'!$O$2:$O$766),"")</f>
        <v/>
      </c>
    </row>
    <row r="1126">
      <c r="A1126" s="9" t="inlineStr">
        <is>
          <t>Subin Sundar Grp ucen</t>
        </is>
      </c>
      <c r="B1126" s="9" t="inlineStr">
        <is>
          <t>919087587853</t>
        </is>
      </c>
      <c r="C1126" s="9" t="n"/>
      <c r="D1126" s="9" t="n"/>
      <c r="E1126" s="9" t="n"/>
      <c r="F1126" s="9">
        <f>IFERROR(LOOKUP(2,1/('Weekly Tracker'!$E$2:$E$766=$A1126)/('Weekly Tracker'!$F$2:$F$766&lt;&gt;""),'Weekly Tracker'!$F$2:$F$766),"")</f>
        <v/>
      </c>
      <c r="G1126" s="16">
        <f>IF(F1126&lt;&gt;"",LOOKUP(2,1/('Weekly Tracker'!$E$2:$E$766=$A1126)/('Weekly Tracker'!$F$2:$F$766&lt;&gt;""),'Weekly Tracker'!$G$2:$G$766),"")</f>
        <v/>
      </c>
      <c r="H1126" s="9">
        <f>IFERROR(LOOKUP(2,1/('Weekly Tracker'!$E$2:$E$766=$A1126)/('Weekly Tracker'!$H$2:$H$766&lt;&gt;""),'Weekly Tracker'!$H$2:$H$766),"")</f>
        <v/>
      </c>
      <c r="I1126" s="16">
        <f>IF(H1126&lt;&gt;"",LOOKUP(2,1/('Weekly Tracker'!$E$2:$E$766=$A1126)/('Weekly Tracker'!$H$2:$H$766&lt;&gt;""),'Weekly Tracker'!$I$2:$I$766),"")</f>
        <v/>
      </c>
      <c r="J1126" s="9">
        <f>IFERROR(LOOKUP(2,1/('Weekly Tracker'!$E$2:$E$766=$A1126)/('Weekly Tracker'!$J$2:$J$766&lt;&gt;""),'Weekly Tracker'!$J$2:$J$766),"")</f>
        <v/>
      </c>
      <c r="K1126" s="9">
        <f>IFERROR(LOOKUP(2,1/('Weekly Tracker'!$E$2:$E$766=$A1126)/('Weekly Tracker'!$N$2:$N$766&lt;&gt;""),'Weekly Tracker'!$N$2:$N$766),"")</f>
        <v/>
      </c>
      <c r="L1126" s="9">
        <f>IFERROR(LOOKUP(2,1/('Weekly Tracker'!$E$2:$E$766=$A1126)/('Weekly Tracker'!$O$2:$O$766&lt;&gt;""),'Weekly Tracker'!$O$2:$O$766),"")</f>
        <v/>
      </c>
    </row>
    <row r="1127">
      <c r="A1127" s="9" t="inlineStr">
        <is>
          <t>Mahendran Scl PulianG</t>
        </is>
      </c>
      <c r="B1127" s="9" t="inlineStr">
        <is>
          <t>919791653516</t>
        </is>
      </c>
      <c r="C1127" s="9" t="n"/>
      <c r="D1127" s="9" t="n"/>
      <c r="E1127" s="9" t="n"/>
      <c r="F1127" s="9">
        <f>IFERROR(LOOKUP(2,1/('Weekly Tracker'!$E$2:$E$766=$A1127)/('Weekly Tracker'!$F$2:$F$766&lt;&gt;""),'Weekly Tracker'!$F$2:$F$766),"")</f>
        <v/>
      </c>
      <c r="G1127" s="16">
        <f>IF(F1127&lt;&gt;"",LOOKUP(2,1/('Weekly Tracker'!$E$2:$E$766=$A1127)/('Weekly Tracker'!$F$2:$F$766&lt;&gt;""),'Weekly Tracker'!$G$2:$G$766),"")</f>
        <v/>
      </c>
      <c r="H1127" s="9">
        <f>IFERROR(LOOKUP(2,1/('Weekly Tracker'!$E$2:$E$766=$A1127)/('Weekly Tracker'!$H$2:$H$766&lt;&gt;""),'Weekly Tracker'!$H$2:$H$766),"")</f>
        <v/>
      </c>
      <c r="I1127" s="16">
        <f>IF(H1127&lt;&gt;"",LOOKUP(2,1/('Weekly Tracker'!$E$2:$E$766=$A1127)/('Weekly Tracker'!$H$2:$H$766&lt;&gt;""),'Weekly Tracker'!$I$2:$I$766),"")</f>
        <v/>
      </c>
      <c r="J1127" s="9">
        <f>IFERROR(LOOKUP(2,1/('Weekly Tracker'!$E$2:$E$766=$A1127)/('Weekly Tracker'!$J$2:$J$766&lt;&gt;""),'Weekly Tracker'!$J$2:$J$766),"")</f>
        <v/>
      </c>
      <c r="K1127" s="9">
        <f>IFERROR(LOOKUP(2,1/('Weekly Tracker'!$E$2:$E$766=$A1127)/('Weekly Tracker'!$N$2:$N$766&lt;&gt;""),'Weekly Tracker'!$N$2:$N$766),"")</f>
        <v/>
      </c>
      <c r="L1127" s="9">
        <f>IFERROR(LOOKUP(2,1/('Weekly Tracker'!$E$2:$E$766=$A1127)/('Weekly Tracker'!$O$2:$O$766&lt;&gt;""),'Weekly Tracker'!$O$2:$O$766),"")</f>
        <v/>
      </c>
    </row>
    <row r="1128">
      <c r="A1128" s="9" t="inlineStr">
        <is>
          <t>Ajith kumar FB</t>
        </is>
      </c>
      <c r="B1128" s="9" t="inlineStr">
        <is>
          <t>7200465435</t>
        </is>
      </c>
      <c r="C1128" s="9" t="n"/>
      <c r="D1128" s="9" t="n"/>
      <c r="E1128" s="9" t="n"/>
      <c r="F1128" s="9">
        <f>IFERROR(LOOKUP(2,1/('Weekly Tracker'!$E$2:$E$766=$A1128)/('Weekly Tracker'!$F$2:$F$766&lt;&gt;""),'Weekly Tracker'!$F$2:$F$766),"")</f>
        <v/>
      </c>
      <c r="G1128" s="16">
        <f>IF(F1128&lt;&gt;"",LOOKUP(2,1/('Weekly Tracker'!$E$2:$E$766=$A1128)/('Weekly Tracker'!$F$2:$F$766&lt;&gt;""),'Weekly Tracker'!$G$2:$G$766),"")</f>
        <v/>
      </c>
      <c r="H1128" s="9">
        <f>IFERROR(LOOKUP(2,1/('Weekly Tracker'!$E$2:$E$766=$A1128)/('Weekly Tracker'!$H$2:$H$766&lt;&gt;""),'Weekly Tracker'!$H$2:$H$766),"")</f>
        <v/>
      </c>
      <c r="I1128" s="16">
        <f>IF(H1128&lt;&gt;"",LOOKUP(2,1/('Weekly Tracker'!$E$2:$E$766=$A1128)/('Weekly Tracker'!$H$2:$H$766&lt;&gt;""),'Weekly Tracker'!$I$2:$I$766),"")</f>
        <v/>
      </c>
      <c r="J1128" s="9">
        <f>IFERROR(LOOKUP(2,1/('Weekly Tracker'!$E$2:$E$766=$A1128)/('Weekly Tracker'!$J$2:$J$766&lt;&gt;""),'Weekly Tracker'!$J$2:$J$766),"")</f>
        <v/>
      </c>
      <c r="K1128" s="9">
        <f>IFERROR(LOOKUP(2,1/('Weekly Tracker'!$E$2:$E$766=$A1128)/('Weekly Tracker'!$N$2:$N$766&lt;&gt;""),'Weekly Tracker'!$N$2:$N$766),"")</f>
        <v/>
      </c>
      <c r="L1128" s="9">
        <f>IFERROR(LOOKUP(2,1/('Weekly Tracker'!$E$2:$E$766=$A1128)/('Weekly Tracker'!$O$2:$O$766&lt;&gt;""),'Weekly Tracker'!$O$2:$O$766),"")</f>
        <v/>
      </c>
    </row>
    <row r="1129">
      <c r="A1129" s="9" t="inlineStr">
        <is>
          <t>Karthick Palanisamy Urja</t>
        </is>
      </c>
      <c r="B1129" s="9" t="inlineStr">
        <is>
          <t>919688488553</t>
        </is>
      </c>
      <c r="C1129" s="9" t="n"/>
      <c r="D1129" s="9" t="n"/>
      <c r="E1129" s="9" t="n"/>
      <c r="F1129" s="9">
        <f>IFERROR(LOOKUP(2,1/('Weekly Tracker'!$E$2:$E$766=$A1129)/('Weekly Tracker'!$F$2:$F$766&lt;&gt;""),'Weekly Tracker'!$F$2:$F$766),"")</f>
        <v/>
      </c>
      <c r="G1129" s="16">
        <f>IF(F1129&lt;&gt;"",LOOKUP(2,1/('Weekly Tracker'!$E$2:$E$766=$A1129)/('Weekly Tracker'!$F$2:$F$766&lt;&gt;""),'Weekly Tracker'!$G$2:$G$766),"")</f>
        <v/>
      </c>
      <c r="H1129" s="9">
        <f>IFERROR(LOOKUP(2,1/('Weekly Tracker'!$E$2:$E$766=$A1129)/('Weekly Tracker'!$H$2:$H$766&lt;&gt;""),'Weekly Tracker'!$H$2:$H$766),"")</f>
        <v/>
      </c>
      <c r="I1129" s="16">
        <f>IF(H1129&lt;&gt;"",LOOKUP(2,1/('Weekly Tracker'!$E$2:$E$766=$A1129)/('Weekly Tracker'!$H$2:$H$766&lt;&gt;""),'Weekly Tracker'!$I$2:$I$766),"")</f>
        <v/>
      </c>
      <c r="J1129" s="9">
        <f>IFERROR(LOOKUP(2,1/('Weekly Tracker'!$E$2:$E$766=$A1129)/('Weekly Tracker'!$J$2:$J$766&lt;&gt;""),'Weekly Tracker'!$J$2:$J$766),"")</f>
        <v/>
      </c>
      <c r="K1129" s="9">
        <f>IFERROR(LOOKUP(2,1/('Weekly Tracker'!$E$2:$E$766=$A1129)/('Weekly Tracker'!$N$2:$N$766&lt;&gt;""),'Weekly Tracker'!$N$2:$N$766),"")</f>
        <v/>
      </c>
      <c r="L1129" s="9">
        <f>IFERROR(LOOKUP(2,1/('Weekly Tracker'!$E$2:$E$766=$A1129)/('Weekly Tracker'!$O$2:$O$766&lt;&gt;""),'Weekly Tracker'!$O$2:$O$766),"")</f>
        <v/>
      </c>
    </row>
    <row r="1130">
      <c r="A1130" s="9" t="inlineStr">
        <is>
          <t>Satheesh Thiyagaraj FB</t>
        </is>
      </c>
      <c r="B1130" s="9" t="inlineStr">
        <is>
          <t>9597658677</t>
        </is>
      </c>
      <c r="C1130" s="9" t="n"/>
      <c r="D1130" s="9" t="n"/>
      <c r="E1130" s="9" t="n"/>
      <c r="F1130" s="9">
        <f>IFERROR(LOOKUP(2,1/('Weekly Tracker'!$E$2:$E$766=$A1130)/('Weekly Tracker'!$F$2:$F$766&lt;&gt;""),'Weekly Tracker'!$F$2:$F$766),"")</f>
        <v/>
      </c>
      <c r="G1130" s="16">
        <f>IF(F1130&lt;&gt;"",LOOKUP(2,1/('Weekly Tracker'!$E$2:$E$766=$A1130)/('Weekly Tracker'!$F$2:$F$766&lt;&gt;""),'Weekly Tracker'!$G$2:$G$766),"")</f>
        <v/>
      </c>
      <c r="H1130" s="9">
        <f>IFERROR(LOOKUP(2,1/('Weekly Tracker'!$E$2:$E$766=$A1130)/('Weekly Tracker'!$H$2:$H$766&lt;&gt;""),'Weekly Tracker'!$H$2:$H$766),"")</f>
        <v/>
      </c>
      <c r="I1130" s="16">
        <f>IF(H1130&lt;&gt;"",LOOKUP(2,1/('Weekly Tracker'!$E$2:$E$766=$A1130)/('Weekly Tracker'!$H$2:$H$766&lt;&gt;""),'Weekly Tracker'!$I$2:$I$766),"")</f>
        <v/>
      </c>
      <c r="J1130" s="9">
        <f>IFERROR(LOOKUP(2,1/('Weekly Tracker'!$E$2:$E$766=$A1130)/('Weekly Tracker'!$J$2:$J$766&lt;&gt;""),'Weekly Tracker'!$J$2:$J$766),"")</f>
        <v/>
      </c>
      <c r="K1130" s="9">
        <f>IFERROR(LOOKUP(2,1/('Weekly Tracker'!$E$2:$E$766=$A1130)/('Weekly Tracker'!$N$2:$N$766&lt;&gt;""),'Weekly Tracker'!$N$2:$N$766),"")</f>
        <v/>
      </c>
      <c r="L1130" s="9">
        <f>IFERROR(LOOKUP(2,1/('Weekly Tracker'!$E$2:$E$766=$A1130)/('Weekly Tracker'!$O$2:$O$766&lt;&gt;""),'Weekly Tracker'!$O$2:$O$766),"")</f>
        <v/>
      </c>
    </row>
    <row r="1131">
      <c r="A1131" s="9" t="inlineStr">
        <is>
          <t>Mahesh Madasamy Fb</t>
        </is>
      </c>
      <c r="B1131" s="9" t="inlineStr">
        <is>
          <t>9342494717</t>
        </is>
      </c>
      <c r="C1131" s="9" t="n"/>
      <c r="D1131" s="9" t="n"/>
      <c r="E1131" s="9" t="n"/>
      <c r="F1131" s="9">
        <f>IFERROR(LOOKUP(2,1/('Weekly Tracker'!$E$2:$E$766=$A1131)/('Weekly Tracker'!$F$2:$F$766&lt;&gt;""),'Weekly Tracker'!$F$2:$F$766),"")</f>
        <v/>
      </c>
      <c r="G1131" s="16">
        <f>IF(F1131&lt;&gt;"",LOOKUP(2,1/('Weekly Tracker'!$E$2:$E$766=$A1131)/('Weekly Tracker'!$F$2:$F$766&lt;&gt;""),'Weekly Tracker'!$G$2:$G$766),"")</f>
        <v/>
      </c>
      <c r="H1131" s="9">
        <f>IFERROR(LOOKUP(2,1/('Weekly Tracker'!$E$2:$E$766=$A1131)/('Weekly Tracker'!$H$2:$H$766&lt;&gt;""),'Weekly Tracker'!$H$2:$H$766),"")</f>
        <v/>
      </c>
      <c r="I1131" s="16">
        <f>IF(H1131&lt;&gt;"",LOOKUP(2,1/('Weekly Tracker'!$E$2:$E$766=$A1131)/('Weekly Tracker'!$H$2:$H$766&lt;&gt;""),'Weekly Tracker'!$I$2:$I$766),"")</f>
        <v/>
      </c>
      <c r="J1131" s="9">
        <f>IFERROR(LOOKUP(2,1/('Weekly Tracker'!$E$2:$E$766=$A1131)/('Weekly Tracker'!$J$2:$J$766&lt;&gt;""),'Weekly Tracker'!$J$2:$J$766),"")</f>
        <v/>
      </c>
      <c r="K1131" s="9">
        <f>IFERROR(LOOKUP(2,1/('Weekly Tracker'!$E$2:$E$766=$A1131)/('Weekly Tracker'!$N$2:$N$766&lt;&gt;""),'Weekly Tracker'!$N$2:$N$766),"")</f>
        <v/>
      </c>
      <c r="L1131" s="9">
        <f>IFERROR(LOOKUP(2,1/('Weekly Tracker'!$E$2:$E$766=$A1131)/('Weekly Tracker'!$O$2:$O$766&lt;&gt;""),'Weekly Tracker'!$O$2:$O$766),"")</f>
        <v/>
      </c>
    </row>
    <row r="1132">
      <c r="A1132" s="9" t="inlineStr">
        <is>
          <t>Arunraj Ganesan Scl</t>
        </is>
      </c>
      <c r="B1132" s="9" t="inlineStr">
        <is>
          <t>918056428897</t>
        </is>
      </c>
      <c r="C1132" s="9" t="n"/>
      <c r="D1132" s="9" t="n"/>
      <c r="E1132" s="9" t="n"/>
      <c r="F1132" s="9">
        <f>IFERROR(LOOKUP(2,1/('Weekly Tracker'!$E$2:$E$766=$A1132)/('Weekly Tracker'!$F$2:$F$766&lt;&gt;""),'Weekly Tracker'!$F$2:$F$766),"")</f>
        <v/>
      </c>
      <c r="G1132" s="16">
        <f>IF(F1132&lt;&gt;"",LOOKUP(2,1/('Weekly Tracker'!$E$2:$E$766=$A1132)/('Weekly Tracker'!$F$2:$F$766&lt;&gt;""),'Weekly Tracker'!$G$2:$G$766),"")</f>
        <v/>
      </c>
      <c r="H1132" s="9">
        <f>IFERROR(LOOKUP(2,1/('Weekly Tracker'!$E$2:$E$766=$A1132)/('Weekly Tracker'!$H$2:$H$766&lt;&gt;""),'Weekly Tracker'!$H$2:$H$766),"")</f>
        <v/>
      </c>
      <c r="I1132" s="16">
        <f>IF(H1132&lt;&gt;"",LOOKUP(2,1/('Weekly Tracker'!$E$2:$E$766=$A1132)/('Weekly Tracker'!$H$2:$H$766&lt;&gt;""),'Weekly Tracker'!$I$2:$I$766),"")</f>
        <v/>
      </c>
      <c r="J1132" s="9">
        <f>IFERROR(LOOKUP(2,1/('Weekly Tracker'!$E$2:$E$766=$A1132)/('Weekly Tracker'!$J$2:$J$766&lt;&gt;""),'Weekly Tracker'!$J$2:$J$766),"")</f>
        <v/>
      </c>
      <c r="K1132" s="9">
        <f>IFERROR(LOOKUP(2,1/('Weekly Tracker'!$E$2:$E$766=$A1132)/('Weekly Tracker'!$N$2:$N$766&lt;&gt;""),'Weekly Tracker'!$N$2:$N$766),"")</f>
        <v/>
      </c>
      <c r="L1132" s="9">
        <f>IFERROR(LOOKUP(2,1/('Weekly Tracker'!$E$2:$E$766=$A1132)/('Weekly Tracker'!$O$2:$O$766&lt;&gt;""),'Weekly Tracker'!$O$2:$O$766),"")</f>
        <v/>
      </c>
    </row>
    <row r="1133">
      <c r="A1133" s="9" t="inlineStr">
        <is>
          <t>Benstin Grp Ucen</t>
        </is>
      </c>
      <c r="B1133" s="9" t="inlineStr">
        <is>
          <t>919442732679</t>
        </is>
      </c>
      <c r="C1133" s="9" t="n"/>
      <c r="D1133" s="9" t="n"/>
      <c r="E1133" s="9" t="n"/>
      <c r="F1133" s="9">
        <f>IFERROR(LOOKUP(2,1/('Weekly Tracker'!$E$2:$E$766=$A1133)/('Weekly Tracker'!$F$2:$F$766&lt;&gt;""),'Weekly Tracker'!$F$2:$F$766),"")</f>
        <v/>
      </c>
      <c r="G1133" s="16">
        <f>IF(F1133&lt;&gt;"",LOOKUP(2,1/('Weekly Tracker'!$E$2:$E$766=$A1133)/('Weekly Tracker'!$F$2:$F$766&lt;&gt;""),'Weekly Tracker'!$G$2:$G$766),"")</f>
        <v/>
      </c>
      <c r="H1133" s="9">
        <f>IFERROR(LOOKUP(2,1/('Weekly Tracker'!$E$2:$E$766=$A1133)/('Weekly Tracker'!$H$2:$H$766&lt;&gt;""),'Weekly Tracker'!$H$2:$H$766),"")</f>
        <v/>
      </c>
      <c r="I1133" s="16">
        <f>IF(H1133&lt;&gt;"",LOOKUP(2,1/('Weekly Tracker'!$E$2:$E$766=$A1133)/('Weekly Tracker'!$H$2:$H$766&lt;&gt;""),'Weekly Tracker'!$I$2:$I$766),"")</f>
        <v/>
      </c>
      <c r="J1133" s="9">
        <f>IFERROR(LOOKUP(2,1/('Weekly Tracker'!$E$2:$E$766=$A1133)/('Weekly Tracker'!$J$2:$J$766&lt;&gt;""),'Weekly Tracker'!$J$2:$J$766),"")</f>
        <v/>
      </c>
      <c r="K1133" s="9">
        <f>IFERROR(LOOKUP(2,1/('Weekly Tracker'!$E$2:$E$766=$A1133)/('Weekly Tracker'!$N$2:$N$766&lt;&gt;""),'Weekly Tracker'!$N$2:$N$766),"")</f>
        <v/>
      </c>
      <c r="L1133" s="9">
        <f>IFERROR(LOOKUP(2,1/('Weekly Tracker'!$E$2:$E$766=$A1133)/('Weekly Tracker'!$O$2:$O$766&lt;&gt;""),'Weekly Tracker'!$O$2:$O$766),"")</f>
        <v/>
      </c>
    </row>
    <row r="1134">
      <c r="A1134" s="9" t="inlineStr">
        <is>
          <t>Ravan TG</t>
        </is>
      </c>
      <c r="B1134" s="9" t="inlineStr">
        <is>
          <t>9941813760</t>
        </is>
      </c>
      <c r="C1134" s="9" t="n"/>
      <c r="D1134" s="9" t="n"/>
      <c r="E1134" s="9" t="n"/>
      <c r="F1134" s="9">
        <f>IFERROR(LOOKUP(2,1/('Weekly Tracker'!$E$2:$E$766=$A1134)/('Weekly Tracker'!$F$2:$F$766&lt;&gt;""),'Weekly Tracker'!$F$2:$F$766),"")</f>
        <v/>
      </c>
      <c r="G1134" s="16">
        <f>IF(F1134&lt;&gt;"",LOOKUP(2,1/('Weekly Tracker'!$E$2:$E$766=$A1134)/('Weekly Tracker'!$F$2:$F$766&lt;&gt;""),'Weekly Tracker'!$G$2:$G$766),"")</f>
        <v/>
      </c>
      <c r="H1134" s="9">
        <f>IFERROR(LOOKUP(2,1/('Weekly Tracker'!$E$2:$E$766=$A1134)/('Weekly Tracker'!$H$2:$H$766&lt;&gt;""),'Weekly Tracker'!$H$2:$H$766),"")</f>
        <v/>
      </c>
      <c r="I1134" s="16">
        <f>IF(H1134&lt;&gt;"",LOOKUP(2,1/('Weekly Tracker'!$E$2:$E$766=$A1134)/('Weekly Tracker'!$H$2:$H$766&lt;&gt;""),'Weekly Tracker'!$I$2:$I$766),"")</f>
        <v/>
      </c>
      <c r="J1134" s="9">
        <f>IFERROR(LOOKUP(2,1/('Weekly Tracker'!$E$2:$E$766=$A1134)/('Weekly Tracker'!$J$2:$J$766&lt;&gt;""),'Weekly Tracker'!$J$2:$J$766),"")</f>
        <v/>
      </c>
      <c r="K1134" s="9">
        <f>IFERROR(LOOKUP(2,1/('Weekly Tracker'!$E$2:$E$766=$A1134)/('Weekly Tracker'!$N$2:$N$766&lt;&gt;""),'Weekly Tracker'!$N$2:$N$766),"")</f>
        <v/>
      </c>
      <c r="L1134" s="9">
        <f>IFERROR(LOOKUP(2,1/('Weekly Tracker'!$E$2:$E$766=$A1134)/('Weekly Tracker'!$O$2:$O$766&lt;&gt;""),'Weekly Tracker'!$O$2:$O$766),"")</f>
        <v/>
      </c>
    </row>
    <row r="1135">
      <c r="A1135" s="9" t="inlineStr">
        <is>
          <t>Dhivya Arunachalam Urja</t>
        </is>
      </c>
      <c r="B1135" s="9" t="inlineStr">
        <is>
          <t>918838016628</t>
        </is>
      </c>
      <c r="C1135" s="9" t="n"/>
      <c r="D1135" s="9" t="n"/>
      <c r="E1135" s="9" t="n"/>
      <c r="F1135" s="9">
        <f>IFERROR(LOOKUP(2,1/('Weekly Tracker'!$E$2:$E$766=$A1135)/('Weekly Tracker'!$F$2:$F$766&lt;&gt;""),'Weekly Tracker'!$F$2:$F$766),"")</f>
        <v/>
      </c>
      <c r="G1135" s="16">
        <f>IF(F1135&lt;&gt;"",LOOKUP(2,1/('Weekly Tracker'!$E$2:$E$766=$A1135)/('Weekly Tracker'!$F$2:$F$766&lt;&gt;""),'Weekly Tracker'!$G$2:$G$766),"")</f>
        <v/>
      </c>
      <c r="H1135" s="9">
        <f>IFERROR(LOOKUP(2,1/('Weekly Tracker'!$E$2:$E$766=$A1135)/('Weekly Tracker'!$H$2:$H$766&lt;&gt;""),'Weekly Tracker'!$H$2:$H$766),"")</f>
        <v/>
      </c>
      <c r="I1135" s="16">
        <f>IF(H1135&lt;&gt;"",LOOKUP(2,1/('Weekly Tracker'!$E$2:$E$766=$A1135)/('Weekly Tracker'!$H$2:$H$766&lt;&gt;""),'Weekly Tracker'!$I$2:$I$766),"")</f>
        <v/>
      </c>
      <c r="J1135" s="9">
        <f>IFERROR(LOOKUP(2,1/('Weekly Tracker'!$E$2:$E$766=$A1135)/('Weekly Tracker'!$J$2:$J$766&lt;&gt;""),'Weekly Tracker'!$J$2:$J$766),"")</f>
        <v/>
      </c>
      <c r="K1135" s="9">
        <f>IFERROR(LOOKUP(2,1/('Weekly Tracker'!$E$2:$E$766=$A1135)/('Weekly Tracker'!$N$2:$N$766&lt;&gt;""),'Weekly Tracker'!$N$2:$N$766),"")</f>
        <v/>
      </c>
      <c r="L1135" s="9">
        <f>IFERROR(LOOKUP(2,1/('Weekly Tracker'!$E$2:$E$766=$A1135)/('Weekly Tracker'!$O$2:$O$766&lt;&gt;""),'Weekly Tracker'!$O$2:$O$766),"")</f>
        <v/>
      </c>
    </row>
    <row r="1136">
      <c r="A1136" s="9" t="inlineStr">
        <is>
          <t>SHOURYA B Tech SMEC</t>
        </is>
      </c>
      <c r="B1136" s="9" t="inlineStr">
        <is>
          <t>919869780729</t>
        </is>
      </c>
      <c r="C1136" s="9" t="n"/>
      <c r="D1136" s="9" t="n"/>
      <c r="E1136" s="9" t="n"/>
      <c r="F1136" s="9">
        <f>IFERROR(LOOKUP(2,1/('Weekly Tracker'!$E$2:$E$766=$A1136)/('Weekly Tracker'!$F$2:$F$766&lt;&gt;""),'Weekly Tracker'!$F$2:$F$766),"")</f>
        <v/>
      </c>
      <c r="G1136" s="16">
        <f>IF(F1136&lt;&gt;"",LOOKUP(2,1/('Weekly Tracker'!$E$2:$E$766=$A1136)/('Weekly Tracker'!$F$2:$F$766&lt;&gt;""),'Weekly Tracker'!$G$2:$G$766),"")</f>
        <v/>
      </c>
      <c r="H1136" s="9">
        <f>IFERROR(LOOKUP(2,1/('Weekly Tracker'!$E$2:$E$766=$A1136)/('Weekly Tracker'!$H$2:$H$766&lt;&gt;""),'Weekly Tracker'!$H$2:$H$766),"")</f>
        <v/>
      </c>
      <c r="I1136" s="16">
        <f>IF(H1136&lt;&gt;"",LOOKUP(2,1/('Weekly Tracker'!$E$2:$E$766=$A1136)/('Weekly Tracker'!$H$2:$H$766&lt;&gt;""),'Weekly Tracker'!$I$2:$I$766),"")</f>
        <v/>
      </c>
      <c r="J1136" s="9">
        <f>IFERROR(LOOKUP(2,1/('Weekly Tracker'!$E$2:$E$766=$A1136)/('Weekly Tracker'!$J$2:$J$766&lt;&gt;""),'Weekly Tracker'!$J$2:$J$766),"")</f>
        <v/>
      </c>
      <c r="K1136" s="9">
        <f>IFERROR(LOOKUP(2,1/('Weekly Tracker'!$E$2:$E$766=$A1136)/('Weekly Tracker'!$N$2:$N$766&lt;&gt;""),'Weekly Tracker'!$N$2:$N$766),"")</f>
        <v/>
      </c>
      <c r="L1136" s="9">
        <f>IFERROR(LOOKUP(2,1/('Weekly Tracker'!$E$2:$E$766=$A1136)/('Weekly Tracker'!$O$2:$O$766&lt;&gt;""),'Weekly Tracker'!$O$2:$O$766),"")</f>
        <v/>
      </c>
    </row>
    <row r="1137">
      <c r="A1137" s="9" t="inlineStr">
        <is>
          <t>Dhivyansh Infy</t>
        </is>
      </c>
      <c r="B1137" s="9" t="inlineStr">
        <is>
          <t>918351802083</t>
        </is>
      </c>
      <c r="C1137" s="9" t="n"/>
      <c r="D1137" s="9" t="n"/>
      <c r="E1137" s="9" t="n"/>
      <c r="F1137" s="9">
        <f>IFERROR(LOOKUP(2,1/('Weekly Tracker'!$E$2:$E$766=$A1137)/('Weekly Tracker'!$F$2:$F$766&lt;&gt;""),'Weekly Tracker'!$F$2:$F$766),"")</f>
        <v/>
      </c>
      <c r="G1137" s="16">
        <f>IF(F1137&lt;&gt;"",LOOKUP(2,1/('Weekly Tracker'!$E$2:$E$766=$A1137)/('Weekly Tracker'!$F$2:$F$766&lt;&gt;""),'Weekly Tracker'!$G$2:$G$766),"")</f>
        <v/>
      </c>
      <c r="H1137" s="9">
        <f>IFERROR(LOOKUP(2,1/('Weekly Tracker'!$E$2:$E$766=$A1137)/('Weekly Tracker'!$H$2:$H$766&lt;&gt;""),'Weekly Tracker'!$H$2:$H$766),"")</f>
        <v/>
      </c>
      <c r="I1137" s="16">
        <f>IF(H1137&lt;&gt;"",LOOKUP(2,1/('Weekly Tracker'!$E$2:$E$766=$A1137)/('Weekly Tracker'!$H$2:$H$766&lt;&gt;""),'Weekly Tracker'!$I$2:$I$766),"")</f>
        <v/>
      </c>
      <c r="J1137" s="9">
        <f>IFERROR(LOOKUP(2,1/('Weekly Tracker'!$E$2:$E$766=$A1137)/('Weekly Tracker'!$J$2:$J$766&lt;&gt;""),'Weekly Tracker'!$J$2:$J$766),"")</f>
        <v/>
      </c>
      <c r="K1137" s="9">
        <f>IFERROR(LOOKUP(2,1/('Weekly Tracker'!$E$2:$E$766=$A1137)/('Weekly Tracker'!$N$2:$N$766&lt;&gt;""),'Weekly Tracker'!$N$2:$N$766),"")</f>
        <v/>
      </c>
      <c r="L1137" s="9">
        <f>IFERROR(LOOKUP(2,1/('Weekly Tracker'!$E$2:$E$766=$A1137)/('Weekly Tracker'!$O$2:$O$766&lt;&gt;""),'Weekly Tracker'!$O$2:$O$766),"")</f>
        <v/>
      </c>
    </row>
    <row r="1138">
      <c r="A1138" s="9" t="inlineStr">
        <is>
          <t>Muruganath Kutty FB</t>
        </is>
      </c>
      <c r="B1138" s="9" t="inlineStr">
        <is>
          <t>8110006054</t>
        </is>
      </c>
      <c r="C1138" s="9" t="n"/>
      <c r="D1138" s="9" t="n"/>
      <c r="E1138" s="9" t="n"/>
      <c r="F1138" s="9">
        <f>IFERROR(LOOKUP(2,1/('Weekly Tracker'!$E$2:$E$766=$A1138)/('Weekly Tracker'!$F$2:$F$766&lt;&gt;""),'Weekly Tracker'!$F$2:$F$766),"")</f>
        <v/>
      </c>
      <c r="G1138" s="16">
        <f>IF(F1138&lt;&gt;"",LOOKUP(2,1/('Weekly Tracker'!$E$2:$E$766=$A1138)/('Weekly Tracker'!$F$2:$F$766&lt;&gt;""),'Weekly Tracker'!$G$2:$G$766),"")</f>
        <v/>
      </c>
      <c r="H1138" s="9">
        <f>IFERROR(LOOKUP(2,1/('Weekly Tracker'!$E$2:$E$766=$A1138)/('Weekly Tracker'!$H$2:$H$766&lt;&gt;""),'Weekly Tracker'!$H$2:$H$766),"")</f>
        <v/>
      </c>
      <c r="I1138" s="16">
        <f>IF(H1138&lt;&gt;"",LOOKUP(2,1/('Weekly Tracker'!$E$2:$E$766=$A1138)/('Weekly Tracker'!$H$2:$H$766&lt;&gt;""),'Weekly Tracker'!$I$2:$I$766),"")</f>
        <v/>
      </c>
      <c r="J1138" s="9">
        <f>IFERROR(LOOKUP(2,1/('Weekly Tracker'!$E$2:$E$766=$A1138)/('Weekly Tracker'!$J$2:$J$766&lt;&gt;""),'Weekly Tracker'!$J$2:$J$766),"")</f>
        <v/>
      </c>
      <c r="K1138" s="9">
        <f>IFERROR(LOOKUP(2,1/('Weekly Tracker'!$E$2:$E$766=$A1138)/('Weekly Tracker'!$N$2:$N$766&lt;&gt;""),'Weekly Tracker'!$N$2:$N$766),"")</f>
        <v/>
      </c>
      <c r="L1138" s="9">
        <f>IFERROR(LOOKUP(2,1/('Weekly Tracker'!$E$2:$E$766=$A1138)/('Weekly Tracker'!$O$2:$O$766&lt;&gt;""),'Weekly Tracker'!$O$2:$O$766),"")</f>
        <v/>
      </c>
    </row>
    <row r="1139">
      <c r="A1139" s="9" t="inlineStr">
        <is>
          <t>Thanumoorthy Grp Ucen</t>
        </is>
      </c>
      <c r="B1139" s="9" t="inlineStr">
        <is>
          <t>919003580539</t>
        </is>
      </c>
      <c r="C1139" s="9" t="n"/>
      <c r="D1139" s="9" t="n"/>
      <c r="E1139" s="9" t="n"/>
      <c r="F1139" s="9">
        <f>IFERROR(LOOKUP(2,1/('Weekly Tracker'!$E$2:$E$766=$A1139)/('Weekly Tracker'!$F$2:$F$766&lt;&gt;""),'Weekly Tracker'!$F$2:$F$766),"")</f>
        <v/>
      </c>
      <c r="G1139" s="16">
        <f>IF(F1139&lt;&gt;"",LOOKUP(2,1/('Weekly Tracker'!$E$2:$E$766=$A1139)/('Weekly Tracker'!$F$2:$F$766&lt;&gt;""),'Weekly Tracker'!$G$2:$G$766),"")</f>
        <v/>
      </c>
      <c r="H1139" s="9">
        <f>IFERROR(LOOKUP(2,1/('Weekly Tracker'!$E$2:$E$766=$A1139)/('Weekly Tracker'!$H$2:$H$766&lt;&gt;""),'Weekly Tracker'!$H$2:$H$766),"")</f>
        <v/>
      </c>
      <c r="I1139" s="16">
        <f>IF(H1139&lt;&gt;"",LOOKUP(2,1/('Weekly Tracker'!$E$2:$E$766=$A1139)/('Weekly Tracker'!$H$2:$H$766&lt;&gt;""),'Weekly Tracker'!$I$2:$I$766),"")</f>
        <v/>
      </c>
      <c r="J1139" s="9">
        <f>IFERROR(LOOKUP(2,1/('Weekly Tracker'!$E$2:$E$766=$A1139)/('Weekly Tracker'!$J$2:$J$766&lt;&gt;""),'Weekly Tracker'!$J$2:$J$766),"")</f>
        <v/>
      </c>
      <c r="K1139" s="9">
        <f>IFERROR(LOOKUP(2,1/('Weekly Tracker'!$E$2:$E$766=$A1139)/('Weekly Tracker'!$N$2:$N$766&lt;&gt;""),'Weekly Tracker'!$N$2:$N$766),"")</f>
        <v/>
      </c>
      <c r="L1139" s="9">
        <f>IFERROR(LOOKUP(2,1/('Weekly Tracker'!$E$2:$E$766=$A1139)/('Weekly Tracker'!$O$2:$O$766&lt;&gt;""),'Weekly Tracker'!$O$2:$O$766),"")</f>
        <v/>
      </c>
    </row>
    <row r="1140">
      <c r="A1140" s="9" t="inlineStr">
        <is>
          <t>Paul Jeya Singh Nadar Scl</t>
        </is>
      </c>
      <c r="B1140" s="9" t="inlineStr">
        <is>
          <t>919677015501</t>
        </is>
      </c>
      <c r="C1140" s="9" t="n"/>
      <c r="D1140" s="9" t="n"/>
      <c r="E1140" s="9" t="n"/>
      <c r="F1140" s="9">
        <f>IFERROR(LOOKUP(2,1/('Weekly Tracker'!$E$2:$E$766=$A1140)/('Weekly Tracker'!$F$2:$F$766&lt;&gt;""),'Weekly Tracker'!$F$2:$F$766),"")</f>
        <v/>
      </c>
      <c r="G1140" s="16">
        <f>IF(F1140&lt;&gt;"",LOOKUP(2,1/('Weekly Tracker'!$E$2:$E$766=$A1140)/('Weekly Tracker'!$F$2:$F$766&lt;&gt;""),'Weekly Tracker'!$G$2:$G$766),"")</f>
        <v/>
      </c>
      <c r="H1140" s="9">
        <f>IFERROR(LOOKUP(2,1/('Weekly Tracker'!$E$2:$E$766=$A1140)/('Weekly Tracker'!$H$2:$H$766&lt;&gt;""),'Weekly Tracker'!$H$2:$H$766),"")</f>
        <v/>
      </c>
      <c r="I1140" s="16">
        <f>IF(H1140&lt;&gt;"",LOOKUP(2,1/('Weekly Tracker'!$E$2:$E$766=$A1140)/('Weekly Tracker'!$H$2:$H$766&lt;&gt;""),'Weekly Tracker'!$I$2:$I$766),"")</f>
        <v/>
      </c>
      <c r="J1140" s="9">
        <f>IFERROR(LOOKUP(2,1/('Weekly Tracker'!$E$2:$E$766=$A1140)/('Weekly Tracker'!$J$2:$J$766&lt;&gt;""),'Weekly Tracker'!$J$2:$J$766),"")</f>
        <v/>
      </c>
      <c r="K1140" s="9">
        <f>IFERROR(LOOKUP(2,1/('Weekly Tracker'!$E$2:$E$766=$A1140)/('Weekly Tracker'!$N$2:$N$766&lt;&gt;""),'Weekly Tracker'!$N$2:$N$766),"")</f>
        <v/>
      </c>
      <c r="L1140" s="9">
        <f>IFERROR(LOOKUP(2,1/('Weekly Tracker'!$E$2:$E$766=$A1140)/('Weekly Tracker'!$O$2:$O$766&lt;&gt;""),'Weekly Tracker'!$O$2:$O$766),"")</f>
        <v/>
      </c>
    </row>
    <row r="1141">
      <c r="A1141" s="9" t="inlineStr">
        <is>
          <t>Babu Civil</t>
        </is>
      </c>
      <c r="B1141" s="9" t="inlineStr">
        <is>
          <t>8122030742</t>
        </is>
      </c>
      <c r="C1141" s="9" t="n"/>
      <c r="D1141" s="9" t="n"/>
      <c r="E1141" s="9" t="n"/>
      <c r="F1141" s="9">
        <f>IFERROR(LOOKUP(2,1/('Weekly Tracker'!$E$2:$E$766=$A1141)/('Weekly Tracker'!$F$2:$F$766&lt;&gt;""),'Weekly Tracker'!$F$2:$F$766),"")</f>
        <v/>
      </c>
      <c r="G1141" s="16">
        <f>IF(F1141&lt;&gt;"",LOOKUP(2,1/('Weekly Tracker'!$E$2:$E$766=$A1141)/('Weekly Tracker'!$F$2:$F$766&lt;&gt;""),'Weekly Tracker'!$G$2:$G$766),"")</f>
        <v/>
      </c>
      <c r="H1141" s="9">
        <f>IFERROR(LOOKUP(2,1/('Weekly Tracker'!$E$2:$E$766=$A1141)/('Weekly Tracker'!$H$2:$H$766&lt;&gt;""),'Weekly Tracker'!$H$2:$H$766),"")</f>
        <v/>
      </c>
      <c r="I1141" s="16">
        <f>IF(H1141&lt;&gt;"",LOOKUP(2,1/('Weekly Tracker'!$E$2:$E$766=$A1141)/('Weekly Tracker'!$H$2:$H$766&lt;&gt;""),'Weekly Tracker'!$I$2:$I$766),"")</f>
        <v/>
      </c>
      <c r="J1141" s="9">
        <f>IFERROR(LOOKUP(2,1/('Weekly Tracker'!$E$2:$E$766=$A1141)/('Weekly Tracker'!$J$2:$J$766&lt;&gt;""),'Weekly Tracker'!$J$2:$J$766),"")</f>
        <v/>
      </c>
      <c r="K1141" s="9">
        <f>IFERROR(LOOKUP(2,1/('Weekly Tracker'!$E$2:$E$766=$A1141)/('Weekly Tracker'!$N$2:$N$766&lt;&gt;""),'Weekly Tracker'!$N$2:$N$766),"")</f>
        <v/>
      </c>
      <c r="L1141" s="9">
        <f>IFERROR(LOOKUP(2,1/('Weekly Tracker'!$E$2:$E$766=$A1141)/('Weekly Tracker'!$O$2:$O$766&lt;&gt;""),'Weekly Tracker'!$O$2:$O$766),"")</f>
        <v/>
      </c>
    </row>
    <row r="1142">
      <c r="A1142" s="9" t="inlineStr">
        <is>
          <t>Samsul Hutha</t>
        </is>
      </c>
      <c r="B1142" s="9" t="inlineStr">
        <is>
          <t>+91 83008 74137, 919487874299</t>
        </is>
      </c>
      <c r="C1142" s="9" t="n"/>
      <c r="D1142" s="9" t="n"/>
      <c r="E1142" s="9" t="n"/>
      <c r="F1142" s="9">
        <f>IFERROR(LOOKUP(2,1/('Weekly Tracker'!$E$2:$E$766=$A1142)/('Weekly Tracker'!$F$2:$F$766&lt;&gt;""),'Weekly Tracker'!$F$2:$F$766),"")</f>
        <v/>
      </c>
      <c r="G1142" s="16">
        <f>IF(F1142&lt;&gt;"",LOOKUP(2,1/('Weekly Tracker'!$E$2:$E$766=$A1142)/('Weekly Tracker'!$F$2:$F$766&lt;&gt;""),'Weekly Tracker'!$G$2:$G$766),"")</f>
        <v/>
      </c>
      <c r="H1142" s="9">
        <f>IFERROR(LOOKUP(2,1/('Weekly Tracker'!$E$2:$E$766=$A1142)/('Weekly Tracker'!$H$2:$H$766&lt;&gt;""),'Weekly Tracker'!$H$2:$H$766),"")</f>
        <v/>
      </c>
      <c r="I1142" s="16">
        <f>IF(H1142&lt;&gt;"",LOOKUP(2,1/('Weekly Tracker'!$E$2:$E$766=$A1142)/('Weekly Tracker'!$H$2:$H$766&lt;&gt;""),'Weekly Tracker'!$I$2:$I$766),"")</f>
        <v/>
      </c>
      <c r="J1142" s="9">
        <f>IFERROR(LOOKUP(2,1/('Weekly Tracker'!$E$2:$E$766=$A1142)/('Weekly Tracker'!$J$2:$J$766&lt;&gt;""),'Weekly Tracker'!$J$2:$J$766),"")</f>
        <v/>
      </c>
      <c r="K1142" s="9">
        <f>IFERROR(LOOKUP(2,1/('Weekly Tracker'!$E$2:$E$766=$A1142)/('Weekly Tracker'!$N$2:$N$766&lt;&gt;""),'Weekly Tracker'!$N$2:$N$766),"")</f>
        <v/>
      </c>
      <c r="L1142" s="9">
        <f>IFERROR(LOOKUP(2,1/('Weekly Tracker'!$E$2:$E$766=$A1142)/('Weekly Tracker'!$O$2:$O$766&lt;&gt;""),'Weekly Tracker'!$O$2:$O$766),"")</f>
        <v/>
      </c>
    </row>
    <row r="1143">
      <c r="A1143" s="9" t="inlineStr">
        <is>
          <t>Raja Ganapathy FB</t>
        </is>
      </c>
      <c r="B1143" s="9" t="inlineStr">
        <is>
          <t>8695912171</t>
        </is>
      </c>
      <c r="C1143" s="9" t="n"/>
      <c r="D1143" s="9" t="n"/>
      <c r="E1143" s="9" t="n"/>
      <c r="F1143" s="9">
        <f>IFERROR(LOOKUP(2,1/('Weekly Tracker'!$E$2:$E$766=$A1143)/('Weekly Tracker'!$F$2:$F$766&lt;&gt;""),'Weekly Tracker'!$F$2:$F$766),"")</f>
        <v/>
      </c>
      <c r="G1143" s="16">
        <f>IF(F1143&lt;&gt;"",LOOKUP(2,1/('Weekly Tracker'!$E$2:$E$766=$A1143)/('Weekly Tracker'!$F$2:$F$766&lt;&gt;""),'Weekly Tracker'!$G$2:$G$766),"")</f>
        <v/>
      </c>
      <c r="H1143" s="9">
        <f>IFERROR(LOOKUP(2,1/('Weekly Tracker'!$E$2:$E$766=$A1143)/('Weekly Tracker'!$H$2:$H$766&lt;&gt;""),'Weekly Tracker'!$H$2:$H$766),"")</f>
        <v/>
      </c>
      <c r="I1143" s="16">
        <f>IF(H1143&lt;&gt;"",LOOKUP(2,1/('Weekly Tracker'!$E$2:$E$766=$A1143)/('Weekly Tracker'!$H$2:$H$766&lt;&gt;""),'Weekly Tracker'!$I$2:$I$766),"")</f>
        <v/>
      </c>
      <c r="J1143" s="9">
        <f>IFERROR(LOOKUP(2,1/('Weekly Tracker'!$E$2:$E$766=$A1143)/('Weekly Tracker'!$J$2:$J$766&lt;&gt;""),'Weekly Tracker'!$J$2:$J$766),"")</f>
        <v/>
      </c>
      <c r="K1143" s="9">
        <f>IFERROR(LOOKUP(2,1/('Weekly Tracker'!$E$2:$E$766=$A1143)/('Weekly Tracker'!$N$2:$N$766&lt;&gt;""),'Weekly Tracker'!$N$2:$N$766),"")</f>
        <v/>
      </c>
      <c r="L1143" s="9">
        <f>IFERROR(LOOKUP(2,1/('Weekly Tracker'!$E$2:$E$766=$A1143)/('Weekly Tracker'!$O$2:$O$766&lt;&gt;""),'Weekly Tracker'!$O$2:$O$766),"")</f>
        <v/>
      </c>
    </row>
    <row r="1144">
      <c r="A1144" s="9" t="inlineStr">
        <is>
          <t>Second Meetings Doc Shop</t>
        </is>
      </c>
      <c r="B1144" s="9" t="inlineStr">
        <is>
          <t>919962222245</t>
        </is>
      </c>
      <c r="C1144" s="9" t="n"/>
      <c r="D1144" s="9" t="n"/>
      <c r="E1144" s="9" t="n"/>
      <c r="F1144" s="9">
        <f>IFERROR(LOOKUP(2,1/('Weekly Tracker'!$E$2:$E$766=$A1144)/('Weekly Tracker'!$F$2:$F$766&lt;&gt;""),'Weekly Tracker'!$F$2:$F$766),"")</f>
        <v/>
      </c>
      <c r="G1144" s="16">
        <f>IF(F1144&lt;&gt;"",LOOKUP(2,1/('Weekly Tracker'!$E$2:$E$766=$A1144)/('Weekly Tracker'!$F$2:$F$766&lt;&gt;""),'Weekly Tracker'!$G$2:$G$766),"")</f>
        <v/>
      </c>
      <c r="H1144" s="9">
        <f>IFERROR(LOOKUP(2,1/('Weekly Tracker'!$E$2:$E$766=$A1144)/('Weekly Tracker'!$H$2:$H$766&lt;&gt;""),'Weekly Tracker'!$H$2:$H$766),"")</f>
        <v/>
      </c>
      <c r="I1144" s="16">
        <f>IF(H1144&lt;&gt;"",LOOKUP(2,1/('Weekly Tracker'!$E$2:$E$766=$A1144)/('Weekly Tracker'!$H$2:$H$766&lt;&gt;""),'Weekly Tracker'!$I$2:$I$766),"")</f>
        <v/>
      </c>
      <c r="J1144" s="9">
        <f>IFERROR(LOOKUP(2,1/('Weekly Tracker'!$E$2:$E$766=$A1144)/('Weekly Tracker'!$J$2:$J$766&lt;&gt;""),'Weekly Tracker'!$J$2:$J$766),"")</f>
        <v/>
      </c>
      <c r="K1144" s="9">
        <f>IFERROR(LOOKUP(2,1/('Weekly Tracker'!$E$2:$E$766=$A1144)/('Weekly Tracker'!$N$2:$N$766&lt;&gt;""),'Weekly Tracker'!$N$2:$N$766),"")</f>
        <v/>
      </c>
      <c r="L1144" s="9">
        <f>IFERROR(LOOKUP(2,1/('Weekly Tracker'!$E$2:$E$766=$A1144)/('Weekly Tracker'!$O$2:$O$766&lt;&gt;""),'Weekly Tracker'!$O$2:$O$766),"")</f>
        <v/>
      </c>
    </row>
    <row r="1145">
      <c r="A1145" s="9" t="inlineStr">
        <is>
          <t>Mithra ECE</t>
        </is>
      </c>
      <c r="B1145" s="9" t="inlineStr">
        <is>
          <t>919500607685</t>
        </is>
      </c>
      <c r="C1145" s="9" t="n"/>
      <c r="D1145" s="9" t="n"/>
      <c r="E1145" s="9" t="n"/>
      <c r="F1145" s="9">
        <f>IFERROR(LOOKUP(2,1/('Weekly Tracker'!$E$2:$E$766=$A1145)/('Weekly Tracker'!$F$2:$F$766&lt;&gt;""),'Weekly Tracker'!$F$2:$F$766),"")</f>
        <v/>
      </c>
      <c r="G1145" s="16">
        <f>IF(F1145&lt;&gt;"",LOOKUP(2,1/('Weekly Tracker'!$E$2:$E$766=$A1145)/('Weekly Tracker'!$F$2:$F$766&lt;&gt;""),'Weekly Tracker'!$G$2:$G$766),"")</f>
        <v/>
      </c>
      <c r="H1145" s="9">
        <f>IFERROR(LOOKUP(2,1/('Weekly Tracker'!$E$2:$E$766=$A1145)/('Weekly Tracker'!$H$2:$H$766&lt;&gt;""),'Weekly Tracker'!$H$2:$H$766),"")</f>
        <v/>
      </c>
      <c r="I1145" s="16">
        <f>IF(H1145&lt;&gt;"",LOOKUP(2,1/('Weekly Tracker'!$E$2:$E$766=$A1145)/('Weekly Tracker'!$H$2:$H$766&lt;&gt;""),'Weekly Tracker'!$I$2:$I$766),"")</f>
        <v/>
      </c>
      <c r="J1145" s="9">
        <f>IFERROR(LOOKUP(2,1/('Weekly Tracker'!$E$2:$E$766=$A1145)/('Weekly Tracker'!$J$2:$J$766&lt;&gt;""),'Weekly Tracker'!$J$2:$J$766),"")</f>
        <v/>
      </c>
      <c r="K1145" s="9">
        <f>IFERROR(LOOKUP(2,1/('Weekly Tracker'!$E$2:$E$766=$A1145)/('Weekly Tracker'!$N$2:$N$766&lt;&gt;""),'Weekly Tracker'!$N$2:$N$766),"")</f>
        <v/>
      </c>
      <c r="L1145" s="9">
        <f>IFERROR(LOOKUP(2,1/('Weekly Tracker'!$E$2:$E$766=$A1145)/('Weekly Tracker'!$O$2:$O$766&lt;&gt;""),'Weekly Tracker'!$O$2:$O$766),"")</f>
        <v/>
      </c>
    </row>
    <row r="1146">
      <c r="A1146" s="9" t="inlineStr">
        <is>
          <t>Appa Mobile</t>
        </is>
      </c>
      <c r="B1146" s="9" t="inlineStr">
        <is>
          <t>919487601309</t>
        </is>
      </c>
      <c r="C1146" s="9" t="n"/>
      <c r="D1146" s="9" t="n"/>
      <c r="E1146" s="9" t="n"/>
      <c r="F1146" s="9">
        <f>IFERROR(LOOKUP(2,1/('Weekly Tracker'!$E$2:$E$766=$A1146)/('Weekly Tracker'!$F$2:$F$766&lt;&gt;""),'Weekly Tracker'!$F$2:$F$766),"")</f>
        <v/>
      </c>
      <c r="G1146" s="16">
        <f>IF(F1146&lt;&gt;"",LOOKUP(2,1/('Weekly Tracker'!$E$2:$E$766=$A1146)/('Weekly Tracker'!$F$2:$F$766&lt;&gt;""),'Weekly Tracker'!$G$2:$G$766),"")</f>
        <v/>
      </c>
      <c r="H1146" s="9">
        <f>IFERROR(LOOKUP(2,1/('Weekly Tracker'!$E$2:$E$766=$A1146)/('Weekly Tracker'!$H$2:$H$766&lt;&gt;""),'Weekly Tracker'!$H$2:$H$766),"")</f>
        <v/>
      </c>
      <c r="I1146" s="16">
        <f>IF(H1146&lt;&gt;"",LOOKUP(2,1/('Weekly Tracker'!$E$2:$E$766=$A1146)/('Weekly Tracker'!$H$2:$H$766&lt;&gt;""),'Weekly Tracker'!$I$2:$I$766),"")</f>
        <v/>
      </c>
      <c r="J1146" s="9">
        <f>IFERROR(LOOKUP(2,1/('Weekly Tracker'!$E$2:$E$766=$A1146)/('Weekly Tracker'!$J$2:$J$766&lt;&gt;""),'Weekly Tracker'!$J$2:$J$766),"")</f>
        <v/>
      </c>
      <c r="K1146" s="9">
        <f>IFERROR(LOOKUP(2,1/('Weekly Tracker'!$E$2:$E$766=$A1146)/('Weekly Tracker'!$N$2:$N$766&lt;&gt;""),'Weekly Tracker'!$N$2:$N$766),"")</f>
        <v/>
      </c>
      <c r="L1146" s="9">
        <f>IFERROR(LOOKUP(2,1/('Weekly Tracker'!$E$2:$E$766=$A1146)/('Weekly Tracker'!$O$2:$O$766&lt;&gt;""),'Weekly Tracker'!$O$2:$O$766),"")</f>
        <v/>
      </c>
    </row>
    <row r="1147">
      <c r="A1147" s="9" t="inlineStr">
        <is>
          <t>Thanga Paresh Grp Ucen</t>
        </is>
      </c>
      <c r="B1147" s="9" t="inlineStr">
        <is>
          <t>919486786241</t>
        </is>
      </c>
      <c r="C1147" s="9" t="n"/>
      <c r="D1147" s="9" t="n"/>
      <c r="E1147" s="9" t="n"/>
      <c r="F1147" s="9">
        <f>IFERROR(LOOKUP(2,1/('Weekly Tracker'!$E$2:$E$766=$A1147)/('Weekly Tracker'!$F$2:$F$766&lt;&gt;""),'Weekly Tracker'!$F$2:$F$766),"")</f>
        <v/>
      </c>
      <c r="G1147" s="16">
        <f>IF(F1147&lt;&gt;"",LOOKUP(2,1/('Weekly Tracker'!$E$2:$E$766=$A1147)/('Weekly Tracker'!$F$2:$F$766&lt;&gt;""),'Weekly Tracker'!$G$2:$G$766),"")</f>
        <v/>
      </c>
      <c r="H1147" s="9">
        <f>IFERROR(LOOKUP(2,1/('Weekly Tracker'!$E$2:$E$766=$A1147)/('Weekly Tracker'!$H$2:$H$766&lt;&gt;""),'Weekly Tracker'!$H$2:$H$766),"")</f>
        <v/>
      </c>
      <c r="I1147" s="16">
        <f>IF(H1147&lt;&gt;"",LOOKUP(2,1/('Weekly Tracker'!$E$2:$E$766=$A1147)/('Weekly Tracker'!$H$2:$H$766&lt;&gt;""),'Weekly Tracker'!$I$2:$I$766),"")</f>
        <v/>
      </c>
      <c r="J1147" s="9">
        <f>IFERROR(LOOKUP(2,1/('Weekly Tracker'!$E$2:$E$766=$A1147)/('Weekly Tracker'!$J$2:$J$766&lt;&gt;""),'Weekly Tracker'!$J$2:$J$766),"")</f>
        <v/>
      </c>
      <c r="K1147" s="9">
        <f>IFERROR(LOOKUP(2,1/('Weekly Tracker'!$E$2:$E$766=$A1147)/('Weekly Tracker'!$N$2:$N$766&lt;&gt;""),'Weekly Tracker'!$N$2:$N$766),"")</f>
        <v/>
      </c>
      <c r="L1147" s="9">
        <f>IFERROR(LOOKUP(2,1/('Weekly Tracker'!$E$2:$E$766=$A1147)/('Weekly Tracker'!$O$2:$O$766&lt;&gt;""),'Weekly Tracker'!$O$2:$O$766),"")</f>
        <v/>
      </c>
    </row>
    <row r="1148">
      <c r="A1148" s="9" t="inlineStr">
        <is>
          <t>Anathasankar FB</t>
        </is>
      </c>
      <c r="B1148" s="9" t="inlineStr">
        <is>
          <t>8940123858</t>
        </is>
      </c>
      <c r="C1148" s="9" t="n"/>
      <c r="D1148" s="9" t="n"/>
      <c r="E1148" s="9" t="n"/>
      <c r="F1148" s="9">
        <f>IFERROR(LOOKUP(2,1/('Weekly Tracker'!$E$2:$E$766=$A1148)/('Weekly Tracker'!$F$2:$F$766&lt;&gt;""),'Weekly Tracker'!$F$2:$F$766),"")</f>
        <v/>
      </c>
      <c r="G1148" s="16">
        <f>IF(F1148&lt;&gt;"",LOOKUP(2,1/('Weekly Tracker'!$E$2:$E$766=$A1148)/('Weekly Tracker'!$F$2:$F$766&lt;&gt;""),'Weekly Tracker'!$G$2:$G$766),"")</f>
        <v/>
      </c>
      <c r="H1148" s="9">
        <f>IFERROR(LOOKUP(2,1/('Weekly Tracker'!$E$2:$E$766=$A1148)/('Weekly Tracker'!$H$2:$H$766&lt;&gt;""),'Weekly Tracker'!$H$2:$H$766),"")</f>
        <v/>
      </c>
      <c r="I1148" s="16">
        <f>IF(H1148&lt;&gt;"",LOOKUP(2,1/('Weekly Tracker'!$E$2:$E$766=$A1148)/('Weekly Tracker'!$H$2:$H$766&lt;&gt;""),'Weekly Tracker'!$I$2:$I$766),"")</f>
        <v/>
      </c>
      <c r="J1148" s="9">
        <f>IFERROR(LOOKUP(2,1/('Weekly Tracker'!$E$2:$E$766=$A1148)/('Weekly Tracker'!$J$2:$J$766&lt;&gt;""),'Weekly Tracker'!$J$2:$J$766),"")</f>
        <v/>
      </c>
      <c r="K1148" s="9">
        <f>IFERROR(LOOKUP(2,1/('Weekly Tracker'!$E$2:$E$766=$A1148)/('Weekly Tracker'!$N$2:$N$766&lt;&gt;""),'Weekly Tracker'!$N$2:$N$766),"")</f>
        <v/>
      </c>
      <c r="L1148" s="9">
        <f>IFERROR(LOOKUP(2,1/('Weekly Tracker'!$E$2:$E$766=$A1148)/('Weekly Tracker'!$O$2:$O$766&lt;&gt;""),'Weekly Tracker'!$O$2:$O$766),"")</f>
        <v/>
      </c>
    </row>
    <row r="1149">
      <c r="A1149" s="9" t="inlineStr">
        <is>
          <t>Thimothy Pallipati RM</t>
        </is>
      </c>
      <c r="B1149" s="9" t="inlineStr">
        <is>
          <t>919908643452</t>
        </is>
      </c>
      <c r="C1149" s="9" t="n"/>
      <c r="D1149" s="9" t="n"/>
      <c r="E1149" s="9" t="n"/>
      <c r="F1149" s="9">
        <f>IFERROR(LOOKUP(2,1/('Weekly Tracker'!$E$2:$E$766=$A1149)/('Weekly Tracker'!$F$2:$F$766&lt;&gt;""),'Weekly Tracker'!$F$2:$F$766),"")</f>
        <v/>
      </c>
      <c r="G1149" s="16">
        <f>IF(F1149&lt;&gt;"",LOOKUP(2,1/('Weekly Tracker'!$E$2:$E$766=$A1149)/('Weekly Tracker'!$F$2:$F$766&lt;&gt;""),'Weekly Tracker'!$G$2:$G$766),"")</f>
        <v/>
      </c>
      <c r="H1149" s="9">
        <f>IFERROR(LOOKUP(2,1/('Weekly Tracker'!$E$2:$E$766=$A1149)/('Weekly Tracker'!$H$2:$H$766&lt;&gt;""),'Weekly Tracker'!$H$2:$H$766),"")</f>
        <v/>
      </c>
      <c r="I1149" s="16">
        <f>IF(H1149&lt;&gt;"",LOOKUP(2,1/('Weekly Tracker'!$E$2:$E$766=$A1149)/('Weekly Tracker'!$H$2:$H$766&lt;&gt;""),'Weekly Tracker'!$I$2:$I$766),"")</f>
        <v/>
      </c>
      <c r="J1149" s="9">
        <f>IFERROR(LOOKUP(2,1/('Weekly Tracker'!$E$2:$E$766=$A1149)/('Weekly Tracker'!$J$2:$J$766&lt;&gt;""),'Weekly Tracker'!$J$2:$J$766),"")</f>
        <v/>
      </c>
      <c r="K1149" s="9">
        <f>IFERROR(LOOKUP(2,1/('Weekly Tracker'!$E$2:$E$766=$A1149)/('Weekly Tracker'!$N$2:$N$766&lt;&gt;""),'Weekly Tracker'!$N$2:$N$766),"")</f>
        <v/>
      </c>
      <c r="L1149" s="9">
        <f>IFERROR(LOOKUP(2,1/('Weekly Tracker'!$E$2:$E$766=$A1149)/('Weekly Tracker'!$O$2:$O$766&lt;&gt;""),'Weekly Tracker'!$O$2:$O$766),"")</f>
        <v/>
      </c>
    </row>
    <row r="1150">
      <c r="A1150" s="9" t="inlineStr">
        <is>
          <t>Ratheesh FB</t>
        </is>
      </c>
      <c r="B1150" s="9" t="inlineStr">
        <is>
          <t>919791747086, 919894458818</t>
        </is>
      </c>
      <c r="C1150" s="9" t="n"/>
      <c r="D1150" s="9" t="n"/>
      <c r="E1150" s="9" t="n"/>
      <c r="F1150" s="9">
        <f>IFERROR(LOOKUP(2,1/('Weekly Tracker'!$E$2:$E$766=$A1150)/('Weekly Tracker'!$F$2:$F$766&lt;&gt;""),'Weekly Tracker'!$F$2:$F$766),"")</f>
        <v/>
      </c>
      <c r="G1150" s="16">
        <f>IF(F1150&lt;&gt;"",LOOKUP(2,1/('Weekly Tracker'!$E$2:$E$766=$A1150)/('Weekly Tracker'!$F$2:$F$766&lt;&gt;""),'Weekly Tracker'!$G$2:$G$766),"")</f>
        <v/>
      </c>
      <c r="H1150" s="9">
        <f>IFERROR(LOOKUP(2,1/('Weekly Tracker'!$E$2:$E$766=$A1150)/('Weekly Tracker'!$H$2:$H$766&lt;&gt;""),'Weekly Tracker'!$H$2:$H$766),"")</f>
        <v/>
      </c>
      <c r="I1150" s="16">
        <f>IF(H1150&lt;&gt;"",LOOKUP(2,1/('Weekly Tracker'!$E$2:$E$766=$A1150)/('Weekly Tracker'!$H$2:$H$766&lt;&gt;""),'Weekly Tracker'!$I$2:$I$766),"")</f>
        <v/>
      </c>
      <c r="J1150" s="9">
        <f>IFERROR(LOOKUP(2,1/('Weekly Tracker'!$E$2:$E$766=$A1150)/('Weekly Tracker'!$J$2:$J$766&lt;&gt;""),'Weekly Tracker'!$J$2:$J$766),"")</f>
        <v/>
      </c>
      <c r="K1150" s="9">
        <f>IFERROR(LOOKUP(2,1/('Weekly Tracker'!$E$2:$E$766=$A1150)/('Weekly Tracker'!$N$2:$N$766&lt;&gt;""),'Weekly Tracker'!$N$2:$N$766),"")</f>
        <v/>
      </c>
      <c r="L1150" s="9">
        <f>IFERROR(LOOKUP(2,1/('Weekly Tracker'!$E$2:$E$766=$A1150)/('Weekly Tracker'!$O$2:$O$766&lt;&gt;""),'Weekly Tracker'!$O$2:$O$766),"")</f>
        <v/>
      </c>
    </row>
    <row r="1151">
      <c r="A1151" s="9" t="inlineStr">
        <is>
          <t>Prabakaran HCL</t>
        </is>
      </c>
      <c r="B1151" s="9" t="inlineStr">
        <is>
          <t>8680050344</t>
        </is>
      </c>
      <c r="C1151" s="9" t="n"/>
      <c r="D1151" s="9" t="n"/>
      <c r="E1151" s="9" t="n"/>
      <c r="F1151" s="9">
        <f>IFERROR(LOOKUP(2,1/('Weekly Tracker'!$E$2:$E$766=$A1151)/('Weekly Tracker'!$F$2:$F$766&lt;&gt;""),'Weekly Tracker'!$F$2:$F$766),"")</f>
        <v/>
      </c>
      <c r="G1151" s="16">
        <f>IF(F1151&lt;&gt;"",LOOKUP(2,1/('Weekly Tracker'!$E$2:$E$766=$A1151)/('Weekly Tracker'!$F$2:$F$766&lt;&gt;""),'Weekly Tracker'!$G$2:$G$766),"")</f>
        <v/>
      </c>
      <c r="H1151" s="9">
        <f>IFERROR(LOOKUP(2,1/('Weekly Tracker'!$E$2:$E$766=$A1151)/('Weekly Tracker'!$H$2:$H$766&lt;&gt;""),'Weekly Tracker'!$H$2:$H$766),"")</f>
        <v/>
      </c>
      <c r="I1151" s="16">
        <f>IF(H1151&lt;&gt;"",LOOKUP(2,1/('Weekly Tracker'!$E$2:$E$766=$A1151)/('Weekly Tracker'!$H$2:$H$766&lt;&gt;""),'Weekly Tracker'!$I$2:$I$766),"")</f>
        <v/>
      </c>
      <c r="J1151" s="9">
        <f>IFERROR(LOOKUP(2,1/('Weekly Tracker'!$E$2:$E$766=$A1151)/('Weekly Tracker'!$J$2:$J$766&lt;&gt;""),'Weekly Tracker'!$J$2:$J$766),"")</f>
        <v/>
      </c>
      <c r="K1151" s="9">
        <f>IFERROR(LOOKUP(2,1/('Weekly Tracker'!$E$2:$E$766=$A1151)/('Weekly Tracker'!$N$2:$N$766&lt;&gt;""),'Weekly Tracker'!$N$2:$N$766),"")</f>
        <v/>
      </c>
      <c r="L1151" s="9">
        <f>IFERROR(LOOKUP(2,1/('Weekly Tracker'!$E$2:$E$766=$A1151)/('Weekly Tracker'!$O$2:$O$766&lt;&gt;""),'Weekly Tracker'!$O$2:$O$766),"")</f>
        <v/>
      </c>
    </row>
    <row r="1152">
      <c r="A1152" s="9" t="inlineStr">
        <is>
          <t>iPlanet Thoraipakkam</t>
        </is>
      </c>
      <c r="B1152" s="9" t="inlineStr">
        <is>
          <t>7397779337</t>
        </is>
      </c>
      <c r="C1152" s="9" t="n"/>
      <c r="D1152" s="9" t="n"/>
      <c r="E1152" s="9" t="n"/>
      <c r="F1152" s="9">
        <f>IFERROR(LOOKUP(2,1/('Weekly Tracker'!$E$2:$E$766=$A1152)/('Weekly Tracker'!$F$2:$F$766&lt;&gt;""),'Weekly Tracker'!$F$2:$F$766),"")</f>
        <v/>
      </c>
      <c r="G1152" s="16">
        <f>IF(F1152&lt;&gt;"",LOOKUP(2,1/('Weekly Tracker'!$E$2:$E$766=$A1152)/('Weekly Tracker'!$F$2:$F$766&lt;&gt;""),'Weekly Tracker'!$G$2:$G$766),"")</f>
        <v/>
      </c>
      <c r="H1152" s="9">
        <f>IFERROR(LOOKUP(2,1/('Weekly Tracker'!$E$2:$E$766=$A1152)/('Weekly Tracker'!$H$2:$H$766&lt;&gt;""),'Weekly Tracker'!$H$2:$H$766),"")</f>
        <v/>
      </c>
      <c r="I1152" s="16">
        <f>IF(H1152&lt;&gt;"",LOOKUP(2,1/('Weekly Tracker'!$E$2:$E$766=$A1152)/('Weekly Tracker'!$H$2:$H$766&lt;&gt;""),'Weekly Tracker'!$I$2:$I$766),"")</f>
        <v/>
      </c>
      <c r="J1152" s="9">
        <f>IFERROR(LOOKUP(2,1/('Weekly Tracker'!$E$2:$E$766=$A1152)/('Weekly Tracker'!$J$2:$J$766&lt;&gt;""),'Weekly Tracker'!$J$2:$J$766),"")</f>
        <v/>
      </c>
      <c r="K1152" s="9">
        <f>IFERROR(LOOKUP(2,1/('Weekly Tracker'!$E$2:$E$766=$A1152)/('Weekly Tracker'!$N$2:$N$766&lt;&gt;""),'Weekly Tracker'!$N$2:$N$766),"")</f>
        <v/>
      </c>
      <c r="L1152" s="9">
        <f>IFERROR(LOOKUP(2,1/('Weekly Tracker'!$E$2:$E$766=$A1152)/('Weekly Tracker'!$O$2:$O$766&lt;&gt;""),'Weekly Tracker'!$O$2:$O$766),"")</f>
        <v/>
      </c>
    </row>
    <row r="1153">
      <c r="A1153" s="9" t="inlineStr">
        <is>
          <t>Antony Scl</t>
        </is>
      </c>
      <c r="B1153" s="9" t="inlineStr">
        <is>
          <t>919944471544</t>
        </is>
      </c>
      <c r="C1153" s="9" t="n"/>
      <c r="D1153" s="9" t="n"/>
      <c r="E1153" s="9" t="n"/>
      <c r="F1153" s="9">
        <f>IFERROR(LOOKUP(2,1/('Weekly Tracker'!$E$2:$E$766=$A1153)/('Weekly Tracker'!$F$2:$F$766&lt;&gt;""),'Weekly Tracker'!$F$2:$F$766),"")</f>
        <v/>
      </c>
      <c r="G1153" s="16">
        <f>IF(F1153&lt;&gt;"",LOOKUP(2,1/('Weekly Tracker'!$E$2:$E$766=$A1153)/('Weekly Tracker'!$F$2:$F$766&lt;&gt;""),'Weekly Tracker'!$G$2:$G$766),"")</f>
        <v/>
      </c>
      <c r="H1153" s="9">
        <f>IFERROR(LOOKUP(2,1/('Weekly Tracker'!$E$2:$E$766=$A1153)/('Weekly Tracker'!$H$2:$H$766&lt;&gt;""),'Weekly Tracker'!$H$2:$H$766),"")</f>
        <v/>
      </c>
      <c r="I1153" s="16">
        <f>IF(H1153&lt;&gt;"",LOOKUP(2,1/('Weekly Tracker'!$E$2:$E$766=$A1153)/('Weekly Tracker'!$H$2:$H$766&lt;&gt;""),'Weekly Tracker'!$I$2:$I$766),"")</f>
        <v/>
      </c>
      <c r="J1153" s="9">
        <f>IFERROR(LOOKUP(2,1/('Weekly Tracker'!$E$2:$E$766=$A1153)/('Weekly Tracker'!$J$2:$J$766&lt;&gt;""),'Weekly Tracker'!$J$2:$J$766),"")</f>
        <v/>
      </c>
      <c r="K1153" s="9">
        <f>IFERROR(LOOKUP(2,1/('Weekly Tracker'!$E$2:$E$766=$A1153)/('Weekly Tracker'!$N$2:$N$766&lt;&gt;""),'Weekly Tracker'!$N$2:$N$766),"")</f>
        <v/>
      </c>
      <c r="L1153" s="9">
        <f>IFERROR(LOOKUP(2,1/('Weekly Tracker'!$E$2:$E$766=$A1153)/('Weekly Tracker'!$O$2:$O$766&lt;&gt;""),'Weekly Tracker'!$O$2:$O$766),"")</f>
        <v/>
      </c>
    </row>
    <row r="1154">
      <c r="A1154" s="9" t="inlineStr">
        <is>
          <t>Kishore civil</t>
        </is>
      </c>
      <c r="B1154" s="9" t="inlineStr">
        <is>
          <t>97892 84923, 9789284923</t>
        </is>
      </c>
      <c r="C1154" s="9" t="n"/>
      <c r="D1154" s="9" t="n"/>
      <c r="E1154" s="9" t="n"/>
      <c r="F1154" s="9">
        <f>IFERROR(LOOKUP(2,1/('Weekly Tracker'!$E$2:$E$766=$A1154)/('Weekly Tracker'!$F$2:$F$766&lt;&gt;""),'Weekly Tracker'!$F$2:$F$766),"")</f>
        <v/>
      </c>
      <c r="G1154" s="16">
        <f>IF(F1154&lt;&gt;"",LOOKUP(2,1/('Weekly Tracker'!$E$2:$E$766=$A1154)/('Weekly Tracker'!$F$2:$F$766&lt;&gt;""),'Weekly Tracker'!$G$2:$G$766),"")</f>
        <v/>
      </c>
      <c r="H1154" s="9">
        <f>IFERROR(LOOKUP(2,1/('Weekly Tracker'!$E$2:$E$766=$A1154)/('Weekly Tracker'!$H$2:$H$766&lt;&gt;""),'Weekly Tracker'!$H$2:$H$766),"")</f>
        <v/>
      </c>
      <c r="I1154" s="16">
        <f>IF(H1154&lt;&gt;"",LOOKUP(2,1/('Weekly Tracker'!$E$2:$E$766=$A1154)/('Weekly Tracker'!$H$2:$H$766&lt;&gt;""),'Weekly Tracker'!$I$2:$I$766),"")</f>
        <v/>
      </c>
      <c r="J1154" s="9">
        <f>IFERROR(LOOKUP(2,1/('Weekly Tracker'!$E$2:$E$766=$A1154)/('Weekly Tracker'!$J$2:$J$766&lt;&gt;""),'Weekly Tracker'!$J$2:$J$766),"")</f>
        <v/>
      </c>
      <c r="K1154" s="9">
        <f>IFERROR(LOOKUP(2,1/('Weekly Tracker'!$E$2:$E$766=$A1154)/('Weekly Tracker'!$N$2:$N$766&lt;&gt;""),'Weekly Tracker'!$N$2:$N$766),"")</f>
        <v/>
      </c>
      <c r="L1154" s="9">
        <f>IFERROR(LOOKUP(2,1/('Weekly Tracker'!$E$2:$E$766=$A1154)/('Weekly Tracker'!$O$2:$O$766&lt;&gt;""),'Weekly Tracker'!$O$2:$O$766),"")</f>
        <v/>
      </c>
    </row>
    <row r="1155">
      <c r="A1155" s="9" t="inlineStr">
        <is>
          <t>Surya Palani FB</t>
        </is>
      </c>
      <c r="B1155" s="9" t="inlineStr">
        <is>
          <t>8428797582</t>
        </is>
      </c>
      <c r="C1155" s="9" t="n"/>
      <c r="D1155" s="9" t="n"/>
      <c r="E1155" s="9" t="n"/>
      <c r="F1155" s="9">
        <f>IFERROR(LOOKUP(2,1/('Weekly Tracker'!$E$2:$E$766=$A1155)/('Weekly Tracker'!$F$2:$F$766&lt;&gt;""),'Weekly Tracker'!$F$2:$F$766),"")</f>
        <v/>
      </c>
      <c r="G1155" s="16">
        <f>IF(F1155&lt;&gt;"",LOOKUP(2,1/('Weekly Tracker'!$E$2:$E$766=$A1155)/('Weekly Tracker'!$F$2:$F$766&lt;&gt;""),'Weekly Tracker'!$G$2:$G$766),"")</f>
        <v/>
      </c>
      <c r="H1155" s="9">
        <f>IFERROR(LOOKUP(2,1/('Weekly Tracker'!$E$2:$E$766=$A1155)/('Weekly Tracker'!$H$2:$H$766&lt;&gt;""),'Weekly Tracker'!$H$2:$H$766),"")</f>
        <v/>
      </c>
      <c r="I1155" s="16">
        <f>IF(H1155&lt;&gt;"",LOOKUP(2,1/('Weekly Tracker'!$E$2:$E$766=$A1155)/('Weekly Tracker'!$H$2:$H$766&lt;&gt;""),'Weekly Tracker'!$I$2:$I$766),"")</f>
        <v/>
      </c>
      <c r="J1155" s="9">
        <f>IFERROR(LOOKUP(2,1/('Weekly Tracker'!$E$2:$E$766=$A1155)/('Weekly Tracker'!$J$2:$J$766&lt;&gt;""),'Weekly Tracker'!$J$2:$J$766),"")</f>
        <v/>
      </c>
      <c r="K1155" s="9">
        <f>IFERROR(LOOKUP(2,1/('Weekly Tracker'!$E$2:$E$766=$A1155)/('Weekly Tracker'!$N$2:$N$766&lt;&gt;""),'Weekly Tracker'!$N$2:$N$766),"")</f>
        <v/>
      </c>
      <c r="L1155" s="9">
        <f>IFERROR(LOOKUP(2,1/('Weekly Tracker'!$E$2:$E$766=$A1155)/('Weekly Tracker'!$O$2:$O$766&lt;&gt;""),'Weekly Tracker'!$O$2:$O$766),"")</f>
        <v/>
      </c>
    </row>
    <row r="1156">
      <c r="A1156" s="9" t="inlineStr">
        <is>
          <t>Jai Kumar Mech</t>
        </is>
      </c>
      <c r="B1156" s="9" t="inlineStr">
        <is>
          <t>9994691502</t>
        </is>
      </c>
      <c r="C1156" s="9" t="n"/>
      <c r="D1156" s="9" t="n"/>
      <c r="E1156" s="9" t="n"/>
      <c r="F1156" s="9">
        <f>IFERROR(LOOKUP(2,1/('Weekly Tracker'!$E$2:$E$766=$A1156)/('Weekly Tracker'!$F$2:$F$766&lt;&gt;""),'Weekly Tracker'!$F$2:$F$766),"")</f>
        <v/>
      </c>
      <c r="G1156" s="16">
        <f>IF(F1156&lt;&gt;"",LOOKUP(2,1/('Weekly Tracker'!$E$2:$E$766=$A1156)/('Weekly Tracker'!$F$2:$F$766&lt;&gt;""),'Weekly Tracker'!$G$2:$G$766),"")</f>
        <v/>
      </c>
      <c r="H1156" s="9">
        <f>IFERROR(LOOKUP(2,1/('Weekly Tracker'!$E$2:$E$766=$A1156)/('Weekly Tracker'!$H$2:$H$766&lt;&gt;""),'Weekly Tracker'!$H$2:$H$766),"")</f>
        <v/>
      </c>
      <c r="I1156" s="16">
        <f>IF(H1156&lt;&gt;"",LOOKUP(2,1/('Weekly Tracker'!$E$2:$E$766=$A1156)/('Weekly Tracker'!$H$2:$H$766&lt;&gt;""),'Weekly Tracker'!$I$2:$I$766),"")</f>
        <v/>
      </c>
      <c r="J1156" s="9">
        <f>IFERROR(LOOKUP(2,1/('Weekly Tracker'!$E$2:$E$766=$A1156)/('Weekly Tracker'!$J$2:$J$766&lt;&gt;""),'Weekly Tracker'!$J$2:$J$766),"")</f>
        <v/>
      </c>
      <c r="K1156" s="9">
        <f>IFERROR(LOOKUP(2,1/('Weekly Tracker'!$E$2:$E$766=$A1156)/('Weekly Tracker'!$N$2:$N$766&lt;&gt;""),'Weekly Tracker'!$N$2:$N$766),"")</f>
        <v/>
      </c>
      <c r="L1156" s="9">
        <f>IFERROR(LOOKUP(2,1/('Weekly Tracker'!$E$2:$E$766=$A1156)/('Weekly Tracker'!$O$2:$O$766&lt;&gt;""),'Weekly Tracker'!$O$2:$O$766),"")</f>
        <v/>
      </c>
    </row>
    <row r="1157">
      <c r="A1157" s="9" t="inlineStr">
        <is>
          <t>Ganeshavel-New Bang</t>
        </is>
      </c>
      <c r="B1157" s="9" t="inlineStr">
        <is>
          <t>917395875372</t>
        </is>
      </c>
      <c r="C1157" s="9" t="n"/>
      <c r="D1157" s="9" t="n"/>
      <c r="E1157" s="9" t="n"/>
      <c r="F1157" s="9">
        <f>IFERROR(LOOKUP(2,1/('Weekly Tracker'!$E$2:$E$766=$A1157)/('Weekly Tracker'!$F$2:$F$766&lt;&gt;""),'Weekly Tracker'!$F$2:$F$766),"")</f>
        <v/>
      </c>
      <c r="G1157" s="16">
        <f>IF(F1157&lt;&gt;"",LOOKUP(2,1/('Weekly Tracker'!$E$2:$E$766=$A1157)/('Weekly Tracker'!$F$2:$F$766&lt;&gt;""),'Weekly Tracker'!$G$2:$G$766),"")</f>
        <v/>
      </c>
      <c r="H1157" s="9">
        <f>IFERROR(LOOKUP(2,1/('Weekly Tracker'!$E$2:$E$766=$A1157)/('Weekly Tracker'!$H$2:$H$766&lt;&gt;""),'Weekly Tracker'!$H$2:$H$766),"")</f>
        <v/>
      </c>
      <c r="I1157" s="16">
        <f>IF(H1157&lt;&gt;"",LOOKUP(2,1/('Weekly Tracker'!$E$2:$E$766=$A1157)/('Weekly Tracker'!$H$2:$H$766&lt;&gt;""),'Weekly Tracker'!$I$2:$I$766),"")</f>
        <v/>
      </c>
      <c r="J1157" s="9">
        <f>IFERROR(LOOKUP(2,1/('Weekly Tracker'!$E$2:$E$766=$A1157)/('Weekly Tracker'!$J$2:$J$766&lt;&gt;""),'Weekly Tracker'!$J$2:$J$766),"")</f>
        <v/>
      </c>
      <c r="K1157" s="9">
        <f>IFERROR(LOOKUP(2,1/('Weekly Tracker'!$E$2:$E$766=$A1157)/('Weekly Tracker'!$N$2:$N$766&lt;&gt;""),'Weekly Tracker'!$N$2:$N$766),"")</f>
        <v/>
      </c>
      <c r="L1157" s="9">
        <f>IFERROR(LOOKUP(2,1/('Weekly Tracker'!$E$2:$E$766=$A1157)/('Weekly Tracker'!$O$2:$O$766&lt;&gt;""),'Weekly Tracker'!$O$2:$O$766),"")</f>
        <v/>
      </c>
    </row>
    <row r="1158">
      <c r="A1158" s="9" t="inlineStr">
        <is>
          <t>Vijay Praveen TCS Bike</t>
        </is>
      </c>
      <c r="B1158" s="9" t="inlineStr">
        <is>
          <t>917402787049</t>
        </is>
      </c>
      <c r="C1158" s="9" t="n"/>
      <c r="D1158" s="9" t="n"/>
      <c r="E1158" s="9" t="n"/>
      <c r="F1158" s="9">
        <f>IFERROR(LOOKUP(2,1/('Weekly Tracker'!$E$2:$E$766=$A1158)/('Weekly Tracker'!$F$2:$F$766&lt;&gt;""),'Weekly Tracker'!$F$2:$F$766),"")</f>
        <v/>
      </c>
      <c r="G1158" s="16">
        <f>IF(F1158&lt;&gt;"",LOOKUP(2,1/('Weekly Tracker'!$E$2:$E$766=$A1158)/('Weekly Tracker'!$F$2:$F$766&lt;&gt;""),'Weekly Tracker'!$G$2:$G$766),"")</f>
        <v/>
      </c>
      <c r="H1158" s="9">
        <f>IFERROR(LOOKUP(2,1/('Weekly Tracker'!$E$2:$E$766=$A1158)/('Weekly Tracker'!$H$2:$H$766&lt;&gt;""),'Weekly Tracker'!$H$2:$H$766),"")</f>
        <v/>
      </c>
      <c r="I1158" s="16">
        <f>IF(H1158&lt;&gt;"",LOOKUP(2,1/('Weekly Tracker'!$E$2:$E$766=$A1158)/('Weekly Tracker'!$H$2:$H$766&lt;&gt;""),'Weekly Tracker'!$I$2:$I$766),"")</f>
        <v/>
      </c>
      <c r="J1158" s="9">
        <f>IFERROR(LOOKUP(2,1/('Weekly Tracker'!$E$2:$E$766=$A1158)/('Weekly Tracker'!$J$2:$J$766&lt;&gt;""),'Weekly Tracker'!$J$2:$J$766),"")</f>
        <v/>
      </c>
      <c r="K1158" s="9">
        <f>IFERROR(LOOKUP(2,1/('Weekly Tracker'!$E$2:$E$766=$A1158)/('Weekly Tracker'!$N$2:$N$766&lt;&gt;""),'Weekly Tracker'!$N$2:$N$766),"")</f>
        <v/>
      </c>
      <c r="L1158" s="9">
        <f>IFERROR(LOOKUP(2,1/('Weekly Tracker'!$E$2:$E$766=$A1158)/('Weekly Tracker'!$O$2:$O$766&lt;&gt;""),'Weekly Tracker'!$O$2:$O$766),"")</f>
        <v/>
      </c>
    </row>
    <row r="1159">
      <c r="A1159" s="9" t="inlineStr">
        <is>
          <t>Ravi Infosys Verz</t>
        </is>
      </c>
      <c r="B1159" s="9" t="inlineStr">
        <is>
          <t>919494911192</t>
        </is>
      </c>
      <c r="C1159" s="9" t="n"/>
      <c r="D1159" s="9" t="n"/>
      <c r="E1159" s="9" t="n"/>
      <c r="F1159" s="9">
        <f>IFERROR(LOOKUP(2,1/('Weekly Tracker'!$E$2:$E$766=$A1159)/('Weekly Tracker'!$F$2:$F$766&lt;&gt;""),'Weekly Tracker'!$F$2:$F$766),"")</f>
        <v/>
      </c>
      <c r="G1159" s="16">
        <f>IF(F1159&lt;&gt;"",LOOKUP(2,1/('Weekly Tracker'!$E$2:$E$766=$A1159)/('Weekly Tracker'!$F$2:$F$766&lt;&gt;""),'Weekly Tracker'!$G$2:$G$766),"")</f>
        <v/>
      </c>
      <c r="H1159" s="9">
        <f>IFERROR(LOOKUP(2,1/('Weekly Tracker'!$E$2:$E$766=$A1159)/('Weekly Tracker'!$H$2:$H$766&lt;&gt;""),'Weekly Tracker'!$H$2:$H$766),"")</f>
        <v/>
      </c>
      <c r="I1159" s="16">
        <f>IF(H1159&lt;&gt;"",LOOKUP(2,1/('Weekly Tracker'!$E$2:$E$766=$A1159)/('Weekly Tracker'!$H$2:$H$766&lt;&gt;""),'Weekly Tracker'!$I$2:$I$766),"")</f>
        <v/>
      </c>
      <c r="J1159" s="9">
        <f>IFERROR(LOOKUP(2,1/('Weekly Tracker'!$E$2:$E$766=$A1159)/('Weekly Tracker'!$J$2:$J$766&lt;&gt;""),'Weekly Tracker'!$J$2:$J$766),"")</f>
        <v/>
      </c>
      <c r="K1159" s="9">
        <f>IFERROR(LOOKUP(2,1/('Weekly Tracker'!$E$2:$E$766=$A1159)/('Weekly Tracker'!$N$2:$N$766&lt;&gt;""),'Weekly Tracker'!$N$2:$N$766),"")</f>
        <v/>
      </c>
      <c r="L1159" s="9">
        <f>IFERROR(LOOKUP(2,1/('Weekly Tracker'!$E$2:$E$766=$A1159)/('Weekly Tracker'!$O$2:$O$766&lt;&gt;""),'Weekly Tracker'!$O$2:$O$766),"")</f>
        <v/>
      </c>
    </row>
    <row r="1160">
      <c r="A1160" s="9" t="inlineStr">
        <is>
          <t>Rambabu Urja</t>
        </is>
      </c>
      <c r="B1160" s="9" t="inlineStr">
        <is>
          <t>918122812286</t>
        </is>
      </c>
      <c r="C1160" s="9" t="n"/>
      <c r="D1160" s="9" t="n"/>
      <c r="E1160" s="9" t="n"/>
      <c r="F1160" s="9">
        <f>IFERROR(LOOKUP(2,1/('Weekly Tracker'!$E$2:$E$766=$A1160)/('Weekly Tracker'!$F$2:$F$766&lt;&gt;""),'Weekly Tracker'!$F$2:$F$766),"")</f>
        <v/>
      </c>
      <c r="G1160" s="16">
        <f>IF(F1160&lt;&gt;"",LOOKUP(2,1/('Weekly Tracker'!$E$2:$E$766=$A1160)/('Weekly Tracker'!$F$2:$F$766&lt;&gt;""),'Weekly Tracker'!$G$2:$G$766),"")</f>
        <v/>
      </c>
      <c r="H1160" s="9">
        <f>IFERROR(LOOKUP(2,1/('Weekly Tracker'!$E$2:$E$766=$A1160)/('Weekly Tracker'!$H$2:$H$766&lt;&gt;""),'Weekly Tracker'!$H$2:$H$766),"")</f>
        <v/>
      </c>
      <c r="I1160" s="16">
        <f>IF(H1160&lt;&gt;"",LOOKUP(2,1/('Weekly Tracker'!$E$2:$E$766=$A1160)/('Weekly Tracker'!$H$2:$H$766&lt;&gt;""),'Weekly Tracker'!$I$2:$I$766),"")</f>
        <v/>
      </c>
      <c r="J1160" s="9">
        <f>IFERROR(LOOKUP(2,1/('Weekly Tracker'!$E$2:$E$766=$A1160)/('Weekly Tracker'!$J$2:$J$766&lt;&gt;""),'Weekly Tracker'!$J$2:$J$766),"")</f>
        <v/>
      </c>
      <c r="K1160" s="9">
        <f>IFERROR(LOOKUP(2,1/('Weekly Tracker'!$E$2:$E$766=$A1160)/('Weekly Tracker'!$N$2:$N$766&lt;&gt;""),'Weekly Tracker'!$N$2:$N$766),"")</f>
        <v/>
      </c>
      <c r="L1160" s="9">
        <f>IFERROR(LOOKUP(2,1/('Weekly Tracker'!$E$2:$E$766=$A1160)/('Weekly Tracker'!$O$2:$O$766&lt;&gt;""),'Weekly Tracker'!$O$2:$O$766),"")</f>
        <v/>
      </c>
    </row>
    <row r="1161">
      <c r="A1161" s="9" t="inlineStr">
        <is>
          <t>Murugan Junior FB</t>
        </is>
      </c>
      <c r="B1161" s="9" t="inlineStr">
        <is>
          <t>918122433635</t>
        </is>
      </c>
      <c r="C1161" s="9" t="n"/>
      <c r="D1161" s="9" t="n"/>
      <c r="E1161" s="9" t="n"/>
      <c r="F1161" s="9">
        <f>IFERROR(LOOKUP(2,1/('Weekly Tracker'!$E$2:$E$766=$A1161)/('Weekly Tracker'!$F$2:$F$766&lt;&gt;""),'Weekly Tracker'!$F$2:$F$766),"")</f>
        <v/>
      </c>
      <c r="G1161" s="16">
        <f>IF(F1161&lt;&gt;"",LOOKUP(2,1/('Weekly Tracker'!$E$2:$E$766=$A1161)/('Weekly Tracker'!$F$2:$F$766&lt;&gt;""),'Weekly Tracker'!$G$2:$G$766),"")</f>
        <v/>
      </c>
      <c r="H1161" s="9">
        <f>IFERROR(LOOKUP(2,1/('Weekly Tracker'!$E$2:$E$766=$A1161)/('Weekly Tracker'!$H$2:$H$766&lt;&gt;""),'Weekly Tracker'!$H$2:$H$766),"")</f>
        <v/>
      </c>
      <c r="I1161" s="16">
        <f>IF(H1161&lt;&gt;"",LOOKUP(2,1/('Weekly Tracker'!$E$2:$E$766=$A1161)/('Weekly Tracker'!$H$2:$H$766&lt;&gt;""),'Weekly Tracker'!$I$2:$I$766),"")</f>
        <v/>
      </c>
      <c r="J1161" s="9">
        <f>IFERROR(LOOKUP(2,1/('Weekly Tracker'!$E$2:$E$766=$A1161)/('Weekly Tracker'!$J$2:$J$766&lt;&gt;""),'Weekly Tracker'!$J$2:$J$766),"")</f>
        <v/>
      </c>
      <c r="K1161" s="9">
        <f>IFERROR(LOOKUP(2,1/('Weekly Tracker'!$E$2:$E$766=$A1161)/('Weekly Tracker'!$N$2:$N$766&lt;&gt;""),'Weekly Tracker'!$N$2:$N$766),"")</f>
        <v/>
      </c>
      <c r="L1161" s="9">
        <f>IFERROR(LOOKUP(2,1/('Weekly Tracker'!$E$2:$E$766=$A1161)/('Weekly Tracker'!$O$2:$O$766&lt;&gt;""),'Weekly Tracker'!$O$2:$O$766),"")</f>
        <v/>
      </c>
    </row>
    <row r="1162">
      <c r="A1162" s="9" t="inlineStr">
        <is>
          <t>Rohit Nallapatti Infy</t>
        </is>
      </c>
      <c r="B1162" s="9" t="inlineStr">
        <is>
          <t>8074577011</t>
        </is>
      </c>
      <c r="C1162" s="9" t="n"/>
      <c r="D1162" s="9" t="n"/>
      <c r="E1162" s="9" t="n"/>
      <c r="F1162" s="9">
        <f>IFERROR(LOOKUP(2,1/('Weekly Tracker'!$E$2:$E$766=$A1162)/('Weekly Tracker'!$F$2:$F$766&lt;&gt;""),'Weekly Tracker'!$F$2:$F$766),"")</f>
        <v/>
      </c>
      <c r="G1162" s="16">
        <f>IF(F1162&lt;&gt;"",LOOKUP(2,1/('Weekly Tracker'!$E$2:$E$766=$A1162)/('Weekly Tracker'!$F$2:$F$766&lt;&gt;""),'Weekly Tracker'!$G$2:$G$766),"")</f>
        <v/>
      </c>
      <c r="H1162" s="9">
        <f>IFERROR(LOOKUP(2,1/('Weekly Tracker'!$E$2:$E$766=$A1162)/('Weekly Tracker'!$H$2:$H$766&lt;&gt;""),'Weekly Tracker'!$H$2:$H$766),"")</f>
        <v/>
      </c>
      <c r="I1162" s="16">
        <f>IF(H1162&lt;&gt;"",LOOKUP(2,1/('Weekly Tracker'!$E$2:$E$766=$A1162)/('Weekly Tracker'!$H$2:$H$766&lt;&gt;""),'Weekly Tracker'!$I$2:$I$766),"")</f>
        <v/>
      </c>
      <c r="J1162" s="9">
        <f>IFERROR(LOOKUP(2,1/('Weekly Tracker'!$E$2:$E$766=$A1162)/('Weekly Tracker'!$J$2:$J$766&lt;&gt;""),'Weekly Tracker'!$J$2:$J$766),"")</f>
        <v/>
      </c>
      <c r="K1162" s="9">
        <f>IFERROR(LOOKUP(2,1/('Weekly Tracker'!$E$2:$E$766=$A1162)/('Weekly Tracker'!$N$2:$N$766&lt;&gt;""),'Weekly Tracker'!$N$2:$N$766),"")</f>
        <v/>
      </c>
      <c r="L1162" s="9">
        <f>IFERROR(LOOKUP(2,1/('Weekly Tracker'!$E$2:$E$766=$A1162)/('Weekly Tracker'!$O$2:$O$766&lt;&gt;""),'Weekly Tracker'!$O$2:$O$766),"")</f>
        <v/>
      </c>
    </row>
    <row r="1163">
      <c r="A1163" s="9" t="inlineStr">
        <is>
          <t>Naveen Kumar Tools Urja</t>
        </is>
      </c>
      <c r="B1163" s="9" t="inlineStr">
        <is>
          <t>919894030500</t>
        </is>
      </c>
      <c r="C1163" s="9" t="n"/>
      <c r="D1163" s="9" t="n"/>
      <c r="E1163" s="9" t="n"/>
      <c r="F1163" s="9">
        <f>IFERROR(LOOKUP(2,1/('Weekly Tracker'!$E$2:$E$766=$A1163)/('Weekly Tracker'!$F$2:$F$766&lt;&gt;""),'Weekly Tracker'!$F$2:$F$766),"")</f>
        <v/>
      </c>
      <c r="G1163" s="16">
        <f>IF(F1163&lt;&gt;"",LOOKUP(2,1/('Weekly Tracker'!$E$2:$E$766=$A1163)/('Weekly Tracker'!$F$2:$F$766&lt;&gt;""),'Weekly Tracker'!$G$2:$G$766),"")</f>
        <v/>
      </c>
      <c r="H1163" s="9">
        <f>IFERROR(LOOKUP(2,1/('Weekly Tracker'!$E$2:$E$766=$A1163)/('Weekly Tracker'!$H$2:$H$766&lt;&gt;""),'Weekly Tracker'!$H$2:$H$766),"")</f>
        <v/>
      </c>
      <c r="I1163" s="16">
        <f>IF(H1163&lt;&gt;"",LOOKUP(2,1/('Weekly Tracker'!$E$2:$E$766=$A1163)/('Weekly Tracker'!$H$2:$H$766&lt;&gt;""),'Weekly Tracker'!$I$2:$I$766),"")</f>
        <v/>
      </c>
      <c r="J1163" s="9">
        <f>IFERROR(LOOKUP(2,1/('Weekly Tracker'!$E$2:$E$766=$A1163)/('Weekly Tracker'!$J$2:$J$766&lt;&gt;""),'Weekly Tracker'!$J$2:$J$766),"")</f>
        <v/>
      </c>
      <c r="K1163" s="9">
        <f>IFERROR(LOOKUP(2,1/('Weekly Tracker'!$E$2:$E$766=$A1163)/('Weekly Tracker'!$N$2:$N$766&lt;&gt;""),'Weekly Tracker'!$N$2:$N$766),"")</f>
        <v/>
      </c>
      <c r="L1163" s="9">
        <f>IFERROR(LOOKUP(2,1/('Weekly Tracker'!$E$2:$E$766=$A1163)/('Weekly Tracker'!$O$2:$O$766&lt;&gt;""),'Weekly Tracker'!$O$2:$O$766),"")</f>
        <v/>
      </c>
    </row>
    <row r="1164">
      <c r="A1164" s="9" t="inlineStr">
        <is>
          <t>Ajith kumar Sanjeev FB</t>
        </is>
      </c>
      <c r="B1164" s="9" t="inlineStr">
        <is>
          <t>9159143462</t>
        </is>
      </c>
      <c r="C1164" s="9" t="n"/>
      <c r="D1164" s="9" t="n"/>
      <c r="E1164" s="9" t="n"/>
      <c r="F1164" s="9">
        <f>IFERROR(LOOKUP(2,1/('Weekly Tracker'!$E$2:$E$766=$A1164)/('Weekly Tracker'!$F$2:$F$766&lt;&gt;""),'Weekly Tracker'!$F$2:$F$766),"")</f>
        <v/>
      </c>
      <c r="G1164" s="16">
        <f>IF(F1164&lt;&gt;"",LOOKUP(2,1/('Weekly Tracker'!$E$2:$E$766=$A1164)/('Weekly Tracker'!$F$2:$F$766&lt;&gt;""),'Weekly Tracker'!$G$2:$G$766),"")</f>
        <v/>
      </c>
      <c r="H1164" s="9">
        <f>IFERROR(LOOKUP(2,1/('Weekly Tracker'!$E$2:$E$766=$A1164)/('Weekly Tracker'!$H$2:$H$766&lt;&gt;""),'Weekly Tracker'!$H$2:$H$766),"")</f>
        <v/>
      </c>
      <c r="I1164" s="16">
        <f>IF(H1164&lt;&gt;"",LOOKUP(2,1/('Weekly Tracker'!$E$2:$E$766=$A1164)/('Weekly Tracker'!$H$2:$H$766&lt;&gt;""),'Weekly Tracker'!$I$2:$I$766),"")</f>
        <v/>
      </c>
      <c r="J1164" s="9">
        <f>IFERROR(LOOKUP(2,1/('Weekly Tracker'!$E$2:$E$766=$A1164)/('Weekly Tracker'!$J$2:$J$766&lt;&gt;""),'Weekly Tracker'!$J$2:$J$766),"")</f>
        <v/>
      </c>
      <c r="K1164" s="9">
        <f>IFERROR(LOOKUP(2,1/('Weekly Tracker'!$E$2:$E$766=$A1164)/('Weekly Tracker'!$N$2:$N$766&lt;&gt;""),'Weekly Tracker'!$N$2:$N$766),"")</f>
        <v/>
      </c>
      <c r="L1164" s="9">
        <f>IFERROR(LOOKUP(2,1/('Weekly Tracker'!$E$2:$E$766=$A1164)/('Weekly Tracker'!$O$2:$O$766&lt;&gt;""),'Weekly Tracker'!$O$2:$O$766),"")</f>
        <v/>
      </c>
    </row>
    <row r="1165">
      <c r="A1165" s="9" t="inlineStr">
        <is>
          <t>Ranjith FB Bang</t>
        </is>
      </c>
      <c r="B1165" s="9" t="inlineStr">
        <is>
          <t>918760706475</t>
        </is>
      </c>
      <c r="C1165" s="9" t="n"/>
      <c r="D1165" s="9" t="n"/>
      <c r="E1165" s="9" t="n"/>
      <c r="F1165" s="9">
        <f>IFERROR(LOOKUP(2,1/('Weekly Tracker'!$E$2:$E$766=$A1165)/('Weekly Tracker'!$F$2:$F$766&lt;&gt;""),'Weekly Tracker'!$F$2:$F$766),"")</f>
        <v/>
      </c>
      <c r="G1165" s="16">
        <f>IF(F1165&lt;&gt;"",LOOKUP(2,1/('Weekly Tracker'!$E$2:$E$766=$A1165)/('Weekly Tracker'!$F$2:$F$766&lt;&gt;""),'Weekly Tracker'!$G$2:$G$766),"")</f>
        <v/>
      </c>
      <c r="H1165" s="9">
        <f>IFERROR(LOOKUP(2,1/('Weekly Tracker'!$E$2:$E$766=$A1165)/('Weekly Tracker'!$H$2:$H$766&lt;&gt;""),'Weekly Tracker'!$H$2:$H$766),"")</f>
        <v/>
      </c>
      <c r="I1165" s="16">
        <f>IF(H1165&lt;&gt;"",LOOKUP(2,1/('Weekly Tracker'!$E$2:$E$766=$A1165)/('Weekly Tracker'!$H$2:$H$766&lt;&gt;""),'Weekly Tracker'!$I$2:$I$766),"")</f>
        <v/>
      </c>
      <c r="J1165" s="9">
        <f>IFERROR(LOOKUP(2,1/('Weekly Tracker'!$E$2:$E$766=$A1165)/('Weekly Tracker'!$J$2:$J$766&lt;&gt;""),'Weekly Tracker'!$J$2:$J$766),"")</f>
        <v/>
      </c>
      <c r="K1165" s="9">
        <f>IFERROR(LOOKUP(2,1/('Weekly Tracker'!$E$2:$E$766=$A1165)/('Weekly Tracker'!$N$2:$N$766&lt;&gt;""),'Weekly Tracker'!$N$2:$N$766),"")</f>
        <v/>
      </c>
      <c r="L1165" s="9">
        <f>IFERROR(LOOKUP(2,1/('Weekly Tracker'!$E$2:$E$766=$A1165)/('Weekly Tracker'!$O$2:$O$766&lt;&gt;""),'Weekly Tracker'!$O$2:$O$766),"")</f>
        <v/>
      </c>
    </row>
    <row r="1166">
      <c r="A1166" s="9" t="inlineStr">
        <is>
          <t>Raj Shamu Scl</t>
        </is>
      </c>
      <c r="B1166" s="9" t="inlineStr">
        <is>
          <t>918925698712</t>
        </is>
      </c>
      <c r="C1166" s="9" t="n"/>
      <c r="D1166" s="9" t="n"/>
      <c r="E1166" s="9" t="n"/>
      <c r="F1166" s="9">
        <f>IFERROR(LOOKUP(2,1/('Weekly Tracker'!$E$2:$E$766=$A1166)/('Weekly Tracker'!$F$2:$F$766&lt;&gt;""),'Weekly Tracker'!$F$2:$F$766),"")</f>
        <v/>
      </c>
      <c r="G1166" s="16">
        <f>IF(F1166&lt;&gt;"",LOOKUP(2,1/('Weekly Tracker'!$E$2:$E$766=$A1166)/('Weekly Tracker'!$F$2:$F$766&lt;&gt;""),'Weekly Tracker'!$G$2:$G$766),"")</f>
        <v/>
      </c>
      <c r="H1166" s="9">
        <f>IFERROR(LOOKUP(2,1/('Weekly Tracker'!$E$2:$E$766=$A1166)/('Weekly Tracker'!$H$2:$H$766&lt;&gt;""),'Weekly Tracker'!$H$2:$H$766),"")</f>
        <v/>
      </c>
      <c r="I1166" s="16">
        <f>IF(H1166&lt;&gt;"",LOOKUP(2,1/('Weekly Tracker'!$E$2:$E$766=$A1166)/('Weekly Tracker'!$H$2:$H$766&lt;&gt;""),'Weekly Tracker'!$I$2:$I$766),"")</f>
        <v/>
      </c>
      <c r="J1166" s="9">
        <f>IFERROR(LOOKUP(2,1/('Weekly Tracker'!$E$2:$E$766=$A1166)/('Weekly Tracker'!$J$2:$J$766&lt;&gt;""),'Weekly Tracker'!$J$2:$J$766),"")</f>
        <v/>
      </c>
      <c r="K1166" s="9">
        <f>IFERROR(LOOKUP(2,1/('Weekly Tracker'!$E$2:$E$766=$A1166)/('Weekly Tracker'!$N$2:$N$766&lt;&gt;""),'Weekly Tracker'!$N$2:$N$766),"")</f>
        <v/>
      </c>
      <c r="L1166" s="9">
        <f>IFERROR(LOOKUP(2,1/('Weekly Tracker'!$E$2:$E$766=$A1166)/('Weekly Tracker'!$O$2:$O$766&lt;&gt;""),'Weekly Tracker'!$O$2:$O$766),"")</f>
        <v/>
      </c>
    </row>
    <row r="1167">
      <c r="A1167" s="9" t="inlineStr">
        <is>
          <t>Poovizhli Raja FB</t>
        </is>
      </c>
      <c r="B1167" s="9" t="inlineStr">
        <is>
          <t>8248025641</t>
        </is>
      </c>
      <c r="C1167" s="9" t="n"/>
      <c r="D1167" s="9" t="n"/>
      <c r="E1167" s="9" t="n"/>
      <c r="F1167" s="9">
        <f>IFERROR(LOOKUP(2,1/('Weekly Tracker'!$E$2:$E$766=$A1167)/('Weekly Tracker'!$F$2:$F$766&lt;&gt;""),'Weekly Tracker'!$F$2:$F$766),"")</f>
        <v/>
      </c>
      <c r="G1167" s="16">
        <f>IF(F1167&lt;&gt;"",LOOKUP(2,1/('Weekly Tracker'!$E$2:$E$766=$A1167)/('Weekly Tracker'!$F$2:$F$766&lt;&gt;""),'Weekly Tracker'!$G$2:$G$766),"")</f>
        <v/>
      </c>
      <c r="H1167" s="9">
        <f>IFERROR(LOOKUP(2,1/('Weekly Tracker'!$E$2:$E$766=$A1167)/('Weekly Tracker'!$H$2:$H$766&lt;&gt;""),'Weekly Tracker'!$H$2:$H$766),"")</f>
        <v/>
      </c>
      <c r="I1167" s="16">
        <f>IF(H1167&lt;&gt;"",LOOKUP(2,1/('Weekly Tracker'!$E$2:$E$766=$A1167)/('Weekly Tracker'!$H$2:$H$766&lt;&gt;""),'Weekly Tracker'!$I$2:$I$766),"")</f>
        <v/>
      </c>
      <c r="J1167" s="9">
        <f>IFERROR(LOOKUP(2,1/('Weekly Tracker'!$E$2:$E$766=$A1167)/('Weekly Tracker'!$J$2:$J$766&lt;&gt;""),'Weekly Tracker'!$J$2:$J$766),"")</f>
        <v/>
      </c>
      <c r="K1167" s="9">
        <f>IFERROR(LOOKUP(2,1/('Weekly Tracker'!$E$2:$E$766=$A1167)/('Weekly Tracker'!$N$2:$N$766&lt;&gt;""),'Weekly Tracker'!$N$2:$N$766),"")</f>
        <v/>
      </c>
      <c r="L1167" s="9">
        <f>IFERROR(LOOKUP(2,1/('Weekly Tracker'!$E$2:$E$766=$A1167)/('Weekly Tracker'!$O$2:$O$766&lt;&gt;""),'Weekly Tracker'!$O$2:$O$766),"")</f>
        <v/>
      </c>
    </row>
    <row r="1168">
      <c r="A1168" s="9" t="inlineStr">
        <is>
          <t>David Verz</t>
        </is>
      </c>
      <c r="B1168" s="9" t="inlineStr">
        <is>
          <t>9944602206</t>
        </is>
      </c>
      <c r="C1168" s="9" t="n"/>
      <c r="D1168" s="9" t="n"/>
      <c r="E1168" s="9" t="n"/>
      <c r="F1168" s="9">
        <f>IFERROR(LOOKUP(2,1/('Weekly Tracker'!$E$2:$E$766=$A1168)/('Weekly Tracker'!$F$2:$F$766&lt;&gt;""),'Weekly Tracker'!$F$2:$F$766),"")</f>
        <v/>
      </c>
      <c r="G1168" s="16">
        <f>IF(F1168&lt;&gt;"",LOOKUP(2,1/('Weekly Tracker'!$E$2:$E$766=$A1168)/('Weekly Tracker'!$F$2:$F$766&lt;&gt;""),'Weekly Tracker'!$G$2:$G$766),"")</f>
        <v/>
      </c>
      <c r="H1168" s="9">
        <f>IFERROR(LOOKUP(2,1/('Weekly Tracker'!$E$2:$E$766=$A1168)/('Weekly Tracker'!$H$2:$H$766&lt;&gt;""),'Weekly Tracker'!$H$2:$H$766),"")</f>
        <v/>
      </c>
      <c r="I1168" s="16">
        <f>IF(H1168&lt;&gt;"",LOOKUP(2,1/('Weekly Tracker'!$E$2:$E$766=$A1168)/('Weekly Tracker'!$H$2:$H$766&lt;&gt;""),'Weekly Tracker'!$I$2:$I$766),"")</f>
        <v/>
      </c>
      <c r="J1168" s="9">
        <f>IFERROR(LOOKUP(2,1/('Weekly Tracker'!$E$2:$E$766=$A1168)/('Weekly Tracker'!$J$2:$J$766&lt;&gt;""),'Weekly Tracker'!$J$2:$J$766),"")</f>
        <v/>
      </c>
      <c r="K1168" s="9">
        <f>IFERROR(LOOKUP(2,1/('Weekly Tracker'!$E$2:$E$766=$A1168)/('Weekly Tracker'!$N$2:$N$766&lt;&gt;""),'Weekly Tracker'!$N$2:$N$766),"")</f>
        <v/>
      </c>
      <c r="L1168" s="9">
        <f>IFERROR(LOOKUP(2,1/('Weekly Tracker'!$E$2:$E$766=$A1168)/('Weekly Tracker'!$O$2:$O$766&lt;&gt;""),'Weekly Tracker'!$O$2:$O$766),"")</f>
        <v/>
      </c>
    </row>
    <row r="1169">
      <c r="A1169" s="9" t="inlineStr">
        <is>
          <t>Sunil Infy Charter</t>
        </is>
      </c>
      <c r="B1169" s="9" t="inlineStr">
        <is>
          <t>917338753684</t>
        </is>
      </c>
      <c r="C1169" s="9" t="n"/>
      <c r="D1169" s="9" t="n"/>
      <c r="E1169" s="9" t="n"/>
      <c r="F1169" s="9">
        <f>IFERROR(LOOKUP(2,1/('Weekly Tracker'!$E$2:$E$766=$A1169)/('Weekly Tracker'!$F$2:$F$766&lt;&gt;""),'Weekly Tracker'!$F$2:$F$766),"")</f>
        <v/>
      </c>
      <c r="G1169" s="16">
        <f>IF(F1169&lt;&gt;"",LOOKUP(2,1/('Weekly Tracker'!$E$2:$E$766=$A1169)/('Weekly Tracker'!$F$2:$F$766&lt;&gt;""),'Weekly Tracker'!$G$2:$G$766),"")</f>
        <v/>
      </c>
      <c r="H1169" s="9">
        <f>IFERROR(LOOKUP(2,1/('Weekly Tracker'!$E$2:$E$766=$A1169)/('Weekly Tracker'!$H$2:$H$766&lt;&gt;""),'Weekly Tracker'!$H$2:$H$766),"")</f>
        <v/>
      </c>
      <c r="I1169" s="16">
        <f>IF(H1169&lt;&gt;"",LOOKUP(2,1/('Weekly Tracker'!$E$2:$E$766=$A1169)/('Weekly Tracker'!$H$2:$H$766&lt;&gt;""),'Weekly Tracker'!$I$2:$I$766),"")</f>
        <v/>
      </c>
      <c r="J1169" s="9">
        <f>IFERROR(LOOKUP(2,1/('Weekly Tracker'!$E$2:$E$766=$A1169)/('Weekly Tracker'!$J$2:$J$766&lt;&gt;""),'Weekly Tracker'!$J$2:$J$766),"")</f>
        <v/>
      </c>
      <c r="K1169" s="9">
        <f>IFERROR(LOOKUP(2,1/('Weekly Tracker'!$E$2:$E$766=$A1169)/('Weekly Tracker'!$N$2:$N$766&lt;&gt;""),'Weekly Tracker'!$N$2:$N$766),"")</f>
        <v/>
      </c>
      <c r="L1169" s="9">
        <f>IFERROR(LOOKUP(2,1/('Weekly Tracker'!$E$2:$E$766=$A1169)/('Weekly Tracker'!$O$2:$O$766&lt;&gt;""),'Weekly Tracker'!$O$2:$O$766),"")</f>
        <v/>
      </c>
    </row>
    <row r="1170">
      <c r="A1170" s="9" t="inlineStr">
        <is>
          <t>Poomani Cab Kundrathur</t>
        </is>
      </c>
      <c r="B1170" s="9" t="inlineStr">
        <is>
          <t>7401068045</t>
        </is>
      </c>
      <c r="C1170" s="9" t="n"/>
      <c r="D1170" s="9" t="n"/>
      <c r="E1170" s="9" t="n"/>
      <c r="F1170" s="9">
        <f>IFERROR(LOOKUP(2,1/('Weekly Tracker'!$E$2:$E$766=$A1170)/('Weekly Tracker'!$F$2:$F$766&lt;&gt;""),'Weekly Tracker'!$F$2:$F$766),"")</f>
        <v/>
      </c>
      <c r="G1170" s="16">
        <f>IF(F1170&lt;&gt;"",LOOKUP(2,1/('Weekly Tracker'!$E$2:$E$766=$A1170)/('Weekly Tracker'!$F$2:$F$766&lt;&gt;""),'Weekly Tracker'!$G$2:$G$766),"")</f>
        <v/>
      </c>
      <c r="H1170" s="9">
        <f>IFERROR(LOOKUP(2,1/('Weekly Tracker'!$E$2:$E$766=$A1170)/('Weekly Tracker'!$H$2:$H$766&lt;&gt;""),'Weekly Tracker'!$H$2:$H$766),"")</f>
        <v/>
      </c>
      <c r="I1170" s="16">
        <f>IF(H1170&lt;&gt;"",LOOKUP(2,1/('Weekly Tracker'!$E$2:$E$766=$A1170)/('Weekly Tracker'!$H$2:$H$766&lt;&gt;""),'Weekly Tracker'!$I$2:$I$766),"")</f>
        <v/>
      </c>
      <c r="J1170" s="9">
        <f>IFERROR(LOOKUP(2,1/('Weekly Tracker'!$E$2:$E$766=$A1170)/('Weekly Tracker'!$J$2:$J$766&lt;&gt;""),'Weekly Tracker'!$J$2:$J$766),"")</f>
        <v/>
      </c>
      <c r="K1170" s="9">
        <f>IFERROR(LOOKUP(2,1/('Weekly Tracker'!$E$2:$E$766=$A1170)/('Weekly Tracker'!$N$2:$N$766&lt;&gt;""),'Weekly Tracker'!$N$2:$N$766),"")</f>
        <v/>
      </c>
      <c r="L1170" s="9">
        <f>IFERROR(LOOKUP(2,1/('Weekly Tracker'!$E$2:$E$766=$A1170)/('Weekly Tracker'!$O$2:$O$766&lt;&gt;""),'Weekly Tracker'!$O$2:$O$766),"")</f>
        <v/>
      </c>
    </row>
    <row r="1171">
      <c r="A1171" s="9" t="inlineStr">
        <is>
          <t>Jebastine FB</t>
        </is>
      </c>
      <c r="B1171" s="9" t="inlineStr">
        <is>
          <t>8098601118</t>
        </is>
      </c>
      <c r="C1171" s="9" t="n"/>
      <c r="D1171" s="9" t="n"/>
      <c r="E1171" s="9" t="n"/>
      <c r="F1171" s="9">
        <f>IFERROR(LOOKUP(2,1/('Weekly Tracker'!$E$2:$E$766=$A1171)/('Weekly Tracker'!$F$2:$F$766&lt;&gt;""),'Weekly Tracker'!$F$2:$F$766),"")</f>
        <v/>
      </c>
      <c r="G1171" s="16">
        <f>IF(F1171&lt;&gt;"",LOOKUP(2,1/('Weekly Tracker'!$E$2:$E$766=$A1171)/('Weekly Tracker'!$F$2:$F$766&lt;&gt;""),'Weekly Tracker'!$G$2:$G$766),"")</f>
        <v/>
      </c>
      <c r="H1171" s="9">
        <f>IFERROR(LOOKUP(2,1/('Weekly Tracker'!$E$2:$E$766=$A1171)/('Weekly Tracker'!$H$2:$H$766&lt;&gt;""),'Weekly Tracker'!$H$2:$H$766),"")</f>
        <v/>
      </c>
      <c r="I1171" s="16">
        <f>IF(H1171&lt;&gt;"",LOOKUP(2,1/('Weekly Tracker'!$E$2:$E$766=$A1171)/('Weekly Tracker'!$H$2:$H$766&lt;&gt;""),'Weekly Tracker'!$I$2:$I$766),"")</f>
        <v/>
      </c>
      <c r="J1171" s="9">
        <f>IFERROR(LOOKUP(2,1/('Weekly Tracker'!$E$2:$E$766=$A1171)/('Weekly Tracker'!$J$2:$J$766&lt;&gt;""),'Weekly Tracker'!$J$2:$J$766),"")</f>
        <v/>
      </c>
      <c r="K1171" s="9">
        <f>IFERROR(LOOKUP(2,1/('Weekly Tracker'!$E$2:$E$766=$A1171)/('Weekly Tracker'!$N$2:$N$766&lt;&gt;""),'Weekly Tracker'!$N$2:$N$766),"")</f>
        <v/>
      </c>
      <c r="L1171" s="9">
        <f>IFERROR(LOOKUP(2,1/('Weekly Tracker'!$E$2:$E$766=$A1171)/('Weekly Tracker'!$O$2:$O$766&lt;&gt;""),'Weekly Tracker'!$O$2:$O$766),"")</f>
        <v/>
      </c>
    </row>
    <row r="1172">
      <c r="A1172" s="9" t="inlineStr">
        <is>
          <t>Tamil Loan Home center</t>
        </is>
      </c>
      <c r="B1172" s="9" t="inlineStr">
        <is>
          <t>919025192091</t>
        </is>
      </c>
      <c r="C1172" s="9" t="n"/>
      <c r="D1172" s="9" t="n"/>
      <c r="E1172" s="9" t="n"/>
      <c r="F1172" s="9">
        <f>IFERROR(LOOKUP(2,1/('Weekly Tracker'!$E$2:$E$766=$A1172)/('Weekly Tracker'!$F$2:$F$766&lt;&gt;""),'Weekly Tracker'!$F$2:$F$766),"")</f>
        <v/>
      </c>
      <c r="G1172" s="16">
        <f>IF(F1172&lt;&gt;"",LOOKUP(2,1/('Weekly Tracker'!$E$2:$E$766=$A1172)/('Weekly Tracker'!$F$2:$F$766&lt;&gt;""),'Weekly Tracker'!$G$2:$G$766),"")</f>
        <v/>
      </c>
      <c r="H1172" s="9">
        <f>IFERROR(LOOKUP(2,1/('Weekly Tracker'!$E$2:$E$766=$A1172)/('Weekly Tracker'!$H$2:$H$766&lt;&gt;""),'Weekly Tracker'!$H$2:$H$766),"")</f>
        <v/>
      </c>
      <c r="I1172" s="16">
        <f>IF(H1172&lt;&gt;"",LOOKUP(2,1/('Weekly Tracker'!$E$2:$E$766=$A1172)/('Weekly Tracker'!$H$2:$H$766&lt;&gt;""),'Weekly Tracker'!$I$2:$I$766),"")</f>
        <v/>
      </c>
      <c r="J1172" s="9">
        <f>IFERROR(LOOKUP(2,1/('Weekly Tracker'!$E$2:$E$766=$A1172)/('Weekly Tracker'!$J$2:$J$766&lt;&gt;""),'Weekly Tracker'!$J$2:$J$766),"")</f>
        <v/>
      </c>
      <c r="K1172" s="9">
        <f>IFERROR(LOOKUP(2,1/('Weekly Tracker'!$E$2:$E$766=$A1172)/('Weekly Tracker'!$N$2:$N$766&lt;&gt;""),'Weekly Tracker'!$N$2:$N$766),"")</f>
        <v/>
      </c>
      <c r="L1172" s="9">
        <f>IFERROR(LOOKUP(2,1/('Weekly Tracker'!$E$2:$E$766=$A1172)/('Weekly Tracker'!$O$2:$O$766&lt;&gt;""),'Weekly Tracker'!$O$2:$O$766),"")</f>
        <v/>
      </c>
    </row>
    <row r="1173">
      <c r="A1173" s="9" t="inlineStr">
        <is>
          <t>Aamani Urja</t>
        </is>
      </c>
      <c r="B1173" s="9" t="inlineStr">
        <is>
          <t>+91 85000 02397</t>
        </is>
      </c>
      <c r="C1173" s="9" t="n"/>
      <c r="D1173" s="9" t="n"/>
      <c r="E1173" s="9" t="n"/>
      <c r="F1173" s="9">
        <f>IFERROR(LOOKUP(2,1/('Weekly Tracker'!$E$2:$E$766=$A1173)/('Weekly Tracker'!$F$2:$F$766&lt;&gt;""),'Weekly Tracker'!$F$2:$F$766),"")</f>
        <v/>
      </c>
      <c r="G1173" s="16">
        <f>IF(F1173&lt;&gt;"",LOOKUP(2,1/('Weekly Tracker'!$E$2:$E$766=$A1173)/('Weekly Tracker'!$F$2:$F$766&lt;&gt;""),'Weekly Tracker'!$G$2:$G$766),"")</f>
        <v/>
      </c>
      <c r="H1173" s="9">
        <f>IFERROR(LOOKUP(2,1/('Weekly Tracker'!$E$2:$E$766=$A1173)/('Weekly Tracker'!$H$2:$H$766&lt;&gt;""),'Weekly Tracker'!$H$2:$H$766),"")</f>
        <v/>
      </c>
      <c r="I1173" s="16">
        <f>IF(H1173&lt;&gt;"",LOOKUP(2,1/('Weekly Tracker'!$E$2:$E$766=$A1173)/('Weekly Tracker'!$H$2:$H$766&lt;&gt;""),'Weekly Tracker'!$I$2:$I$766),"")</f>
        <v/>
      </c>
      <c r="J1173" s="9">
        <f>IFERROR(LOOKUP(2,1/('Weekly Tracker'!$E$2:$E$766=$A1173)/('Weekly Tracker'!$J$2:$J$766&lt;&gt;""),'Weekly Tracker'!$J$2:$J$766),"")</f>
        <v/>
      </c>
      <c r="K1173" s="9">
        <f>IFERROR(LOOKUP(2,1/('Weekly Tracker'!$E$2:$E$766=$A1173)/('Weekly Tracker'!$N$2:$N$766&lt;&gt;""),'Weekly Tracker'!$N$2:$N$766),"")</f>
        <v/>
      </c>
      <c r="L1173" s="9">
        <f>IFERROR(LOOKUP(2,1/('Weekly Tracker'!$E$2:$E$766=$A1173)/('Weekly Tracker'!$O$2:$O$766&lt;&gt;""),'Weekly Tracker'!$O$2:$O$766),"")</f>
        <v/>
      </c>
    </row>
    <row r="1174">
      <c r="A1174" s="9" t="inlineStr">
        <is>
          <t>Akil FB</t>
        </is>
      </c>
      <c r="B1174" s="9" t="inlineStr">
        <is>
          <t>918428759966</t>
        </is>
      </c>
      <c r="C1174" s="9" t="n"/>
      <c r="D1174" s="9" t="n"/>
      <c r="E1174" s="9" t="n"/>
      <c r="F1174" s="9">
        <f>IFERROR(LOOKUP(2,1/('Weekly Tracker'!$E$2:$E$766=$A1174)/('Weekly Tracker'!$F$2:$F$766&lt;&gt;""),'Weekly Tracker'!$F$2:$F$766),"")</f>
        <v/>
      </c>
      <c r="G1174" s="16">
        <f>IF(F1174&lt;&gt;"",LOOKUP(2,1/('Weekly Tracker'!$E$2:$E$766=$A1174)/('Weekly Tracker'!$F$2:$F$766&lt;&gt;""),'Weekly Tracker'!$G$2:$G$766),"")</f>
        <v/>
      </c>
      <c r="H1174" s="9">
        <f>IFERROR(LOOKUP(2,1/('Weekly Tracker'!$E$2:$E$766=$A1174)/('Weekly Tracker'!$H$2:$H$766&lt;&gt;""),'Weekly Tracker'!$H$2:$H$766),"")</f>
        <v/>
      </c>
      <c r="I1174" s="16">
        <f>IF(H1174&lt;&gt;"",LOOKUP(2,1/('Weekly Tracker'!$E$2:$E$766=$A1174)/('Weekly Tracker'!$H$2:$H$766&lt;&gt;""),'Weekly Tracker'!$I$2:$I$766),"")</f>
        <v/>
      </c>
      <c r="J1174" s="9">
        <f>IFERROR(LOOKUP(2,1/('Weekly Tracker'!$E$2:$E$766=$A1174)/('Weekly Tracker'!$J$2:$J$766&lt;&gt;""),'Weekly Tracker'!$J$2:$J$766),"")</f>
        <v/>
      </c>
      <c r="K1174" s="9">
        <f>IFERROR(LOOKUP(2,1/('Weekly Tracker'!$E$2:$E$766=$A1174)/('Weekly Tracker'!$N$2:$N$766&lt;&gt;""),'Weekly Tracker'!$N$2:$N$766),"")</f>
        <v/>
      </c>
      <c r="L1174" s="9">
        <f>IFERROR(LOOKUP(2,1/('Weekly Tracker'!$E$2:$E$766=$A1174)/('Weekly Tracker'!$O$2:$O$766&lt;&gt;""),'Weekly Tracker'!$O$2:$O$766),"")</f>
        <v/>
      </c>
    </row>
    <row r="1175">
      <c r="A1175" s="9" t="inlineStr">
        <is>
          <t>Bervin Grp Ucen</t>
        </is>
      </c>
      <c r="B1175" s="9" t="inlineStr">
        <is>
          <t>919566885527</t>
        </is>
      </c>
      <c r="C1175" s="9" t="n"/>
      <c r="D1175" s="9" t="n"/>
      <c r="E1175" s="9" t="n"/>
      <c r="F1175" s="9">
        <f>IFERROR(LOOKUP(2,1/('Weekly Tracker'!$E$2:$E$766=$A1175)/('Weekly Tracker'!$F$2:$F$766&lt;&gt;""),'Weekly Tracker'!$F$2:$F$766),"")</f>
        <v/>
      </c>
      <c r="G1175" s="16">
        <f>IF(F1175&lt;&gt;"",LOOKUP(2,1/('Weekly Tracker'!$E$2:$E$766=$A1175)/('Weekly Tracker'!$F$2:$F$766&lt;&gt;""),'Weekly Tracker'!$G$2:$G$766),"")</f>
        <v/>
      </c>
      <c r="H1175" s="9">
        <f>IFERROR(LOOKUP(2,1/('Weekly Tracker'!$E$2:$E$766=$A1175)/('Weekly Tracker'!$H$2:$H$766&lt;&gt;""),'Weekly Tracker'!$H$2:$H$766),"")</f>
        <v/>
      </c>
      <c r="I1175" s="16">
        <f>IF(H1175&lt;&gt;"",LOOKUP(2,1/('Weekly Tracker'!$E$2:$E$766=$A1175)/('Weekly Tracker'!$H$2:$H$766&lt;&gt;""),'Weekly Tracker'!$I$2:$I$766),"")</f>
        <v/>
      </c>
      <c r="J1175" s="9">
        <f>IFERROR(LOOKUP(2,1/('Weekly Tracker'!$E$2:$E$766=$A1175)/('Weekly Tracker'!$J$2:$J$766&lt;&gt;""),'Weekly Tracker'!$J$2:$J$766),"")</f>
        <v/>
      </c>
      <c r="K1175" s="9">
        <f>IFERROR(LOOKUP(2,1/('Weekly Tracker'!$E$2:$E$766=$A1175)/('Weekly Tracker'!$N$2:$N$766&lt;&gt;""),'Weekly Tracker'!$N$2:$N$766),"")</f>
        <v/>
      </c>
      <c r="L1175" s="9">
        <f>IFERROR(LOOKUP(2,1/('Weekly Tracker'!$E$2:$E$766=$A1175)/('Weekly Tracker'!$O$2:$O$766&lt;&gt;""),'Weekly Tracker'!$O$2:$O$766),"")</f>
        <v/>
      </c>
    </row>
    <row r="1176">
      <c r="A1176" s="9" t="inlineStr">
        <is>
          <t>Muhilan M vel FB</t>
        </is>
      </c>
      <c r="B1176" s="9" t="inlineStr">
        <is>
          <t>9751311034</t>
        </is>
      </c>
      <c r="C1176" s="9" t="n"/>
      <c r="D1176" s="9" t="n"/>
      <c r="E1176" s="9" t="n"/>
      <c r="F1176" s="9">
        <f>IFERROR(LOOKUP(2,1/('Weekly Tracker'!$E$2:$E$766=$A1176)/('Weekly Tracker'!$F$2:$F$766&lt;&gt;""),'Weekly Tracker'!$F$2:$F$766),"")</f>
        <v/>
      </c>
      <c r="G1176" s="16">
        <f>IF(F1176&lt;&gt;"",LOOKUP(2,1/('Weekly Tracker'!$E$2:$E$766=$A1176)/('Weekly Tracker'!$F$2:$F$766&lt;&gt;""),'Weekly Tracker'!$G$2:$G$766),"")</f>
        <v/>
      </c>
      <c r="H1176" s="9">
        <f>IFERROR(LOOKUP(2,1/('Weekly Tracker'!$E$2:$E$766=$A1176)/('Weekly Tracker'!$H$2:$H$766&lt;&gt;""),'Weekly Tracker'!$H$2:$H$766),"")</f>
        <v/>
      </c>
      <c r="I1176" s="16">
        <f>IF(H1176&lt;&gt;"",LOOKUP(2,1/('Weekly Tracker'!$E$2:$E$766=$A1176)/('Weekly Tracker'!$H$2:$H$766&lt;&gt;""),'Weekly Tracker'!$I$2:$I$766),"")</f>
        <v/>
      </c>
      <c r="J1176" s="9">
        <f>IFERROR(LOOKUP(2,1/('Weekly Tracker'!$E$2:$E$766=$A1176)/('Weekly Tracker'!$J$2:$J$766&lt;&gt;""),'Weekly Tracker'!$J$2:$J$766),"")</f>
        <v/>
      </c>
      <c r="K1176" s="9">
        <f>IFERROR(LOOKUP(2,1/('Weekly Tracker'!$E$2:$E$766=$A1176)/('Weekly Tracker'!$N$2:$N$766&lt;&gt;""),'Weekly Tracker'!$N$2:$N$766),"")</f>
        <v/>
      </c>
      <c r="L1176" s="9">
        <f>IFERROR(LOOKUP(2,1/('Weekly Tracker'!$E$2:$E$766=$A1176)/('Weekly Tracker'!$O$2:$O$766&lt;&gt;""),'Weekly Tracker'!$O$2:$O$766),"")</f>
        <v/>
      </c>
    </row>
    <row r="1177">
      <c r="A1177" s="9" t="inlineStr">
        <is>
          <t>Thenesh Siva Grp Ucen</t>
        </is>
      </c>
      <c r="B1177" s="9" t="inlineStr">
        <is>
          <t>919698226151</t>
        </is>
      </c>
      <c r="C1177" s="9" t="n"/>
      <c r="D1177" s="9" t="n"/>
      <c r="E1177" s="9" t="n"/>
      <c r="F1177" s="9">
        <f>IFERROR(LOOKUP(2,1/('Weekly Tracker'!$E$2:$E$766=$A1177)/('Weekly Tracker'!$F$2:$F$766&lt;&gt;""),'Weekly Tracker'!$F$2:$F$766),"")</f>
        <v/>
      </c>
      <c r="G1177" s="16">
        <f>IF(F1177&lt;&gt;"",LOOKUP(2,1/('Weekly Tracker'!$E$2:$E$766=$A1177)/('Weekly Tracker'!$F$2:$F$766&lt;&gt;""),'Weekly Tracker'!$G$2:$G$766),"")</f>
        <v/>
      </c>
      <c r="H1177" s="9">
        <f>IFERROR(LOOKUP(2,1/('Weekly Tracker'!$E$2:$E$766=$A1177)/('Weekly Tracker'!$H$2:$H$766&lt;&gt;""),'Weekly Tracker'!$H$2:$H$766),"")</f>
        <v/>
      </c>
      <c r="I1177" s="16">
        <f>IF(H1177&lt;&gt;"",LOOKUP(2,1/('Weekly Tracker'!$E$2:$E$766=$A1177)/('Weekly Tracker'!$H$2:$H$766&lt;&gt;""),'Weekly Tracker'!$I$2:$I$766),"")</f>
        <v/>
      </c>
      <c r="J1177" s="9">
        <f>IFERROR(LOOKUP(2,1/('Weekly Tracker'!$E$2:$E$766=$A1177)/('Weekly Tracker'!$J$2:$J$766&lt;&gt;""),'Weekly Tracker'!$J$2:$J$766),"")</f>
        <v/>
      </c>
      <c r="K1177" s="9">
        <f>IFERROR(LOOKUP(2,1/('Weekly Tracker'!$E$2:$E$766=$A1177)/('Weekly Tracker'!$N$2:$N$766&lt;&gt;""),'Weekly Tracker'!$N$2:$N$766),"")</f>
        <v/>
      </c>
      <c r="L1177" s="9">
        <f>IFERROR(LOOKUP(2,1/('Weekly Tracker'!$E$2:$E$766=$A1177)/('Weekly Tracker'!$O$2:$O$766&lt;&gt;""),'Weekly Tracker'!$O$2:$O$766),"")</f>
        <v/>
      </c>
    </row>
    <row r="1178">
      <c r="A1178" s="9" t="inlineStr">
        <is>
          <t>Jeya Chandran FB</t>
        </is>
      </c>
      <c r="B1178" s="9" t="inlineStr">
        <is>
          <t>9944962494</t>
        </is>
      </c>
      <c r="C1178" s="9" t="n"/>
      <c r="D1178" s="9" t="n"/>
      <c r="E1178" s="9" t="n"/>
      <c r="F1178" s="9">
        <f>IFERROR(LOOKUP(2,1/('Weekly Tracker'!$E$2:$E$766=$A1178)/('Weekly Tracker'!$F$2:$F$766&lt;&gt;""),'Weekly Tracker'!$F$2:$F$766),"")</f>
        <v/>
      </c>
      <c r="G1178" s="16">
        <f>IF(F1178&lt;&gt;"",LOOKUP(2,1/('Weekly Tracker'!$E$2:$E$766=$A1178)/('Weekly Tracker'!$F$2:$F$766&lt;&gt;""),'Weekly Tracker'!$G$2:$G$766),"")</f>
        <v/>
      </c>
      <c r="H1178" s="9">
        <f>IFERROR(LOOKUP(2,1/('Weekly Tracker'!$E$2:$E$766=$A1178)/('Weekly Tracker'!$H$2:$H$766&lt;&gt;""),'Weekly Tracker'!$H$2:$H$766),"")</f>
        <v/>
      </c>
      <c r="I1178" s="16">
        <f>IF(H1178&lt;&gt;"",LOOKUP(2,1/('Weekly Tracker'!$E$2:$E$766=$A1178)/('Weekly Tracker'!$H$2:$H$766&lt;&gt;""),'Weekly Tracker'!$I$2:$I$766),"")</f>
        <v/>
      </c>
      <c r="J1178" s="9">
        <f>IFERROR(LOOKUP(2,1/('Weekly Tracker'!$E$2:$E$766=$A1178)/('Weekly Tracker'!$J$2:$J$766&lt;&gt;""),'Weekly Tracker'!$J$2:$J$766),"")</f>
        <v/>
      </c>
      <c r="K1178" s="9">
        <f>IFERROR(LOOKUP(2,1/('Weekly Tracker'!$E$2:$E$766=$A1178)/('Weekly Tracker'!$N$2:$N$766&lt;&gt;""),'Weekly Tracker'!$N$2:$N$766),"")</f>
        <v/>
      </c>
      <c r="L1178" s="9">
        <f>IFERROR(LOOKUP(2,1/('Weekly Tracker'!$E$2:$E$766=$A1178)/('Weekly Tracker'!$O$2:$O$766&lt;&gt;""),'Weekly Tracker'!$O$2:$O$766),"")</f>
        <v/>
      </c>
    </row>
    <row r="1179">
      <c r="A1179" s="9" t="inlineStr">
        <is>
          <t>Sankar HCL</t>
        </is>
      </c>
      <c r="B1179" s="9" t="inlineStr">
        <is>
          <t>8778819103</t>
        </is>
      </c>
      <c r="C1179" s="9" t="n"/>
      <c r="D1179" s="9" t="n"/>
      <c r="E1179" s="9" t="n"/>
      <c r="F1179" s="9">
        <f>IFERROR(LOOKUP(2,1/('Weekly Tracker'!$E$2:$E$766=$A1179)/('Weekly Tracker'!$F$2:$F$766&lt;&gt;""),'Weekly Tracker'!$F$2:$F$766),"")</f>
        <v/>
      </c>
      <c r="G1179" s="16">
        <f>IF(F1179&lt;&gt;"",LOOKUP(2,1/('Weekly Tracker'!$E$2:$E$766=$A1179)/('Weekly Tracker'!$F$2:$F$766&lt;&gt;""),'Weekly Tracker'!$G$2:$G$766),"")</f>
        <v/>
      </c>
      <c r="H1179" s="9">
        <f>IFERROR(LOOKUP(2,1/('Weekly Tracker'!$E$2:$E$766=$A1179)/('Weekly Tracker'!$H$2:$H$766&lt;&gt;""),'Weekly Tracker'!$H$2:$H$766),"")</f>
        <v/>
      </c>
      <c r="I1179" s="16">
        <f>IF(H1179&lt;&gt;"",LOOKUP(2,1/('Weekly Tracker'!$E$2:$E$766=$A1179)/('Weekly Tracker'!$H$2:$H$766&lt;&gt;""),'Weekly Tracker'!$I$2:$I$766),"")</f>
        <v/>
      </c>
      <c r="J1179" s="9">
        <f>IFERROR(LOOKUP(2,1/('Weekly Tracker'!$E$2:$E$766=$A1179)/('Weekly Tracker'!$J$2:$J$766&lt;&gt;""),'Weekly Tracker'!$J$2:$J$766),"")</f>
        <v/>
      </c>
      <c r="K1179" s="9">
        <f>IFERROR(LOOKUP(2,1/('Weekly Tracker'!$E$2:$E$766=$A1179)/('Weekly Tracker'!$N$2:$N$766&lt;&gt;""),'Weekly Tracker'!$N$2:$N$766),"")</f>
        <v/>
      </c>
      <c r="L1179" s="9">
        <f>IFERROR(LOOKUP(2,1/('Weekly Tracker'!$E$2:$E$766=$A1179)/('Weekly Tracker'!$O$2:$O$766&lt;&gt;""),'Weekly Tracker'!$O$2:$O$766),"")</f>
        <v/>
      </c>
    </row>
    <row r="1180">
      <c r="A1180" s="9" t="inlineStr">
        <is>
          <t>Chinna Junior FB</t>
        </is>
      </c>
      <c r="B1180" s="9" t="inlineStr">
        <is>
          <t>919500415253</t>
        </is>
      </c>
      <c r="C1180" s="9" t="n"/>
      <c r="D1180" s="9" t="n"/>
      <c r="E1180" s="9" t="n"/>
      <c r="F1180" s="9">
        <f>IFERROR(LOOKUP(2,1/('Weekly Tracker'!$E$2:$E$766=$A1180)/('Weekly Tracker'!$F$2:$F$766&lt;&gt;""),'Weekly Tracker'!$F$2:$F$766),"")</f>
        <v/>
      </c>
      <c r="G1180" s="16">
        <f>IF(F1180&lt;&gt;"",LOOKUP(2,1/('Weekly Tracker'!$E$2:$E$766=$A1180)/('Weekly Tracker'!$F$2:$F$766&lt;&gt;""),'Weekly Tracker'!$G$2:$G$766),"")</f>
        <v/>
      </c>
      <c r="H1180" s="9">
        <f>IFERROR(LOOKUP(2,1/('Weekly Tracker'!$E$2:$E$766=$A1180)/('Weekly Tracker'!$H$2:$H$766&lt;&gt;""),'Weekly Tracker'!$H$2:$H$766),"")</f>
        <v/>
      </c>
      <c r="I1180" s="16">
        <f>IF(H1180&lt;&gt;"",LOOKUP(2,1/('Weekly Tracker'!$E$2:$E$766=$A1180)/('Weekly Tracker'!$H$2:$H$766&lt;&gt;""),'Weekly Tracker'!$I$2:$I$766),"")</f>
        <v/>
      </c>
      <c r="J1180" s="9">
        <f>IFERROR(LOOKUP(2,1/('Weekly Tracker'!$E$2:$E$766=$A1180)/('Weekly Tracker'!$J$2:$J$766&lt;&gt;""),'Weekly Tracker'!$J$2:$J$766),"")</f>
        <v/>
      </c>
      <c r="K1180" s="9">
        <f>IFERROR(LOOKUP(2,1/('Weekly Tracker'!$E$2:$E$766=$A1180)/('Weekly Tracker'!$N$2:$N$766&lt;&gt;""),'Weekly Tracker'!$N$2:$N$766),"")</f>
        <v/>
      </c>
      <c r="L1180" s="9">
        <f>IFERROR(LOOKUP(2,1/('Weekly Tracker'!$E$2:$E$766=$A1180)/('Weekly Tracker'!$O$2:$O$766&lt;&gt;""),'Weekly Tracker'!$O$2:$O$766),"")</f>
        <v/>
      </c>
    </row>
    <row r="1181">
      <c r="A1181" s="9" t="inlineStr">
        <is>
          <t>Nivas Kumar Grp Ucen</t>
        </is>
      </c>
      <c r="B1181" s="9" t="inlineStr">
        <is>
          <t>919500799780</t>
        </is>
      </c>
      <c r="C1181" s="9" t="n"/>
      <c r="D1181" s="9" t="n"/>
      <c r="E1181" s="9" t="n"/>
      <c r="F1181" s="9">
        <f>IFERROR(LOOKUP(2,1/('Weekly Tracker'!$E$2:$E$766=$A1181)/('Weekly Tracker'!$F$2:$F$766&lt;&gt;""),'Weekly Tracker'!$F$2:$F$766),"")</f>
        <v/>
      </c>
      <c r="G1181" s="16">
        <f>IF(F1181&lt;&gt;"",LOOKUP(2,1/('Weekly Tracker'!$E$2:$E$766=$A1181)/('Weekly Tracker'!$F$2:$F$766&lt;&gt;""),'Weekly Tracker'!$G$2:$G$766),"")</f>
        <v/>
      </c>
      <c r="H1181" s="9">
        <f>IFERROR(LOOKUP(2,1/('Weekly Tracker'!$E$2:$E$766=$A1181)/('Weekly Tracker'!$H$2:$H$766&lt;&gt;""),'Weekly Tracker'!$H$2:$H$766),"")</f>
        <v/>
      </c>
      <c r="I1181" s="16">
        <f>IF(H1181&lt;&gt;"",LOOKUP(2,1/('Weekly Tracker'!$E$2:$E$766=$A1181)/('Weekly Tracker'!$H$2:$H$766&lt;&gt;""),'Weekly Tracker'!$I$2:$I$766),"")</f>
        <v/>
      </c>
      <c r="J1181" s="9">
        <f>IFERROR(LOOKUP(2,1/('Weekly Tracker'!$E$2:$E$766=$A1181)/('Weekly Tracker'!$J$2:$J$766&lt;&gt;""),'Weekly Tracker'!$J$2:$J$766),"")</f>
        <v/>
      </c>
      <c r="K1181" s="9">
        <f>IFERROR(LOOKUP(2,1/('Weekly Tracker'!$E$2:$E$766=$A1181)/('Weekly Tracker'!$N$2:$N$766&lt;&gt;""),'Weekly Tracker'!$N$2:$N$766),"")</f>
        <v/>
      </c>
      <c r="L1181" s="9">
        <f>IFERROR(LOOKUP(2,1/('Weekly Tracker'!$E$2:$E$766=$A1181)/('Weekly Tracker'!$O$2:$O$766&lt;&gt;""),'Weekly Tracker'!$O$2:$O$766),"")</f>
        <v/>
      </c>
    </row>
    <row r="1182">
      <c r="A1182" s="9" t="inlineStr">
        <is>
          <t>Gobal Krishnan Infy</t>
        </is>
      </c>
      <c r="B1182" s="9" t="inlineStr">
        <is>
          <t>+91 99401 20510</t>
        </is>
      </c>
      <c r="C1182" s="9" t="n"/>
      <c r="D1182" s="9" t="n"/>
      <c r="E1182" s="9" t="n"/>
      <c r="F1182" s="9">
        <f>IFERROR(LOOKUP(2,1/('Weekly Tracker'!$E$2:$E$766=$A1182)/('Weekly Tracker'!$F$2:$F$766&lt;&gt;""),'Weekly Tracker'!$F$2:$F$766),"")</f>
        <v/>
      </c>
      <c r="G1182" s="16">
        <f>IF(F1182&lt;&gt;"",LOOKUP(2,1/('Weekly Tracker'!$E$2:$E$766=$A1182)/('Weekly Tracker'!$F$2:$F$766&lt;&gt;""),'Weekly Tracker'!$G$2:$G$766),"")</f>
        <v/>
      </c>
      <c r="H1182" s="9">
        <f>IFERROR(LOOKUP(2,1/('Weekly Tracker'!$E$2:$E$766=$A1182)/('Weekly Tracker'!$H$2:$H$766&lt;&gt;""),'Weekly Tracker'!$H$2:$H$766),"")</f>
        <v/>
      </c>
      <c r="I1182" s="16">
        <f>IF(H1182&lt;&gt;"",LOOKUP(2,1/('Weekly Tracker'!$E$2:$E$766=$A1182)/('Weekly Tracker'!$H$2:$H$766&lt;&gt;""),'Weekly Tracker'!$I$2:$I$766),"")</f>
        <v/>
      </c>
      <c r="J1182" s="9">
        <f>IFERROR(LOOKUP(2,1/('Weekly Tracker'!$E$2:$E$766=$A1182)/('Weekly Tracker'!$J$2:$J$766&lt;&gt;""),'Weekly Tracker'!$J$2:$J$766),"")</f>
        <v/>
      </c>
      <c r="K1182" s="9">
        <f>IFERROR(LOOKUP(2,1/('Weekly Tracker'!$E$2:$E$766=$A1182)/('Weekly Tracker'!$N$2:$N$766&lt;&gt;""),'Weekly Tracker'!$N$2:$N$766),"")</f>
        <v/>
      </c>
      <c r="L1182" s="9">
        <f>IFERROR(LOOKUP(2,1/('Weekly Tracker'!$E$2:$E$766=$A1182)/('Weekly Tracker'!$O$2:$O$766&lt;&gt;""),'Weekly Tracker'!$O$2:$O$766),"")</f>
        <v/>
      </c>
    </row>
    <row r="1183">
      <c r="A1183" s="9" t="inlineStr">
        <is>
          <t>Sathya Fazil Grp Ucen</t>
        </is>
      </c>
      <c r="B1183" s="9" t="inlineStr">
        <is>
          <t>919942741106</t>
        </is>
      </c>
      <c r="C1183" s="9" t="n"/>
      <c r="D1183" s="9" t="n"/>
      <c r="E1183" s="9" t="n"/>
      <c r="F1183" s="9">
        <f>IFERROR(LOOKUP(2,1/('Weekly Tracker'!$E$2:$E$766=$A1183)/('Weekly Tracker'!$F$2:$F$766&lt;&gt;""),'Weekly Tracker'!$F$2:$F$766),"")</f>
        <v/>
      </c>
      <c r="G1183" s="16">
        <f>IF(F1183&lt;&gt;"",LOOKUP(2,1/('Weekly Tracker'!$E$2:$E$766=$A1183)/('Weekly Tracker'!$F$2:$F$766&lt;&gt;""),'Weekly Tracker'!$G$2:$G$766),"")</f>
        <v/>
      </c>
      <c r="H1183" s="9">
        <f>IFERROR(LOOKUP(2,1/('Weekly Tracker'!$E$2:$E$766=$A1183)/('Weekly Tracker'!$H$2:$H$766&lt;&gt;""),'Weekly Tracker'!$H$2:$H$766),"")</f>
        <v/>
      </c>
      <c r="I1183" s="16">
        <f>IF(H1183&lt;&gt;"",LOOKUP(2,1/('Weekly Tracker'!$E$2:$E$766=$A1183)/('Weekly Tracker'!$H$2:$H$766&lt;&gt;""),'Weekly Tracker'!$I$2:$I$766),"")</f>
        <v/>
      </c>
      <c r="J1183" s="9">
        <f>IFERROR(LOOKUP(2,1/('Weekly Tracker'!$E$2:$E$766=$A1183)/('Weekly Tracker'!$J$2:$J$766&lt;&gt;""),'Weekly Tracker'!$J$2:$J$766),"")</f>
        <v/>
      </c>
      <c r="K1183" s="9">
        <f>IFERROR(LOOKUP(2,1/('Weekly Tracker'!$E$2:$E$766=$A1183)/('Weekly Tracker'!$N$2:$N$766&lt;&gt;""),'Weekly Tracker'!$N$2:$N$766),"")</f>
        <v/>
      </c>
      <c r="L1183" s="9">
        <f>IFERROR(LOOKUP(2,1/('Weekly Tracker'!$E$2:$E$766=$A1183)/('Weekly Tracker'!$O$2:$O$766&lt;&gt;""),'Weekly Tracker'!$O$2:$O$766),"")</f>
        <v/>
      </c>
    </row>
    <row r="1184">
      <c r="A1184" s="9" t="inlineStr">
        <is>
          <t>Ravi Bhai</t>
        </is>
      </c>
      <c r="B1184" s="9" t="inlineStr">
        <is>
          <t>919137588509</t>
        </is>
      </c>
      <c r="C1184" s="9" t="n"/>
      <c r="D1184" s="9" t="n"/>
      <c r="E1184" s="9" t="n"/>
      <c r="F1184" s="9">
        <f>IFERROR(LOOKUP(2,1/('Weekly Tracker'!$E$2:$E$766=$A1184)/('Weekly Tracker'!$F$2:$F$766&lt;&gt;""),'Weekly Tracker'!$F$2:$F$766),"")</f>
        <v/>
      </c>
      <c r="G1184" s="16">
        <f>IF(F1184&lt;&gt;"",LOOKUP(2,1/('Weekly Tracker'!$E$2:$E$766=$A1184)/('Weekly Tracker'!$F$2:$F$766&lt;&gt;""),'Weekly Tracker'!$G$2:$G$766),"")</f>
        <v/>
      </c>
      <c r="H1184" s="9">
        <f>IFERROR(LOOKUP(2,1/('Weekly Tracker'!$E$2:$E$766=$A1184)/('Weekly Tracker'!$H$2:$H$766&lt;&gt;""),'Weekly Tracker'!$H$2:$H$766),"")</f>
        <v/>
      </c>
      <c r="I1184" s="16">
        <f>IF(H1184&lt;&gt;"",LOOKUP(2,1/('Weekly Tracker'!$E$2:$E$766=$A1184)/('Weekly Tracker'!$H$2:$H$766&lt;&gt;""),'Weekly Tracker'!$I$2:$I$766),"")</f>
        <v/>
      </c>
      <c r="J1184" s="9">
        <f>IFERROR(LOOKUP(2,1/('Weekly Tracker'!$E$2:$E$766=$A1184)/('Weekly Tracker'!$J$2:$J$766&lt;&gt;""),'Weekly Tracker'!$J$2:$J$766),"")</f>
        <v/>
      </c>
      <c r="K1184" s="9">
        <f>IFERROR(LOOKUP(2,1/('Weekly Tracker'!$E$2:$E$766=$A1184)/('Weekly Tracker'!$N$2:$N$766&lt;&gt;""),'Weekly Tracker'!$N$2:$N$766),"")</f>
        <v/>
      </c>
      <c r="L1184" s="9">
        <f>IFERROR(LOOKUP(2,1/('Weekly Tracker'!$E$2:$E$766=$A1184)/('Weekly Tracker'!$O$2:$O$766&lt;&gt;""),'Weekly Tracker'!$O$2:$O$766),"")</f>
        <v/>
      </c>
    </row>
    <row r="1185">
      <c r="A1185" s="9" t="inlineStr">
        <is>
          <t>Swami Urja</t>
        </is>
      </c>
      <c r="B1185" s="9" t="inlineStr">
        <is>
          <t>919444992571</t>
        </is>
      </c>
      <c r="C1185" s="9" t="n"/>
      <c r="D1185" s="9" t="n"/>
      <c r="E1185" s="9" t="n"/>
      <c r="F1185" s="9">
        <f>IFERROR(LOOKUP(2,1/('Weekly Tracker'!$E$2:$E$766=$A1185)/('Weekly Tracker'!$F$2:$F$766&lt;&gt;""),'Weekly Tracker'!$F$2:$F$766),"")</f>
        <v/>
      </c>
      <c r="G1185" s="16">
        <f>IF(F1185&lt;&gt;"",LOOKUP(2,1/('Weekly Tracker'!$E$2:$E$766=$A1185)/('Weekly Tracker'!$F$2:$F$766&lt;&gt;""),'Weekly Tracker'!$G$2:$G$766),"")</f>
        <v/>
      </c>
      <c r="H1185" s="9">
        <f>IFERROR(LOOKUP(2,1/('Weekly Tracker'!$E$2:$E$766=$A1185)/('Weekly Tracker'!$H$2:$H$766&lt;&gt;""),'Weekly Tracker'!$H$2:$H$766),"")</f>
        <v/>
      </c>
      <c r="I1185" s="16">
        <f>IF(H1185&lt;&gt;"",LOOKUP(2,1/('Weekly Tracker'!$E$2:$E$766=$A1185)/('Weekly Tracker'!$H$2:$H$766&lt;&gt;""),'Weekly Tracker'!$I$2:$I$766),"")</f>
        <v/>
      </c>
      <c r="J1185" s="9">
        <f>IFERROR(LOOKUP(2,1/('Weekly Tracker'!$E$2:$E$766=$A1185)/('Weekly Tracker'!$J$2:$J$766&lt;&gt;""),'Weekly Tracker'!$J$2:$J$766),"")</f>
        <v/>
      </c>
      <c r="K1185" s="9">
        <f>IFERROR(LOOKUP(2,1/('Weekly Tracker'!$E$2:$E$766=$A1185)/('Weekly Tracker'!$N$2:$N$766&lt;&gt;""),'Weekly Tracker'!$N$2:$N$766),"")</f>
        <v/>
      </c>
      <c r="L1185" s="9">
        <f>IFERROR(LOOKUP(2,1/('Weekly Tracker'!$E$2:$E$766=$A1185)/('Weekly Tracker'!$O$2:$O$766&lt;&gt;""),'Weekly Tracker'!$O$2:$O$766),"")</f>
        <v/>
      </c>
    </row>
    <row r="1186">
      <c r="A1186" s="9" t="inlineStr">
        <is>
          <t>Xperia Helpline</t>
        </is>
      </c>
      <c r="B1186" s="9" t="inlineStr">
        <is>
          <t>1-800-103-7799</t>
        </is>
      </c>
      <c r="C1186" s="9" t="n"/>
      <c r="D1186" s="9" t="n"/>
      <c r="E1186" s="9" t="n"/>
      <c r="F1186" s="9">
        <f>IFERROR(LOOKUP(2,1/('Weekly Tracker'!$E$2:$E$766=$A1186)/('Weekly Tracker'!$F$2:$F$766&lt;&gt;""),'Weekly Tracker'!$F$2:$F$766),"")</f>
        <v/>
      </c>
      <c r="G1186" s="16">
        <f>IF(F1186&lt;&gt;"",LOOKUP(2,1/('Weekly Tracker'!$E$2:$E$766=$A1186)/('Weekly Tracker'!$F$2:$F$766&lt;&gt;""),'Weekly Tracker'!$G$2:$G$766),"")</f>
        <v/>
      </c>
      <c r="H1186" s="9">
        <f>IFERROR(LOOKUP(2,1/('Weekly Tracker'!$E$2:$E$766=$A1186)/('Weekly Tracker'!$H$2:$H$766&lt;&gt;""),'Weekly Tracker'!$H$2:$H$766),"")</f>
        <v/>
      </c>
      <c r="I1186" s="16">
        <f>IF(H1186&lt;&gt;"",LOOKUP(2,1/('Weekly Tracker'!$E$2:$E$766=$A1186)/('Weekly Tracker'!$H$2:$H$766&lt;&gt;""),'Weekly Tracker'!$I$2:$I$766),"")</f>
        <v/>
      </c>
      <c r="J1186" s="9">
        <f>IFERROR(LOOKUP(2,1/('Weekly Tracker'!$E$2:$E$766=$A1186)/('Weekly Tracker'!$J$2:$J$766&lt;&gt;""),'Weekly Tracker'!$J$2:$J$766),"")</f>
        <v/>
      </c>
      <c r="K1186" s="9">
        <f>IFERROR(LOOKUP(2,1/('Weekly Tracker'!$E$2:$E$766=$A1186)/('Weekly Tracker'!$N$2:$N$766&lt;&gt;""),'Weekly Tracker'!$N$2:$N$766),"")</f>
        <v/>
      </c>
      <c r="L1186" s="9">
        <f>IFERROR(LOOKUP(2,1/('Weekly Tracker'!$E$2:$E$766=$A1186)/('Weekly Tracker'!$O$2:$O$766&lt;&gt;""),'Weekly Tracker'!$O$2:$O$766),"")</f>
        <v/>
      </c>
    </row>
    <row r="1187">
      <c r="A1187" s="9" t="inlineStr">
        <is>
          <t>Jeyasuraja FB</t>
        </is>
      </c>
      <c r="B1187" s="9" t="inlineStr">
        <is>
          <t>7530086939</t>
        </is>
      </c>
      <c r="C1187" s="9" t="n"/>
      <c r="D1187" s="9" t="n"/>
      <c r="E1187" s="9" t="n"/>
      <c r="F1187" s="9">
        <f>IFERROR(LOOKUP(2,1/('Weekly Tracker'!$E$2:$E$766=$A1187)/('Weekly Tracker'!$F$2:$F$766&lt;&gt;""),'Weekly Tracker'!$F$2:$F$766),"")</f>
        <v/>
      </c>
      <c r="G1187" s="16">
        <f>IF(F1187&lt;&gt;"",LOOKUP(2,1/('Weekly Tracker'!$E$2:$E$766=$A1187)/('Weekly Tracker'!$F$2:$F$766&lt;&gt;""),'Weekly Tracker'!$G$2:$G$766),"")</f>
        <v/>
      </c>
      <c r="H1187" s="9">
        <f>IFERROR(LOOKUP(2,1/('Weekly Tracker'!$E$2:$E$766=$A1187)/('Weekly Tracker'!$H$2:$H$766&lt;&gt;""),'Weekly Tracker'!$H$2:$H$766),"")</f>
        <v/>
      </c>
      <c r="I1187" s="16">
        <f>IF(H1187&lt;&gt;"",LOOKUP(2,1/('Weekly Tracker'!$E$2:$E$766=$A1187)/('Weekly Tracker'!$H$2:$H$766&lt;&gt;""),'Weekly Tracker'!$I$2:$I$766),"")</f>
        <v/>
      </c>
      <c r="J1187" s="9">
        <f>IFERROR(LOOKUP(2,1/('Weekly Tracker'!$E$2:$E$766=$A1187)/('Weekly Tracker'!$J$2:$J$766&lt;&gt;""),'Weekly Tracker'!$J$2:$J$766),"")</f>
        <v/>
      </c>
      <c r="K1187" s="9">
        <f>IFERROR(LOOKUP(2,1/('Weekly Tracker'!$E$2:$E$766=$A1187)/('Weekly Tracker'!$N$2:$N$766&lt;&gt;""),'Weekly Tracker'!$N$2:$N$766),"")</f>
        <v/>
      </c>
      <c r="L1187" s="9">
        <f>IFERROR(LOOKUP(2,1/('Weekly Tracker'!$E$2:$E$766=$A1187)/('Weekly Tracker'!$O$2:$O$766&lt;&gt;""),'Weekly Tracker'!$O$2:$O$766),"")</f>
        <v/>
      </c>
    </row>
    <row r="1188">
      <c r="A1188" s="9" t="inlineStr">
        <is>
          <t>Boopathy Raja FB</t>
        </is>
      </c>
      <c r="B1188" s="9" t="inlineStr">
        <is>
          <t>7598733599</t>
        </is>
      </c>
      <c r="C1188" s="9" t="n"/>
      <c r="D1188" s="9" t="n"/>
      <c r="E1188" s="9" t="n"/>
      <c r="F1188" s="9">
        <f>IFERROR(LOOKUP(2,1/('Weekly Tracker'!$E$2:$E$766=$A1188)/('Weekly Tracker'!$F$2:$F$766&lt;&gt;""),'Weekly Tracker'!$F$2:$F$766),"")</f>
        <v/>
      </c>
      <c r="G1188" s="16">
        <f>IF(F1188&lt;&gt;"",LOOKUP(2,1/('Weekly Tracker'!$E$2:$E$766=$A1188)/('Weekly Tracker'!$F$2:$F$766&lt;&gt;""),'Weekly Tracker'!$G$2:$G$766),"")</f>
        <v/>
      </c>
      <c r="H1188" s="9">
        <f>IFERROR(LOOKUP(2,1/('Weekly Tracker'!$E$2:$E$766=$A1188)/('Weekly Tracker'!$H$2:$H$766&lt;&gt;""),'Weekly Tracker'!$H$2:$H$766),"")</f>
        <v/>
      </c>
      <c r="I1188" s="16">
        <f>IF(H1188&lt;&gt;"",LOOKUP(2,1/('Weekly Tracker'!$E$2:$E$766=$A1188)/('Weekly Tracker'!$H$2:$H$766&lt;&gt;""),'Weekly Tracker'!$I$2:$I$766),"")</f>
        <v/>
      </c>
      <c r="J1188" s="9">
        <f>IFERROR(LOOKUP(2,1/('Weekly Tracker'!$E$2:$E$766=$A1188)/('Weekly Tracker'!$J$2:$J$766&lt;&gt;""),'Weekly Tracker'!$J$2:$J$766),"")</f>
        <v/>
      </c>
      <c r="K1188" s="9">
        <f>IFERROR(LOOKUP(2,1/('Weekly Tracker'!$E$2:$E$766=$A1188)/('Weekly Tracker'!$N$2:$N$766&lt;&gt;""),'Weekly Tracker'!$N$2:$N$766),"")</f>
        <v/>
      </c>
      <c r="L1188" s="9">
        <f>IFERROR(LOOKUP(2,1/('Weekly Tracker'!$E$2:$E$766=$A1188)/('Weekly Tracker'!$O$2:$O$766&lt;&gt;""),'Weekly Tracker'!$O$2:$O$766),"")</f>
        <v/>
      </c>
    </row>
    <row r="1189">
      <c r="A1189" s="9" t="inlineStr">
        <is>
          <t>Dhayanithi Ford</t>
        </is>
      </c>
      <c r="B1189" s="9" t="inlineStr">
        <is>
          <t>9940365575</t>
        </is>
      </c>
      <c r="C1189" s="9" t="n"/>
      <c r="D1189" s="9" t="n"/>
      <c r="E1189" s="9" t="n"/>
      <c r="F1189" s="9">
        <f>IFERROR(LOOKUP(2,1/('Weekly Tracker'!$E$2:$E$766=$A1189)/('Weekly Tracker'!$F$2:$F$766&lt;&gt;""),'Weekly Tracker'!$F$2:$F$766),"")</f>
        <v/>
      </c>
      <c r="G1189" s="16">
        <f>IF(F1189&lt;&gt;"",LOOKUP(2,1/('Weekly Tracker'!$E$2:$E$766=$A1189)/('Weekly Tracker'!$F$2:$F$766&lt;&gt;""),'Weekly Tracker'!$G$2:$G$766),"")</f>
        <v/>
      </c>
      <c r="H1189" s="9">
        <f>IFERROR(LOOKUP(2,1/('Weekly Tracker'!$E$2:$E$766=$A1189)/('Weekly Tracker'!$H$2:$H$766&lt;&gt;""),'Weekly Tracker'!$H$2:$H$766),"")</f>
        <v/>
      </c>
      <c r="I1189" s="16">
        <f>IF(H1189&lt;&gt;"",LOOKUP(2,1/('Weekly Tracker'!$E$2:$E$766=$A1189)/('Weekly Tracker'!$H$2:$H$766&lt;&gt;""),'Weekly Tracker'!$I$2:$I$766),"")</f>
        <v/>
      </c>
      <c r="J1189" s="9">
        <f>IFERROR(LOOKUP(2,1/('Weekly Tracker'!$E$2:$E$766=$A1189)/('Weekly Tracker'!$J$2:$J$766&lt;&gt;""),'Weekly Tracker'!$J$2:$J$766),"")</f>
        <v/>
      </c>
      <c r="K1189" s="9">
        <f>IFERROR(LOOKUP(2,1/('Weekly Tracker'!$E$2:$E$766=$A1189)/('Weekly Tracker'!$N$2:$N$766&lt;&gt;""),'Weekly Tracker'!$N$2:$N$766),"")</f>
        <v/>
      </c>
      <c r="L1189" s="9">
        <f>IFERROR(LOOKUP(2,1/('Weekly Tracker'!$E$2:$E$766=$A1189)/('Weekly Tracker'!$O$2:$O$766&lt;&gt;""),'Weekly Tracker'!$O$2:$O$766),"")</f>
        <v/>
      </c>
    </row>
    <row r="1190">
      <c r="A1190" s="9" t="inlineStr">
        <is>
          <t>Shiva kumar K FB</t>
        </is>
      </c>
      <c r="B1190" s="9" t="inlineStr">
        <is>
          <t>6382703634</t>
        </is>
      </c>
      <c r="C1190" s="9" t="n"/>
      <c r="D1190" s="9" t="n"/>
      <c r="E1190" s="9" t="n"/>
      <c r="F1190" s="9">
        <f>IFERROR(LOOKUP(2,1/('Weekly Tracker'!$E$2:$E$766=$A1190)/('Weekly Tracker'!$F$2:$F$766&lt;&gt;""),'Weekly Tracker'!$F$2:$F$766),"")</f>
        <v/>
      </c>
      <c r="G1190" s="16">
        <f>IF(F1190&lt;&gt;"",LOOKUP(2,1/('Weekly Tracker'!$E$2:$E$766=$A1190)/('Weekly Tracker'!$F$2:$F$766&lt;&gt;""),'Weekly Tracker'!$G$2:$G$766),"")</f>
        <v/>
      </c>
      <c r="H1190" s="9">
        <f>IFERROR(LOOKUP(2,1/('Weekly Tracker'!$E$2:$E$766=$A1190)/('Weekly Tracker'!$H$2:$H$766&lt;&gt;""),'Weekly Tracker'!$H$2:$H$766),"")</f>
        <v/>
      </c>
      <c r="I1190" s="16">
        <f>IF(H1190&lt;&gt;"",LOOKUP(2,1/('Weekly Tracker'!$E$2:$E$766=$A1190)/('Weekly Tracker'!$H$2:$H$766&lt;&gt;""),'Weekly Tracker'!$I$2:$I$766),"")</f>
        <v/>
      </c>
      <c r="J1190" s="9">
        <f>IFERROR(LOOKUP(2,1/('Weekly Tracker'!$E$2:$E$766=$A1190)/('Weekly Tracker'!$J$2:$J$766&lt;&gt;""),'Weekly Tracker'!$J$2:$J$766),"")</f>
        <v/>
      </c>
      <c r="K1190" s="9">
        <f>IFERROR(LOOKUP(2,1/('Weekly Tracker'!$E$2:$E$766=$A1190)/('Weekly Tracker'!$N$2:$N$766&lt;&gt;""),'Weekly Tracker'!$N$2:$N$766),"")</f>
        <v/>
      </c>
      <c r="L1190" s="9">
        <f>IFERROR(LOOKUP(2,1/('Weekly Tracker'!$E$2:$E$766=$A1190)/('Weekly Tracker'!$O$2:$O$766&lt;&gt;""),'Weekly Tracker'!$O$2:$O$766),"")</f>
        <v/>
      </c>
    </row>
    <row r="1191">
      <c r="A1191" s="9" t="inlineStr">
        <is>
          <t>Bins Urja</t>
        </is>
      </c>
      <c r="B1191" s="9" t="inlineStr">
        <is>
          <t>919629849204</t>
        </is>
      </c>
      <c r="C1191" s="9" t="n"/>
      <c r="D1191" s="9" t="n"/>
      <c r="E1191" s="9" t="n"/>
      <c r="F1191" s="9">
        <f>IFERROR(LOOKUP(2,1/('Weekly Tracker'!$E$2:$E$766=$A1191)/('Weekly Tracker'!$F$2:$F$766&lt;&gt;""),'Weekly Tracker'!$F$2:$F$766),"")</f>
        <v/>
      </c>
      <c r="G1191" s="16">
        <f>IF(F1191&lt;&gt;"",LOOKUP(2,1/('Weekly Tracker'!$E$2:$E$766=$A1191)/('Weekly Tracker'!$F$2:$F$766&lt;&gt;""),'Weekly Tracker'!$G$2:$G$766),"")</f>
        <v/>
      </c>
      <c r="H1191" s="9">
        <f>IFERROR(LOOKUP(2,1/('Weekly Tracker'!$E$2:$E$766=$A1191)/('Weekly Tracker'!$H$2:$H$766&lt;&gt;""),'Weekly Tracker'!$H$2:$H$766),"")</f>
        <v/>
      </c>
      <c r="I1191" s="16">
        <f>IF(H1191&lt;&gt;"",LOOKUP(2,1/('Weekly Tracker'!$E$2:$E$766=$A1191)/('Weekly Tracker'!$H$2:$H$766&lt;&gt;""),'Weekly Tracker'!$I$2:$I$766),"")</f>
        <v/>
      </c>
      <c r="J1191" s="9">
        <f>IFERROR(LOOKUP(2,1/('Weekly Tracker'!$E$2:$E$766=$A1191)/('Weekly Tracker'!$J$2:$J$766&lt;&gt;""),'Weekly Tracker'!$J$2:$J$766),"")</f>
        <v/>
      </c>
      <c r="K1191" s="9">
        <f>IFERROR(LOOKUP(2,1/('Weekly Tracker'!$E$2:$E$766=$A1191)/('Weekly Tracker'!$N$2:$N$766&lt;&gt;""),'Weekly Tracker'!$N$2:$N$766),"")</f>
        <v/>
      </c>
      <c r="L1191" s="9">
        <f>IFERROR(LOOKUP(2,1/('Weekly Tracker'!$E$2:$E$766=$A1191)/('Weekly Tracker'!$O$2:$O$766&lt;&gt;""),'Weekly Tracker'!$O$2:$O$766),"")</f>
        <v/>
      </c>
    </row>
    <row r="1192">
      <c r="A1192" s="9" t="inlineStr">
        <is>
          <t>Karthi Bolt Civil</t>
        </is>
      </c>
      <c r="B1192" s="9" t="inlineStr">
        <is>
          <t>919965691225</t>
        </is>
      </c>
      <c r="C1192" s="9" t="n"/>
      <c r="D1192" s="9" t="n"/>
      <c r="E1192" s="9" t="n"/>
      <c r="F1192" s="9">
        <f>IFERROR(LOOKUP(2,1/('Weekly Tracker'!$E$2:$E$766=$A1192)/('Weekly Tracker'!$F$2:$F$766&lt;&gt;""),'Weekly Tracker'!$F$2:$F$766),"")</f>
        <v/>
      </c>
      <c r="G1192" s="16">
        <f>IF(F1192&lt;&gt;"",LOOKUP(2,1/('Weekly Tracker'!$E$2:$E$766=$A1192)/('Weekly Tracker'!$F$2:$F$766&lt;&gt;""),'Weekly Tracker'!$G$2:$G$766),"")</f>
        <v/>
      </c>
      <c r="H1192" s="9">
        <f>IFERROR(LOOKUP(2,1/('Weekly Tracker'!$E$2:$E$766=$A1192)/('Weekly Tracker'!$H$2:$H$766&lt;&gt;""),'Weekly Tracker'!$H$2:$H$766),"")</f>
        <v/>
      </c>
      <c r="I1192" s="16">
        <f>IF(H1192&lt;&gt;"",LOOKUP(2,1/('Weekly Tracker'!$E$2:$E$766=$A1192)/('Weekly Tracker'!$H$2:$H$766&lt;&gt;""),'Weekly Tracker'!$I$2:$I$766),"")</f>
        <v/>
      </c>
      <c r="J1192" s="9">
        <f>IFERROR(LOOKUP(2,1/('Weekly Tracker'!$E$2:$E$766=$A1192)/('Weekly Tracker'!$J$2:$J$766&lt;&gt;""),'Weekly Tracker'!$J$2:$J$766),"")</f>
        <v/>
      </c>
      <c r="K1192" s="9">
        <f>IFERROR(LOOKUP(2,1/('Weekly Tracker'!$E$2:$E$766=$A1192)/('Weekly Tracker'!$N$2:$N$766&lt;&gt;""),'Weekly Tracker'!$N$2:$N$766),"")</f>
        <v/>
      </c>
      <c r="L1192" s="9">
        <f>IFERROR(LOOKUP(2,1/('Weekly Tracker'!$E$2:$E$766=$A1192)/('Weekly Tracker'!$O$2:$O$766&lt;&gt;""),'Weekly Tracker'!$O$2:$O$766),"")</f>
        <v/>
      </c>
    </row>
    <row r="1193">
      <c r="A1193" s="9" t="inlineStr">
        <is>
          <t>Jerin Grp Ucen</t>
        </is>
      </c>
      <c r="B1193" s="9" t="inlineStr">
        <is>
          <t>918870405235</t>
        </is>
      </c>
      <c r="C1193" s="9" t="n"/>
      <c r="D1193" s="9" t="n"/>
      <c r="E1193" s="9" t="n"/>
      <c r="F1193" s="9">
        <f>IFERROR(LOOKUP(2,1/('Weekly Tracker'!$E$2:$E$766=$A1193)/('Weekly Tracker'!$F$2:$F$766&lt;&gt;""),'Weekly Tracker'!$F$2:$F$766),"")</f>
        <v/>
      </c>
      <c r="G1193" s="16">
        <f>IF(F1193&lt;&gt;"",LOOKUP(2,1/('Weekly Tracker'!$E$2:$E$766=$A1193)/('Weekly Tracker'!$F$2:$F$766&lt;&gt;""),'Weekly Tracker'!$G$2:$G$766),"")</f>
        <v/>
      </c>
      <c r="H1193" s="9">
        <f>IFERROR(LOOKUP(2,1/('Weekly Tracker'!$E$2:$E$766=$A1193)/('Weekly Tracker'!$H$2:$H$766&lt;&gt;""),'Weekly Tracker'!$H$2:$H$766),"")</f>
        <v/>
      </c>
      <c r="I1193" s="16">
        <f>IF(H1193&lt;&gt;"",LOOKUP(2,1/('Weekly Tracker'!$E$2:$E$766=$A1193)/('Weekly Tracker'!$H$2:$H$766&lt;&gt;""),'Weekly Tracker'!$I$2:$I$766),"")</f>
        <v/>
      </c>
      <c r="J1193" s="9">
        <f>IFERROR(LOOKUP(2,1/('Weekly Tracker'!$E$2:$E$766=$A1193)/('Weekly Tracker'!$J$2:$J$766&lt;&gt;""),'Weekly Tracker'!$J$2:$J$766),"")</f>
        <v/>
      </c>
      <c r="K1193" s="9">
        <f>IFERROR(LOOKUP(2,1/('Weekly Tracker'!$E$2:$E$766=$A1193)/('Weekly Tracker'!$N$2:$N$766&lt;&gt;""),'Weekly Tracker'!$N$2:$N$766),"")</f>
        <v/>
      </c>
      <c r="L1193" s="9">
        <f>IFERROR(LOOKUP(2,1/('Weekly Tracker'!$E$2:$E$766=$A1193)/('Weekly Tracker'!$O$2:$O$766&lt;&gt;""),'Weekly Tracker'!$O$2:$O$766),"")</f>
        <v/>
      </c>
    </row>
    <row r="1194">
      <c r="A1194" s="9" t="inlineStr">
        <is>
          <t>Vignesh Bala Grp Ucen</t>
        </is>
      </c>
      <c r="B1194" s="9" t="inlineStr">
        <is>
          <t>919994233629</t>
        </is>
      </c>
      <c r="C1194" s="9" t="n"/>
      <c r="D1194" s="9" t="n"/>
      <c r="E1194" s="9" t="n"/>
      <c r="F1194" s="9">
        <f>IFERROR(LOOKUP(2,1/('Weekly Tracker'!$E$2:$E$766=$A1194)/('Weekly Tracker'!$F$2:$F$766&lt;&gt;""),'Weekly Tracker'!$F$2:$F$766),"")</f>
        <v/>
      </c>
      <c r="G1194" s="16">
        <f>IF(F1194&lt;&gt;"",LOOKUP(2,1/('Weekly Tracker'!$E$2:$E$766=$A1194)/('Weekly Tracker'!$F$2:$F$766&lt;&gt;""),'Weekly Tracker'!$G$2:$G$766),"")</f>
        <v/>
      </c>
      <c r="H1194" s="9">
        <f>IFERROR(LOOKUP(2,1/('Weekly Tracker'!$E$2:$E$766=$A1194)/('Weekly Tracker'!$H$2:$H$766&lt;&gt;""),'Weekly Tracker'!$H$2:$H$766),"")</f>
        <v/>
      </c>
      <c r="I1194" s="16">
        <f>IF(H1194&lt;&gt;"",LOOKUP(2,1/('Weekly Tracker'!$E$2:$E$766=$A1194)/('Weekly Tracker'!$H$2:$H$766&lt;&gt;""),'Weekly Tracker'!$I$2:$I$766),"")</f>
        <v/>
      </c>
      <c r="J1194" s="9">
        <f>IFERROR(LOOKUP(2,1/('Weekly Tracker'!$E$2:$E$766=$A1194)/('Weekly Tracker'!$J$2:$J$766&lt;&gt;""),'Weekly Tracker'!$J$2:$J$766),"")</f>
        <v/>
      </c>
      <c r="K1194" s="9">
        <f>IFERROR(LOOKUP(2,1/('Weekly Tracker'!$E$2:$E$766=$A1194)/('Weekly Tracker'!$N$2:$N$766&lt;&gt;""),'Weekly Tracker'!$N$2:$N$766),"")</f>
        <v/>
      </c>
      <c r="L1194" s="9">
        <f>IFERROR(LOOKUP(2,1/('Weekly Tracker'!$E$2:$E$766=$A1194)/('Weekly Tracker'!$O$2:$O$766&lt;&gt;""),'Weekly Tracker'!$O$2:$O$766),"")</f>
        <v/>
      </c>
    </row>
    <row r="1195">
      <c r="A1195" s="9" t="inlineStr">
        <is>
          <t>Ashwin Rajendran Urja</t>
        </is>
      </c>
      <c r="B1195" s="9" t="inlineStr">
        <is>
          <t>9941567346</t>
        </is>
      </c>
      <c r="C1195" s="9" t="n"/>
      <c r="D1195" s="9" t="n"/>
      <c r="E1195" s="9" t="n"/>
      <c r="F1195" s="9">
        <f>IFERROR(LOOKUP(2,1/('Weekly Tracker'!$E$2:$E$766=$A1195)/('Weekly Tracker'!$F$2:$F$766&lt;&gt;""),'Weekly Tracker'!$F$2:$F$766),"")</f>
        <v/>
      </c>
      <c r="G1195" s="16">
        <f>IF(F1195&lt;&gt;"",LOOKUP(2,1/('Weekly Tracker'!$E$2:$E$766=$A1195)/('Weekly Tracker'!$F$2:$F$766&lt;&gt;""),'Weekly Tracker'!$G$2:$G$766),"")</f>
        <v/>
      </c>
      <c r="H1195" s="9">
        <f>IFERROR(LOOKUP(2,1/('Weekly Tracker'!$E$2:$E$766=$A1195)/('Weekly Tracker'!$H$2:$H$766&lt;&gt;""),'Weekly Tracker'!$H$2:$H$766),"")</f>
        <v/>
      </c>
      <c r="I1195" s="16">
        <f>IF(H1195&lt;&gt;"",LOOKUP(2,1/('Weekly Tracker'!$E$2:$E$766=$A1195)/('Weekly Tracker'!$H$2:$H$766&lt;&gt;""),'Weekly Tracker'!$I$2:$I$766),"")</f>
        <v/>
      </c>
      <c r="J1195" s="9">
        <f>IFERROR(LOOKUP(2,1/('Weekly Tracker'!$E$2:$E$766=$A1195)/('Weekly Tracker'!$J$2:$J$766&lt;&gt;""),'Weekly Tracker'!$J$2:$J$766),"")</f>
        <v/>
      </c>
      <c r="K1195" s="9">
        <f>IFERROR(LOOKUP(2,1/('Weekly Tracker'!$E$2:$E$766=$A1195)/('Weekly Tracker'!$N$2:$N$766&lt;&gt;""),'Weekly Tracker'!$N$2:$N$766),"")</f>
        <v/>
      </c>
      <c r="L1195" s="9">
        <f>IFERROR(LOOKUP(2,1/('Weekly Tracker'!$E$2:$E$766=$A1195)/('Weekly Tracker'!$O$2:$O$766&lt;&gt;""),'Weekly Tracker'!$O$2:$O$766),"")</f>
        <v/>
      </c>
    </row>
    <row r="1196">
      <c r="A1196" s="9" t="inlineStr">
        <is>
          <t>Sithanandham Infosys</t>
        </is>
      </c>
      <c r="B1196" s="9" t="inlineStr">
        <is>
          <t>919962574842</t>
        </is>
      </c>
      <c r="C1196" s="9" t="n"/>
      <c r="D1196" s="9" t="n"/>
      <c r="E1196" s="9" t="n"/>
      <c r="F1196" s="9">
        <f>IFERROR(LOOKUP(2,1/('Weekly Tracker'!$E$2:$E$766=$A1196)/('Weekly Tracker'!$F$2:$F$766&lt;&gt;""),'Weekly Tracker'!$F$2:$F$766),"")</f>
        <v/>
      </c>
      <c r="G1196" s="16">
        <f>IF(F1196&lt;&gt;"",LOOKUP(2,1/('Weekly Tracker'!$E$2:$E$766=$A1196)/('Weekly Tracker'!$F$2:$F$766&lt;&gt;""),'Weekly Tracker'!$G$2:$G$766),"")</f>
        <v/>
      </c>
      <c r="H1196" s="9">
        <f>IFERROR(LOOKUP(2,1/('Weekly Tracker'!$E$2:$E$766=$A1196)/('Weekly Tracker'!$H$2:$H$766&lt;&gt;""),'Weekly Tracker'!$H$2:$H$766),"")</f>
        <v/>
      </c>
      <c r="I1196" s="16">
        <f>IF(H1196&lt;&gt;"",LOOKUP(2,1/('Weekly Tracker'!$E$2:$E$766=$A1196)/('Weekly Tracker'!$H$2:$H$766&lt;&gt;""),'Weekly Tracker'!$I$2:$I$766),"")</f>
        <v/>
      </c>
      <c r="J1196" s="9">
        <f>IFERROR(LOOKUP(2,1/('Weekly Tracker'!$E$2:$E$766=$A1196)/('Weekly Tracker'!$J$2:$J$766&lt;&gt;""),'Weekly Tracker'!$J$2:$J$766),"")</f>
        <v/>
      </c>
      <c r="K1196" s="9">
        <f>IFERROR(LOOKUP(2,1/('Weekly Tracker'!$E$2:$E$766=$A1196)/('Weekly Tracker'!$N$2:$N$766&lt;&gt;""),'Weekly Tracker'!$N$2:$N$766),"")</f>
        <v/>
      </c>
      <c r="L1196" s="9">
        <f>IFERROR(LOOKUP(2,1/('Weekly Tracker'!$E$2:$E$766=$A1196)/('Weekly Tracker'!$O$2:$O$766&lt;&gt;""),'Weekly Tracker'!$O$2:$O$766),"")</f>
        <v/>
      </c>
    </row>
    <row r="1197">
      <c r="A1197" s="9" t="inlineStr">
        <is>
          <t>JP Anna</t>
        </is>
      </c>
      <c r="B1197" s="9" t="inlineStr">
        <is>
          <t>917667766810, 919566666810</t>
        </is>
      </c>
      <c r="C1197" s="9" t="n"/>
      <c r="D1197" s="9" t="n"/>
      <c r="E1197" s="9" t="n"/>
      <c r="F1197" s="9">
        <f>IFERROR(LOOKUP(2,1/('Weekly Tracker'!$E$2:$E$766=$A1197)/('Weekly Tracker'!$F$2:$F$766&lt;&gt;""),'Weekly Tracker'!$F$2:$F$766),"")</f>
        <v/>
      </c>
      <c r="G1197" s="16">
        <f>IF(F1197&lt;&gt;"",LOOKUP(2,1/('Weekly Tracker'!$E$2:$E$766=$A1197)/('Weekly Tracker'!$F$2:$F$766&lt;&gt;""),'Weekly Tracker'!$G$2:$G$766),"")</f>
        <v/>
      </c>
      <c r="H1197" s="9">
        <f>IFERROR(LOOKUP(2,1/('Weekly Tracker'!$E$2:$E$766=$A1197)/('Weekly Tracker'!$H$2:$H$766&lt;&gt;""),'Weekly Tracker'!$H$2:$H$766),"")</f>
        <v/>
      </c>
      <c r="I1197" s="16">
        <f>IF(H1197&lt;&gt;"",LOOKUP(2,1/('Weekly Tracker'!$E$2:$E$766=$A1197)/('Weekly Tracker'!$H$2:$H$766&lt;&gt;""),'Weekly Tracker'!$I$2:$I$766),"")</f>
        <v/>
      </c>
      <c r="J1197" s="9">
        <f>IFERROR(LOOKUP(2,1/('Weekly Tracker'!$E$2:$E$766=$A1197)/('Weekly Tracker'!$J$2:$J$766&lt;&gt;""),'Weekly Tracker'!$J$2:$J$766),"")</f>
        <v/>
      </c>
      <c r="K1197" s="9">
        <f>IFERROR(LOOKUP(2,1/('Weekly Tracker'!$E$2:$E$766=$A1197)/('Weekly Tracker'!$N$2:$N$766&lt;&gt;""),'Weekly Tracker'!$N$2:$N$766),"")</f>
        <v/>
      </c>
      <c r="L1197" s="9">
        <f>IFERROR(LOOKUP(2,1/('Weekly Tracker'!$E$2:$E$766=$A1197)/('Weekly Tracker'!$O$2:$O$766&lt;&gt;""),'Weekly Tracker'!$O$2:$O$766),"")</f>
        <v/>
      </c>
    </row>
    <row r="1198">
      <c r="A1198" s="9" t="inlineStr">
        <is>
          <t>Subir Telegram</t>
        </is>
      </c>
      <c r="B1198" s="9" t="inlineStr">
        <is>
          <t>7278241598</t>
        </is>
      </c>
      <c r="C1198" s="9" t="n"/>
      <c r="D1198" s="9" t="n"/>
      <c r="E1198" s="9" t="n"/>
      <c r="F1198" s="9">
        <f>IFERROR(LOOKUP(2,1/('Weekly Tracker'!$E$2:$E$766=$A1198)/('Weekly Tracker'!$F$2:$F$766&lt;&gt;""),'Weekly Tracker'!$F$2:$F$766),"")</f>
        <v/>
      </c>
      <c r="G1198" s="16">
        <f>IF(F1198&lt;&gt;"",LOOKUP(2,1/('Weekly Tracker'!$E$2:$E$766=$A1198)/('Weekly Tracker'!$F$2:$F$766&lt;&gt;""),'Weekly Tracker'!$G$2:$G$766),"")</f>
        <v/>
      </c>
      <c r="H1198" s="9">
        <f>IFERROR(LOOKUP(2,1/('Weekly Tracker'!$E$2:$E$766=$A1198)/('Weekly Tracker'!$H$2:$H$766&lt;&gt;""),'Weekly Tracker'!$H$2:$H$766),"")</f>
        <v/>
      </c>
      <c r="I1198" s="16">
        <f>IF(H1198&lt;&gt;"",LOOKUP(2,1/('Weekly Tracker'!$E$2:$E$766=$A1198)/('Weekly Tracker'!$H$2:$H$766&lt;&gt;""),'Weekly Tracker'!$I$2:$I$766),"")</f>
        <v/>
      </c>
      <c r="J1198" s="9">
        <f>IFERROR(LOOKUP(2,1/('Weekly Tracker'!$E$2:$E$766=$A1198)/('Weekly Tracker'!$J$2:$J$766&lt;&gt;""),'Weekly Tracker'!$J$2:$J$766),"")</f>
        <v/>
      </c>
      <c r="K1198" s="9">
        <f>IFERROR(LOOKUP(2,1/('Weekly Tracker'!$E$2:$E$766=$A1198)/('Weekly Tracker'!$N$2:$N$766&lt;&gt;""),'Weekly Tracker'!$N$2:$N$766),"")</f>
        <v/>
      </c>
      <c r="L1198" s="9">
        <f>IFERROR(LOOKUP(2,1/('Weekly Tracker'!$E$2:$E$766=$A1198)/('Weekly Tracker'!$O$2:$O$766&lt;&gt;""),'Weekly Tracker'!$O$2:$O$766),"")</f>
        <v/>
      </c>
    </row>
    <row r="1199">
      <c r="A1199" s="9" t="inlineStr">
        <is>
          <t>Urjanet Landline</t>
        </is>
      </c>
      <c r="B1199" s="9" t="inlineStr">
        <is>
          <t>044 6648 9100</t>
        </is>
      </c>
      <c r="C1199" s="9" t="n"/>
      <c r="D1199" s="9" t="n"/>
      <c r="E1199" s="9" t="n"/>
      <c r="F1199" s="9">
        <f>IFERROR(LOOKUP(2,1/('Weekly Tracker'!$E$2:$E$766=$A1199)/('Weekly Tracker'!$F$2:$F$766&lt;&gt;""),'Weekly Tracker'!$F$2:$F$766),"")</f>
        <v/>
      </c>
      <c r="G1199" s="16">
        <f>IF(F1199&lt;&gt;"",LOOKUP(2,1/('Weekly Tracker'!$E$2:$E$766=$A1199)/('Weekly Tracker'!$F$2:$F$766&lt;&gt;""),'Weekly Tracker'!$G$2:$G$766),"")</f>
        <v/>
      </c>
      <c r="H1199" s="9">
        <f>IFERROR(LOOKUP(2,1/('Weekly Tracker'!$E$2:$E$766=$A1199)/('Weekly Tracker'!$H$2:$H$766&lt;&gt;""),'Weekly Tracker'!$H$2:$H$766),"")</f>
        <v/>
      </c>
      <c r="I1199" s="16">
        <f>IF(H1199&lt;&gt;"",LOOKUP(2,1/('Weekly Tracker'!$E$2:$E$766=$A1199)/('Weekly Tracker'!$H$2:$H$766&lt;&gt;""),'Weekly Tracker'!$I$2:$I$766),"")</f>
        <v/>
      </c>
      <c r="J1199" s="9">
        <f>IFERROR(LOOKUP(2,1/('Weekly Tracker'!$E$2:$E$766=$A1199)/('Weekly Tracker'!$J$2:$J$766&lt;&gt;""),'Weekly Tracker'!$J$2:$J$766),"")</f>
        <v/>
      </c>
      <c r="K1199" s="9">
        <f>IFERROR(LOOKUP(2,1/('Weekly Tracker'!$E$2:$E$766=$A1199)/('Weekly Tracker'!$N$2:$N$766&lt;&gt;""),'Weekly Tracker'!$N$2:$N$766),"")</f>
        <v/>
      </c>
      <c r="L1199" s="9">
        <f>IFERROR(LOOKUP(2,1/('Weekly Tracker'!$E$2:$E$766=$A1199)/('Weekly Tracker'!$O$2:$O$766&lt;&gt;""),'Weekly Tracker'!$O$2:$O$766),"")</f>
        <v/>
      </c>
    </row>
    <row r="1200">
      <c r="A1200" s="9" t="inlineStr">
        <is>
          <t>Karthick Captain FB</t>
        </is>
      </c>
      <c r="B1200" s="9" t="inlineStr">
        <is>
          <t>8714141000</t>
        </is>
      </c>
      <c r="C1200" s="9" t="n"/>
      <c r="D1200" s="9" t="n"/>
      <c r="E1200" s="9" t="n"/>
      <c r="F1200" s="9">
        <f>IFERROR(LOOKUP(2,1/('Weekly Tracker'!$E$2:$E$766=$A1200)/('Weekly Tracker'!$F$2:$F$766&lt;&gt;""),'Weekly Tracker'!$F$2:$F$766),"")</f>
        <v/>
      </c>
      <c r="G1200" s="16">
        <f>IF(F1200&lt;&gt;"",LOOKUP(2,1/('Weekly Tracker'!$E$2:$E$766=$A1200)/('Weekly Tracker'!$F$2:$F$766&lt;&gt;""),'Weekly Tracker'!$G$2:$G$766),"")</f>
        <v/>
      </c>
      <c r="H1200" s="9">
        <f>IFERROR(LOOKUP(2,1/('Weekly Tracker'!$E$2:$E$766=$A1200)/('Weekly Tracker'!$H$2:$H$766&lt;&gt;""),'Weekly Tracker'!$H$2:$H$766),"")</f>
        <v/>
      </c>
      <c r="I1200" s="16">
        <f>IF(H1200&lt;&gt;"",LOOKUP(2,1/('Weekly Tracker'!$E$2:$E$766=$A1200)/('Weekly Tracker'!$H$2:$H$766&lt;&gt;""),'Weekly Tracker'!$I$2:$I$766),"")</f>
        <v/>
      </c>
      <c r="J1200" s="9">
        <f>IFERROR(LOOKUP(2,1/('Weekly Tracker'!$E$2:$E$766=$A1200)/('Weekly Tracker'!$J$2:$J$766&lt;&gt;""),'Weekly Tracker'!$J$2:$J$766),"")</f>
        <v/>
      </c>
      <c r="K1200" s="9">
        <f>IFERROR(LOOKUP(2,1/('Weekly Tracker'!$E$2:$E$766=$A1200)/('Weekly Tracker'!$N$2:$N$766&lt;&gt;""),'Weekly Tracker'!$N$2:$N$766),"")</f>
        <v/>
      </c>
      <c r="L1200" s="9">
        <f>IFERROR(LOOKUP(2,1/('Weekly Tracker'!$E$2:$E$766=$A1200)/('Weekly Tracker'!$O$2:$O$766&lt;&gt;""),'Weekly Tracker'!$O$2:$O$766),"")</f>
        <v/>
      </c>
    </row>
    <row r="1201">
      <c r="A1201" s="9" t="inlineStr">
        <is>
          <t>Chidambaram Grp Ucen</t>
        </is>
      </c>
      <c r="B1201" s="9" t="inlineStr">
        <is>
          <t>918300985650</t>
        </is>
      </c>
      <c r="C1201" s="9" t="n"/>
      <c r="D1201" s="9" t="n"/>
      <c r="E1201" s="9" t="n"/>
      <c r="F1201" s="9">
        <f>IFERROR(LOOKUP(2,1/('Weekly Tracker'!$E$2:$E$766=$A1201)/('Weekly Tracker'!$F$2:$F$766&lt;&gt;""),'Weekly Tracker'!$F$2:$F$766),"")</f>
        <v/>
      </c>
      <c r="G1201" s="16">
        <f>IF(F1201&lt;&gt;"",LOOKUP(2,1/('Weekly Tracker'!$E$2:$E$766=$A1201)/('Weekly Tracker'!$F$2:$F$766&lt;&gt;""),'Weekly Tracker'!$G$2:$G$766),"")</f>
        <v/>
      </c>
      <c r="H1201" s="9">
        <f>IFERROR(LOOKUP(2,1/('Weekly Tracker'!$E$2:$E$766=$A1201)/('Weekly Tracker'!$H$2:$H$766&lt;&gt;""),'Weekly Tracker'!$H$2:$H$766),"")</f>
        <v/>
      </c>
      <c r="I1201" s="16">
        <f>IF(H1201&lt;&gt;"",LOOKUP(2,1/('Weekly Tracker'!$E$2:$E$766=$A1201)/('Weekly Tracker'!$H$2:$H$766&lt;&gt;""),'Weekly Tracker'!$I$2:$I$766),"")</f>
        <v/>
      </c>
      <c r="J1201" s="9">
        <f>IFERROR(LOOKUP(2,1/('Weekly Tracker'!$E$2:$E$766=$A1201)/('Weekly Tracker'!$J$2:$J$766&lt;&gt;""),'Weekly Tracker'!$J$2:$J$766),"")</f>
        <v/>
      </c>
      <c r="K1201" s="9">
        <f>IFERROR(LOOKUP(2,1/('Weekly Tracker'!$E$2:$E$766=$A1201)/('Weekly Tracker'!$N$2:$N$766&lt;&gt;""),'Weekly Tracker'!$N$2:$N$766),"")</f>
        <v/>
      </c>
      <c r="L1201" s="9">
        <f>IFERROR(LOOKUP(2,1/('Weekly Tracker'!$E$2:$E$766=$A1201)/('Weekly Tracker'!$O$2:$O$766&lt;&gt;""),'Weekly Tracker'!$O$2:$O$766),"")</f>
        <v/>
      </c>
    </row>
    <row r="1202">
      <c r="A1202" s="9" t="inlineStr">
        <is>
          <t>MBala Ganeshan FB</t>
        </is>
      </c>
      <c r="B1202" s="9" t="inlineStr">
        <is>
          <t>8056677496</t>
        </is>
      </c>
      <c r="C1202" s="9" t="n"/>
      <c r="D1202" s="9" t="n"/>
      <c r="E1202" s="9" t="n"/>
      <c r="F1202" s="9">
        <f>IFERROR(LOOKUP(2,1/('Weekly Tracker'!$E$2:$E$766=$A1202)/('Weekly Tracker'!$F$2:$F$766&lt;&gt;""),'Weekly Tracker'!$F$2:$F$766),"")</f>
        <v/>
      </c>
      <c r="G1202" s="16">
        <f>IF(F1202&lt;&gt;"",LOOKUP(2,1/('Weekly Tracker'!$E$2:$E$766=$A1202)/('Weekly Tracker'!$F$2:$F$766&lt;&gt;""),'Weekly Tracker'!$G$2:$G$766),"")</f>
        <v/>
      </c>
      <c r="H1202" s="9">
        <f>IFERROR(LOOKUP(2,1/('Weekly Tracker'!$E$2:$E$766=$A1202)/('Weekly Tracker'!$H$2:$H$766&lt;&gt;""),'Weekly Tracker'!$H$2:$H$766),"")</f>
        <v/>
      </c>
      <c r="I1202" s="16">
        <f>IF(H1202&lt;&gt;"",LOOKUP(2,1/('Weekly Tracker'!$E$2:$E$766=$A1202)/('Weekly Tracker'!$H$2:$H$766&lt;&gt;""),'Weekly Tracker'!$I$2:$I$766),"")</f>
        <v/>
      </c>
      <c r="J1202" s="9">
        <f>IFERROR(LOOKUP(2,1/('Weekly Tracker'!$E$2:$E$766=$A1202)/('Weekly Tracker'!$J$2:$J$766&lt;&gt;""),'Weekly Tracker'!$J$2:$J$766),"")</f>
        <v/>
      </c>
      <c r="K1202" s="9">
        <f>IFERROR(LOOKUP(2,1/('Weekly Tracker'!$E$2:$E$766=$A1202)/('Weekly Tracker'!$N$2:$N$766&lt;&gt;""),'Weekly Tracker'!$N$2:$N$766),"")</f>
        <v/>
      </c>
      <c r="L1202" s="9">
        <f>IFERROR(LOOKUP(2,1/('Weekly Tracker'!$E$2:$E$766=$A1202)/('Weekly Tracker'!$O$2:$O$766&lt;&gt;""),'Weekly Tracker'!$O$2:$O$766),"")</f>
        <v/>
      </c>
    </row>
    <row r="1203">
      <c r="A1203" s="9" t="inlineStr">
        <is>
          <t>Madhan QS</t>
        </is>
      </c>
      <c r="B1203" s="9" t="inlineStr">
        <is>
          <t>919688912299</t>
        </is>
      </c>
      <c r="C1203" s="9" t="n"/>
      <c r="D1203" s="9" t="n"/>
      <c r="E1203" s="9" t="n"/>
      <c r="F1203" s="9">
        <f>IFERROR(LOOKUP(2,1/('Weekly Tracker'!$E$2:$E$766=$A1203)/('Weekly Tracker'!$F$2:$F$766&lt;&gt;""),'Weekly Tracker'!$F$2:$F$766),"")</f>
        <v/>
      </c>
      <c r="G1203" s="16">
        <f>IF(F1203&lt;&gt;"",LOOKUP(2,1/('Weekly Tracker'!$E$2:$E$766=$A1203)/('Weekly Tracker'!$F$2:$F$766&lt;&gt;""),'Weekly Tracker'!$G$2:$G$766),"")</f>
        <v/>
      </c>
      <c r="H1203" s="9">
        <f>IFERROR(LOOKUP(2,1/('Weekly Tracker'!$E$2:$E$766=$A1203)/('Weekly Tracker'!$H$2:$H$766&lt;&gt;""),'Weekly Tracker'!$H$2:$H$766),"")</f>
        <v/>
      </c>
      <c r="I1203" s="16">
        <f>IF(H1203&lt;&gt;"",LOOKUP(2,1/('Weekly Tracker'!$E$2:$E$766=$A1203)/('Weekly Tracker'!$H$2:$H$766&lt;&gt;""),'Weekly Tracker'!$I$2:$I$766),"")</f>
        <v/>
      </c>
      <c r="J1203" s="9">
        <f>IFERROR(LOOKUP(2,1/('Weekly Tracker'!$E$2:$E$766=$A1203)/('Weekly Tracker'!$J$2:$J$766&lt;&gt;""),'Weekly Tracker'!$J$2:$J$766),"")</f>
        <v/>
      </c>
      <c r="K1203" s="9">
        <f>IFERROR(LOOKUP(2,1/('Weekly Tracker'!$E$2:$E$766=$A1203)/('Weekly Tracker'!$N$2:$N$766&lt;&gt;""),'Weekly Tracker'!$N$2:$N$766),"")</f>
        <v/>
      </c>
      <c r="L1203" s="9">
        <f>IFERROR(LOOKUP(2,1/('Weekly Tracker'!$E$2:$E$766=$A1203)/('Weekly Tracker'!$O$2:$O$766&lt;&gt;""),'Weekly Tracker'!$O$2:$O$766),"")</f>
        <v/>
      </c>
    </row>
    <row r="1204">
      <c r="A1204" s="9" t="inlineStr">
        <is>
          <t>Shama Infant Grp</t>
        </is>
      </c>
      <c r="B1204" s="9" t="inlineStr">
        <is>
          <t>919344105934</t>
        </is>
      </c>
      <c r="C1204" s="9" t="n"/>
      <c r="D1204" s="9" t="n"/>
      <c r="E1204" s="9" t="n"/>
      <c r="F1204" s="9">
        <f>IFERROR(LOOKUP(2,1/('Weekly Tracker'!$E$2:$E$766=$A1204)/('Weekly Tracker'!$F$2:$F$766&lt;&gt;""),'Weekly Tracker'!$F$2:$F$766),"")</f>
        <v/>
      </c>
      <c r="G1204" s="16">
        <f>IF(F1204&lt;&gt;"",LOOKUP(2,1/('Weekly Tracker'!$E$2:$E$766=$A1204)/('Weekly Tracker'!$F$2:$F$766&lt;&gt;""),'Weekly Tracker'!$G$2:$G$766),"")</f>
        <v/>
      </c>
      <c r="H1204" s="9">
        <f>IFERROR(LOOKUP(2,1/('Weekly Tracker'!$E$2:$E$766=$A1204)/('Weekly Tracker'!$H$2:$H$766&lt;&gt;""),'Weekly Tracker'!$H$2:$H$766),"")</f>
        <v/>
      </c>
      <c r="I1204" s="16">
        <f>IF(H1204&lt;&gt;"",LOOKUP(2,1/('Weekly Tracker'!$E$2:$E$766=$A1204)/('Weekly Tracker'!$H$2:$H$766&lt;&gt;""),'Weekly Tracker'!$I$2:$I$766),"")</f>
        <v/>
      </c>
      <c r="J1204" s="9">
        <f>IFERROR(LOOKUP(2,1/('Weekly Tracker'!$E$2:$E$766=$A1204)/('Weekly Tracker'!$J$2:$J$766&lt;&gt;""),'Weekly Tracker'!$J$2:$J$766),"")</f>
        <v/>
      </c>
      <c r="K1204" s="9">
        <f>IFERROR(LOOKUP(2,1/('Weekly Tracker'!$E$2:$E$766=$A1204)/('Weekly Tracker'!$N$2:$N$766&lt;&gt;""),'Weekly Tracker'!$N$2:$N$766),"")</f>
        <v/>
      </c>
      <c r="L1204" s="9">
        <f>IFERROR(LOOKUP(2,1/('Weekly Tracker'!$E$2:$E$766=$A1204)/('Weekly Tracker'!$O$2:$O$766&lt;&gt;""),'Weekly Tracker'!$O$2:$O$766),"")</f>
        <v/>
      </c>
    </row>
    <row r="1205">
      <c r="A1205" s="9" t="inlineStr">
        <is>
          <t>Raj Anto FB</t>
        </is>
      </c>
      <c r="B1205" s="9" t="inlineStr">
        <is>
          <t>918015147594</t>
        </is>
      </c>
      <c r="C1205" s="9" t="n"/>
      <c r="D1205" s="9" t="n"/>
      <c r="E1205" s="9" t="n"/>
      <c r="F1205" s="9">
        <f>IFERROR(LOOKUP(2,1/('Weekly Tracker'!$E$2:$E$766=$A1205)/('Weekly Tracker'!$F$2:$F$766&lt;&gt;""),'Weekly Tracker'!$F$2:$F$766),"")</f>
        <v/>
      </c>
      <c r="G1205" s="16">
        <f>IF(F1205&lt;&gt;"",LOOKUP(2,1/('Weekly Tracker'!$E$2:$E$766=$A1205)/('Weekly Tracker'!$F$2:$F$766&lt;&gt;""),'Weekly Tracker'!$G$2:$G$766),"")</f>
        <v/>
      </c>
      <c r="H1205" s="9">
        <f>IFERROR(LOOKUP(2,1/('Weekly Tracker'!$E$2:$E$766=$A1205)/('Weekly Tracker'!$H$2:$H$766&lt;&gt;""),'Weekly Tracker'!$H$2:$H$766),"")</f>
        <v/>
      </c>
      <c r="I1205" s="16">
        <f>IF(H1205&lt;&gt;"",LOOKUP(2,1/('Weekly Tracker'!$E$2:$E$766=$A1205)/('Weekly Tracker'!$H$2:$H$766&lt;&gt;""),'Weekly Tracker'!$I$2:$I$766),"")</f>
        <v/>
      </c>
      <c r="J1205" s="9">
        <f>IFERROR(LOOKUP(2,1/('Weekly Tracker'!$E$2:$E$766=$A1205)/('Weekly Tracker'!$J$2:$J$766&lt;&gt;""),'Weekly Tracker'!$J$2:$J$766),"")</f>
        <v/>
      </c>
      <c r="K1205" s="9">
        <f>IFERROR(LOOKUP(2,1/('Weekly Tracker'!$E$2:$E$766=$A1205)/('Weekly Tracker'!$N$2:$N$766&lt;&gt;""),'Weekly Tracker'!$N$2:$N$766),"")</f>
        <v/>
      </c>
      <c r="L1205" s="9">
        <f>IFERROR(LOOKUP(2,1/('Weekly Tracker'!$E$2:$E$766=$A1205)/('Weekly Tracker'!$O$2:$O$766&lt;&gt;""),'Weekly Tracker'!$O$2:$O$766),"")</f>
        <v/>
      </c>
    </row>
    <row r="1206">
      <c r="A1206" s="9" t="inlineStr">
        <is>
          <t>Inba Raj FB</t>
        </is>
      </c>
      <c r="B1206" s="9" t="inlineStr">
        <is>
          <t>9788905694</t>
        </is>
      </c>
      <c r="C1206" s="9" t="n"/>
      <c r="D1206" s="9" t="n"/>
      <c r="E1206" s="9" t="n"/>
      <c r="F1206" s="9">
        <f>IFERROR(LOOKUP(2,1/('Weekly Tracker'!$E$2:$E$766=$A1206)/('Weekly Tracker'!$F$2:$F$766&lt;&gt;""),'Weekly Tracker'!$F$2:$F$766),"")</f>
        <v/>
      </c>
      <c r="G1206" s="16">
        <f>IF(F1206&lt;&gt;"",LOOKUP(2,1/('Weekly Tracker'!$E$2:$E$766=$A1206)/('Weekly Tracker'!$F$2:$F$766&lt;&gt;""),'Weekly Tracker'!$G$2:$G$766),"")</f>
        <v/>
      </c>
      <c r="H1206" s="9">
        <f>IFERROR(LOOKUP(2,1/('Weekly Tracker'!$E$2:$E$766=$A1206)/('Weekly Tracker'!$H$2:$H$766&lt;&gt;""),'Weekly Tracker'!$H$2:$H$766),"")</f>
        <v/>
      </c>
      <c r="I1206" s="16">
        <f>IF(H1206&lt;&gt;"",LOOKUP(2,1/('Weekly Tracker'!$E$2:$E$766=$A1206)/('Weekly Tracker'!$H$2:$H$766&lt;&gt;""),'Weekly Tracker'!$I$2:$I$766),"")</f>
        <v/>
      </c>
      <c r="J1206" s="9">
        <f>IFERROR(LOOKUP(2,1/('Weekly Tracker'!$E$2:$E$766=$A1206)/('Weekly Tracker'!$J$2:$J$766&lt;&gt;""),'Weekly Tracker'!$J$2:$J$766),"")</f>
        <v/>
      </c>
      <c r="K1206" s="9">
        <f>IFERROR(LOOKUP(2,1/('Weekly Tracker'!$E$2:$E$766=$A1206)/('Weekly Tracker'!$N$2:$N$766&lt;&gt;""),'Weekly Tracker'!$N$2:$N$766),"")</f>
        <v/>
      </c>
      <c r="L1206" s="9">
        <f>IFERROR(LOOKUP(2,1/('Weekly Tracker'!$E$2:$E$766=$A1206)/('Weekly Tracker'!$O$2:$O$766&lt;&gt;""),'Weekly Tracker'!$O$2:$O$766),"")</f>
        <v/>
      </c>
    </row>
    <row r="1207">
      <c r="A1207" s="9" t="inlineStr">
        <is>
          <t>Karthiga Nirmal Dilkush</t>
        </is>
      </c>
      <c r="B1207" s="9" t="inlineStr">
        <is>
          <t>919952904737</t>
        </is>
      </c>
      <c r="C1207" s="9" t="n"/>
      <c r="D1207" s="9" t="n"/>
      <c r="E1207" s="9" t="n"/>
      <c r="F1207" s="9">
        <f>IFERROR(LOOKUP(2,1/('Weekly Tracker'!$E$2:$E$766=$A1207)/('Weekly Tracker'!$F$2:$F$766&lt;&gt;""),'Weekly Tracker'!$F$2:$F$766),"")</f>
        <v/>
      </c>
      <c r="G1207" s="16">
        <f>IF(F1207&lt;&gt;"",LOOKUP(2,1/('Weekly Tracker'!$E$2:$E$766=$A1207)/('Weekly Tracker'!$F$2:$F$766&lt;&gt;""),'Weekly Tracker'!$G$2:$G$766),"")</f>
        <v/>
      </c>
      <c r="H1207" s="9">
        <f>IFERROR(LOOKUP(2,1/('Weekly Tracker'!$E$2:$E$766=$A1207)/('Weekly Tracker'!$H$2:$H$766&lt;&gt;""),'Weekly Tracker'!$H$2:$H$766),"")</f>
        <v/>
      </c>
      <c r="I1207" s="16">
        <f>IF(H1207&lt;&gt;"",LOOKUP(2,1/('Weekly Tracker'!$E$2:$E$766=$A1207)/('Weekly Tracker'!$H$2:$H$766&lt;&gt;""),'Weekly Tracker'!$I$2:$I$766),"")</f>
        <v/>
      </c>
      <c r="J1207" s="9">
        <f>IFERROR(LOOKUP(2,1/('Weekly Tracker'!$E$2:$E$766=$A1207)/('Weekly Tracker'!$J$2:$J$766&lt;&gt;""),'Weekly Tracker'!$J$2:$J$766),"")</f>
        <v/>
      </c>
      <c r="K1207" s="9">
        <f>IFERROR(LOOKUP(2,1/('Weekly Tracker'!$E$2:$E$766=$A1207)/('Weekly Tracker'!$N$2:$N$766&lt;&gt;""),'Weekly Tracker'!$N$2:$N$766),"")</f>
        <v/>
      </c>
      <c r="L1207" s="9">
        <f>IFERROR(LOOKUP(2,1/('Weekly Tracker'!$E$2:$E$766=$A1207)/('Weekly Tracker'!$O$2:$O$766&lt;&gt;""),'Weekly Tracker'!$O$2:$O$766),"")</f>
        <v/>
      </c>
    </row>
    <row r="1208">
      <c r="A1208" s="9" t="inlineStr">
        <is>
          <t>Parama Sivan FB</t>
        </is>
      </c>
      <c r="B1208" s="9" t="inlineStr">
        <is>
          <t>8526086298</t>
        </is>
      </c>
      <c r="C1208" s="9" t="n"/>
      <c r="D1208" s="9" t="n"/>
      <c r="E1208" s="9" t="n"/>
      <c r="F1208" s="9">
        <f>IFERROR(LOOKUP(2,1/('Weekly Tracker'!$E$2:$E$766=$A1208)/('Weekly Tracker'!$F$2:$F$766&lt;&gt;""),'Weekly Tracker'!$F$2:$F$766),"")</f>
        <v/>
      </c>
      <c r="G1208" s="16">
        <f>IF(F1208&lt;&gt;"",LOOKUP(2,1/('Weekly Tracker'!$E$2:$E$766=$A1208)/('Weekly Tracker'!$F$2:$F$766&lt;&gt;""),'Weekly Tracker'!$G$2:$G$766),"")</f>
        <v/>
      </c>
      <c r="H1208" s="9">
        <f>IFERROR(LOOKUP(2,1/('Weekly Tracker'!$E$2:$E$766=$A1208)/('Weekly Tracker'!$H$2:$H$766&lt;&gt;""),'Weekly Tracker'!$H$2:$H$766),"")</f>
        <v/>
      </c>
      <c r="I1208" s="16">
        <f>IF(H1208&lt;&gt;"",LOOKUP(2,1/('Weekly Tracker'!$E$2:$E$766=$A1208)/('Weekly Tracker'!$H$2:$H$766&lt;&gt;""),'Weekly Tracker'!$I$2:$I$766),"")</f>
        <v/>
      </c>
      <c r="J1208" s="9">
        <f>IFERROR(LOOKUP(2,1/('Weekly Tracker'!$E$2:$E$766=$A1208)/('Weekly Tracker'!$J$2:$J$766&lt;&gt;""),'Weekly Tracker'!$J$2:$J$766),"")</f>
        <v/>
      </c>
      <c r="K1208" s="9">
        <f>IFERROR(LOOKUP(2,1/('Weekly Tracker'!$E$2:$E$766=$A1208)/('Weekly Tracker'!$N$2:$N$766&lt;&gt;""),'Weekly Tracker'!$N$2:$N$766),"")</f>
        <v/>
      </c>
      <c r="L1208" s="9">
        <f>IFERROR(LOOKUP(2,1/('Weekly Tracker'!$E$2:$E$766=$A1208)/('Weekly Tracker'!$O$2:$O$766&lt;&gt;""),'Weekly Tracker'!$O$2:$O$766),"")</f>
        <v/>
      </c>
    </row>
    <row r="1209">
      <c r="A1209" s="9" t="inlineStr">
        <is>
          <t>Arul Bangalore</t>
        </is>
      </c>
      <c r="B1209" s="9" t="inlineStr">
        <is>
          <t>917892079185</t>
        </is>
      </c>
      <c r="C1209" s="9" t="n"/>
      <c r="D1209" s="9" t="n"/>
      <c r="E1209" s="9" t="n"/>
      <c r="F1209" s="9">
        <f>IFERROR(LOOKUP(2,1/('Weekly Tracker'!$E$2:$E$766=$A1209)/('Weekly Tracker'!$F$2:$F$766&lt;&gt;""),'Weekly Tracker'!$F$2:$F$766),"")</f>
        <v/>
      </c>
      <c r="G1209" s="16">
        <f>IF(F1209&lt;&gt;"",LOOKUP(2,1/('Weekly Tracker'!$E$2:$E$766=$A1209)/('Weekly Tracker'!$F$2:$F$766&lt;&gt;""),'Weekly Tracker'!$G$2:$G$766),"")</f>
        <v/>
      </c>
      <c r="H1209" s="9">
        <f>IFERROR(LOOKUP(2,1/('Weekly Tracker'!$E$2:$E$766=$A1209)/('Weekly Tracker'!$H$2:$H$766&lt;&gt;""),'Weekly Tracker'!$H$2:$H$766),"")</f>
        <v/>
      </c>
      <c r="I1209" s="16">
        <f>IF(H1209&lt;&gt;"",LOOKUP(2,1/('Weekly Tracker'!$E$2:$E$766=$A1209)/('Weekly Tracker'!$H$2:$H$766&lt;&gt;""),'Weekly Tracker'!$I$2:$I$766),"")</f>
        <v/>
      </c>
      <c r="J1209" s="9">
        <f>IFERROR(LOOKUP(2,1/('Weekly Tracker'!$E$2:$E$766=$A1209)/('Weekly Tracker'!$J$2:$J$766&lt;&gt;""),'Weekly Tracker'!$J$2:$J$766),"")</f>
        <v/>
      </c>
      <c r="K1209" s="9">
        <f>IFERROR(LOOKUP(2,1/('Weekly Tracker'!$E$2:$E$766=$A1209)/('Weekly Tracker'!$N$2:$N$766&lt;&gt;""),'Weekly Tracker'!$N$2:$N$766),"")</f>
        <v/>
      </c>
      <c r="L1209" s="9">
        <f>IFERROR(LOOKUP(2,1/('Weekly Tracker'!$E$2:$E$766=$A1209)/('Weekly Tracker'!$O$2:$O$766&lt;&gt;""),'Weekly Tracker'!$O$2:$O$766),"")</f>
        <v/>
      </c>
    </row>
    <row r="1210">
      <c r="A1210" s="9" t="inlineStr">
        <is>
          <t>Sound</t>
        </is>
      </c>
      <c r="B1210" s="9" t="inlineStr">
        <is>
          <t>917708131238</t>
        </is>
      </c>
      <c r="C1210" s="9" t="n"/>
      <c r="D1210" s="9" t="n"/>
      <c r="E1210" s="9" t="n"/>
      <c r="F1210" s="9">
        <f>IFERROR(LOOKUP(2,1/('Weekly Tracker'!$E$2:$E$766=$A1210)/('Weekly Tracker'!$F$2:$F$766&lt;&gt;""),'Weekly Tracker'!$F$2:$F$766),"")</f>
        <v/>
      </c>
      <c r="G1210" s="16">
        <f>IF(F1210&lt;&gt;"",LOOKUP(2,1/('Weekly Tracker'!$E$2:$E$766=$A1210)/('Weekly Tracker'!$F$2:$F$766&lt;&gt;""),'Weekly Tracker'!$G$2:$G$766),"")</f>
        <v/>
      </c>
      <c r="H1210" s="9">
        <f>IFERROR(LOOKUP(2,1/('Weekly Tracker'!$E$2:$E$766=$A1210)/('Weekly Tracker'!$H$2:$H$766&lt;&gt;""),'Weekly Tracker'!$H$2:$H$766),"")</f>
        <v/>
      </c>
      <c r="I1210" s="16">
        <f>IF(H1210&lt;&gt;"",LOOKUP(2,1/('Weekly Tracker'!$E$2:$E$766=$A1210)/('Weekly Tracker'!$H$2:$H$766&lt;&gt;""),'Weekly Tracker'!$I$2:$I$766),"")</f>
        <v/>
      </c>
      <c r="J1210" s="9">
        <f>IFERROR(LOOKUP(2,1/('Weekly Tracker'!$E$2:$E$766=$A1210)/('Weekly Tracker'!$J$2:$J$766&lt;&gt;""),'Weekly Tracker'!$J$2:$J$766),"")</f>
        <v/>
      </c>
      <c r="K1210" s="9">
        <f>IFERROR(LOOKUP(2,1/('Weekly Tracker'!$E$2:$E$766=$A1210)/('Weekly Tracker'!$N$2:$N$766&lt;&gt;""),'Weekly Tracker'!$N$2:$N$766),"")</f>
        <v/>
      </c>
      <c r="L1210" s="9">
        <f>IFERROR(LOOKUP(2,1/('Weekly Tracker'!$E$2:$E$766=$A1210)/('Weekly Tracker'!$O$2:$O$766&lt;&gt;""),'Weekly Tracker'!$O$2:$O$766),"")</f>
        <v/>
      </c>
    </row>
    <row r="1211">
      <c r="A1211" s="9" t="inlineStr">
        <is>
          <t>Micheal Jebin FB</t>
        </is>
      </c>
      <c r="B1211" s="9" t="inlineStr">
        <is>
          <t>9751399182</t>
        </is>
      </c>
      <c r="C1211" s="9" t="n"/>
      <c r="D1211" s="9" t="n"/>
      <c r="E1211" s="9" t="n"/>
      <c r="F1211" s="9">
        <f>IFERROR(LOOKUP(2,1/('Weekly Tracker'!$E$2:$E$766=$A1211)/('Weekly Tracker'!$F$2:$F$766&lt;&gt;""),'Weekly Tracker'!$F$2:$F$766),"")</f>
        <v/>
      </c>
      <c r="G1211" s="16">
        <f>IF(F1211&lt;&gt;"",LOOKUP(2,1/('Weekly Tracker'!$E$2:$E$766=$A1211)/('Weekly Tracker'!$F$2:$F$766&lt;&gt;""),'Weekly Tracker'!$G$2:$G$766),"")</f>
        <v/>
      </c>
      <c r="H1211" s="9">
        <f>IFERROR(LOOKUP(2,1/('Weekly Tracker'!$E$2:$E$766=$A1211)/('Weekly Tracker'!$H$2:$H$766&lt;&gt;""),'Weekly Tracker'!$H$2:$H$766),"")</f>
        <v/>
      </c>
      <c r="I1211" s="16">
        <f>IF(H1211&lt;&gt;"",LOOKUP(2,1/('Weekly Tracker'!$E$2:$E$766=$A1211)/('Weekly Tracker'!$H$2:$H$766&lt;&gt;""),'Weekly Tracker'!$I$2:$I$766),"")</f>
        <v/>
      </c>
      <c r="J1211" s="9">
        <f>IFERROR(LOOKUP(2,1/('Weekly Tracker'!$E$2:$E$766=$A1211)/('Weekly Tracker'!$J$2:$J$766&lt;&gt;""),'Weekly Tracker'!$J$2:$J$766),"")</f>
        <v/>
      </c>
      <c r="K1211" s="9">
        <f>IFERROR(LOOKUP(2,1/('Weekly Tracker'!$E$2:$E$766=$A1211)/('Weekly Tracker'!$N$2:$N$766&lt;&gt;""),'Weekly Tracker'!$N$2:$N$766),"")</f>
        <v/>
      </c>
      <c r="L1211" s="9">
        <f>IFERROR(LOOKUP(2,1/('Weekly Tracker'!$E$2:$E$766=$A1211)/('Weekly Tracker'!$O$2:$O$766&lt;&gt;""),'Weekly Tracker'!$O$2:$O$766),"")</f>
        <v/>
      </c>
    </row>
    <row r="1212">
      <c r="A1212" s="9" t="inlineStr">
        <is>
          <t>Kavi Grp Ucen</t>
        </is>
      </c>
      <c r="B1212" s="9" t="inlineStr">
        <is>
          <t>918438407003</t>
        </is>
      </c>
      <c r="C1212" s="9" t="n"/>
      <c r="D1212" s="9" t="n"/>
      <c r="E1212" s="9" t="n"/>
      <c r="F1212" s="9">
        <f>IFERROR(LOOKUP(2,1/('Weekly Tracker'!$E$2:$E$766=$A1212)/('Weekly Tracker'!$F$2:$F$766&lt;&gt;""),'Weekly Tracker'!$F$2:$F$766),"")</f>
        <v/>
      </c>
      <c r="G1212" s="16">
        <f>IF(F1212&lt;&gt;"",LOOKUP(2,1/('Weekly Tracker'!$E$2:$E$766=$A1212)/('Weekly Tracker'!$F$2:$F$766&lt;&gt;""),'Weekly Tracker'!$G$2:$G$766),"")</f>
        <v/>
      </c>
      <c r="H1212" s="9">
        <f>IFERROR(LOOKUP(2,1/('Weekly Tracker'!$E$2:$E$766=$A1212)/('Weekly Tracker'!$H$2:$H$766&lt;&gt;""),'Weekly Tracker'!$H$2:$H$766),"")</f>
        <v/>
      </c>
      <c r="I1212" s="16">
        <f>IF(H1212&lt;&gt;"",LOOKUP(2,1/('Weekly Tracker'!$E$2:$E$766=$A1212)/('Weekly Tracker'!$H$2:$H$766&lt;&gt;""),'Weekly Tracker'!$I$2:$I$766),"")</f>
        <v/>
      </c>
      <c r="J1212" s="9">
        <f>IFERROR(LOOKUP(2,1/('Weekly Tracker'!$E$2:$E$766=$A1212)/('Weekly Tracker'!$J$2:$J$766&lt;&gt;""),'Weekly Tracker'!$J$2:$J$766),"")</f>
        <v/>
      </c>
      <c r="K1212" s="9">
        <f>IFERROR(LOOKUP(2,1/('Weekly Tracker'!$E$2:$E$766=$A1212)/('Weekly Tracker'!$N$2:$N$766&lt;&gt;""),'Weekly Tracker'!$N$2:$N$766),"")</f>
        <v/>
      </c>
      <c r="L1212" s="9">
        <f>IFERROR(LOOKUP(2,1/('Weekly Tracker'!$E$2:$E$766=$A1212)/('Weekly Tracker'!$O$2:$O$766&lt;&gt;""),'Weekly Tracker'!$O$2:$O$766),"")</f>
        <v/>
      </c>
    </row>
    <row r="1213">
      <c r="A1213" s="9" t="inlineStr">
        <is>
          <t>Vicky GVS</t>
        </is>
      </c>
      <c r="B1213" s="9" t="inlineStr">
        <is>
          <t>7550057350, 9715386078</t>
        </is>
      </c>
      <c r="C1213" s="9" t="n"/>
      <c r="D1213" s="9" t="n"/>
      <c r="E1213" s="9" t="n"/>
      <c r="F1213" s="9">
        <f>IFERROR(LOOKUP(2,1/('Weekly Tracker'!$E$2:$E$766=$A1213)/('Weekly Tracker'!$F$2:$F$766&lt;&gt;""),'Weekly Tracker'!$F$2:$F$766),"")</f>
        <v/>
      </c>
      <c r="G1213" s="16">
        <f>IF(F1213&lt;&gt;"",LOOKUP(2,1/('Weekly Tracker'!$E$2:$E$766=$A1213)/('Weekly Tracker'!$F$2:$F$766&lt;&gt;""),'Weekly Tracker'!$G$2:$G$766),"")</f>
        <v/>
      </c>
      <c r="H1213" s="9">
        <f>IFERROR(LOOKUP(2,1/('Weekly Tracker'!$E$2:$E$766=$A1213)/('Weekly Tracker'!$H$2:$H$766&lt;&gt;""),'Weekly Tracker'!$H$2:$H$766),"")</f>
        <v/>
      </c>
      <c r="I1213" s="16">
        <f>IF(H1213&lt;&gt;"",LOOKUP(2,1/('Weekly Tracker'!$E$2:$E$766=$A1213)/('Weekly Tracker'!$H$2:$H$766&lt;&gt;""),'Weekly Tracker'!$I$2:$I$766),"")</f>
        <v/>
      </c>
      <c r="J1213" s="9">
        <f>IFERROR(LOOKUP(2,1/('Weekly Tracker'!$E$2:$E$766=$A1213)/('Weekly Tracker'!$J$2:$J$766&lt;&gt;""),'Weekly Tracker'!$J$2:$J$766),"")</f>
        <v/>
      </c>
      <c r="K1213" s="9">
        <f>IFERROR(LOOKUP(2,1/('Weekly Tracker'!$E$2:$E$766=$A1213)/('Weekly Tracker'!$N$2:$N$766&lt;&gt;""),'Weekly Tracker'!$N$2:$N$766),"")</f>
        <v/>
      </c>
      <c r="L1213" s="9">
        <f>IFERROR(LOOKUP(2,1/('Weekly Tracker'!$E$2:$E$766=$A1213)/('Weekly Tracker'!$O$2:$O$766&lt;&gt;""),'Weekly Tracker'!$O$2:$O$766),"")</f>
        <v/>
      </c>
    </row>
    <row r="1214">
      <c r="A1214" s="9" t="inlineStr">
        <is>
          <t>Sundhar Icici</t>
        </is>
      </c>
      <c r="B1214" s="9" t="inlineStr">
        <is>
          <t>+91 89398 98154</t>
        </is>
      </c>
      <c r="C1214" s="9" t="n"/>
      <c r="D1214" s="9" t="n"/>
      <c r="E1214" s="9" t="inlineStr">
        <is>
          <t>Chennai, India</t>
        </is>
      </c>
      <c r="F1214" s="9">
        <f>IFERROR(LOOKUP(2,1/('Weekly Tracker'!$E$2:$E$766=$A1214)/('Weekly Tracker'!$F$2:$F$766&lt;&gt;""),'Weekly Tracker'!$F$2:$F$766),"")</f>
        <v/>
      </c>
      <c r="G1214" s="16">
        <f>IF(F1214&lt;&gt;"",LOOKUP(2,1/('Weekly Tracker'!$E$2:$E$766=$A1214)/('Weekly Tracker'!$F$2:$F$766&lt;&gt;""),'Weekly Tracker'!$G$2:$G$766),"")</f>
        <v/>
      </c>
      <c r="H1214" s="9">
        <f>IFERROR(LOOKUP(2,1/('Weekly Tracker'!$E$2:$E$766=$A1214)/('Weekly Tracker'!$H$2:$H$766&lt;&gt;""),'Weekly Tracker'!$H$2:$H$766),"")</f>
        <v/>
      </c>
      <c r="I1214" s="16">
        <f>IF(H1214&lt;&gt;"",LOOKUP(2,1/('Weekly Tracker'!$E$2:$E$766=$A1214)/('Weekly Tracker'!$H$2:$H$766&lt;&gt;""),'Weekly Tracker'!$I$2:$I$766),"")</f>
        <v/>
      </c>
      <c r="J1214" s="9">
        <f>IFERROR(LOOKUP(2,1/('Weekly Tracker'!$E$2:$E$766=$A1214)/('Weekly Tracker'!$J$2:$J$766&lt;&gt;""),'Weekly Tracker'!$J$2:$J$766),"")</f>
        <v/>
      </c>
      <c r="K1214" s="9">
        <f>IFERROR(LOOKUP(2,1/('Weekly Tracker'!$E$2:$E$766=$A1214)/('Weekly Tracker'!$N$2:$N$766&lt;&gt;""),'Weekly Tracker'!$N$2:$N$766),"")</f>
        <v/>
      </c>
      <c r="L1214" s="9">
        <f>IFERROR(LOOKUP(2,1/('Weekly Tracker'!$E$2:$E$766=$A1214)/('Weekly Tracker'!$O$2:$O$766&lt;&gt;""),'Weekly Tracker'!$O$2:$O$766),"")</f>
        <v/>
      </c>
    </row>
    <row r="1215">
      <c r="A1215" s="9" t="inlineStr">
        <is>
          <t>Raavan Scl</t>
        </is>
      </c>
      <c r="B1215" s="9" t="inlineStr">
        <is>
          <t>917667912962</t>
        </is>
      </c>
      <c r="C1215" s="9" t="n"/>
      <c r="D1215" s="9" t="n"/>
      <c r="E1215" s="9" t="n"/>
      <c r="F1215" s="9">
        <f>IFERROR(LOOKUP(2,1/('Weekly Tracker'!$E$2:$E$766=$A1215)/('Weekly Tracker'!$F$2:$F$766&lt;&gt;""),'Weekly Tracker'!$F$2:$F$766),"")</f>
        <v/>
      </c>
      <c r="G1215" s="16">
        <f>IF(F1215&lt;&gt;"",LOOKUP(2,1/('Weekly Tracker'!$E$2:$E$766=$A1215)/('Weekly Tracker'!$F$2:$F$766&lt;&gt;""),'Weekly Tracker'!$G$2:$G$766),"")</f>
        <v/>
      </c>
      <c r="H1215" s="9">
        <f>IFERROR(LOOKUP(2,1/('Weekly Tracker'!$E$2:$E$766=$A1215)/('Weekly Tracker'!$H$2:$H$766&lt;&gt;""),'Weekly Tracker'!$H$2:$H$766),"")</f>
        <v/>
      </c>
      <c r="I1215" s="16">
        <f>IF(H1215&lt;&gt;"",LOOKUP(2,1/('Weekly Tracker'!$E$2:$E$766=$A1215)/('Weekly Tracker'!$H$2:$H$766&lt;&gt;""),'Weekly Tracker'!$I$2:$I$766),"")</f>
        <v/>
      </c>
      <c r="J1215" s="9">
        <f>IFERROR(LOOKUP(2,1/('Weekly Tracker'!$E$2:$E$766=$A1215)/('Weekly Tracker'!$J$2:$J$766&lt;&gt;""),'Weekly Tracker'!$J$2:$J$766),"")</f>
        <v/>
      </c>
      <c r="K1215" s="9">
        <f>IFERROR(LOOKUP(2,1/('Weekly Tracker'!$E$2:$E$766=$A1215)/('Weekly Tracker'!$N$2:$N$766&lt;&gt;""),'Weekly Tracker'!$N$2:$N$766),"")</f>
        <v/>
      </c>
      <c r="L1215" s="9">
        <f>IFERROR(LOOKUP(2,1/('Weekly Tracker'!$E$2:$E$766=$A1215)/('Weekly Tracker'!$O$2:$O$766&lt;&gt;""),'Weekly Tracker'!$O$2:$O$766),"")</f>
        <v/>
      </c>
    </row>
    <row r="1216">
      <c r="A1216" s="9" t="inlineStr">
        <is>
          <t>Karthickyan FB</t>
        </is>
      </c>
      <c r="B1216" s="9" t="inlineStr">
        <is>
          <t>15513522701</t>
        </is>
      </c>
      <c r="C1216" s="9" t="n"/>
      <c r="D1216" s="9" t="n"/>
      <c r="E1216" s="9" t="n"/>
      <c r="F1216" s="9">
        <f>IFERROR(LOOKUP(2,1/('Weekly Tracker'!$E$2:$E$766=$A1216)/('Weekly Tracker'!$F$2:$F$766&lt;&gt;""),'Weekly Tracker'!$F$2:$F$766),"")</f>
        <v/>
      </c>
      <c r="G1216" s="16">
        <f>IF(F1216&lt;&gt;"",LOOKUP(2,1/('Weekly Tracker'!$E$2:$E$766=$A1216)/('Weekly Tracker'!$F$2:$F$766&lt;&gt;""),'Weekly Tracker'!$G$2:$G$766),"")</f>
        <v/>
      </c>
      <c r="H1216" s="9">
        <f>IFERROR(LOOKUP(2,1/('Weekly Tracker'!$E$2:$E$766=$A1216)/('Weekly Tracker'!$H$2:$H$766&lt;&gt;""),'Weekly Tracker'!$H$2:$H$766),"")</f>
        <v/>
      </c>
      <c r="I1216" s="16">
        <f>IF(H1216&lt;&gt;"",LOOKUP(2,1/('Weekly Tracker'!$E$2:$E$766=$A1216)/('Weekly Tracker'!$H$2:$H$766&lt;&gt;""),'Weekly Tracker'!$I$2:$I$766),"")</f>
        <v/>
      </c>
      <c r="J1216" s="9">
        <f>IFERROR(LOOKUP(2,1/('Weekly Tracker'!$E$2:$E$766=$A1216)/('Weekly Tracker'!$J$2:$J$766&lt;&gt;""),'Weekly Tracker'!$J$2:$J$766),"")</f>
        <v/>
      </c>
      <c r="K1216" s="9">
        <f>IFERROR(LOOKUP(2,1/('Weekly Tracker'!$E$2:$E$766=$A1216)/('Weekly Tracker'!$N$2:$N$766&lt;&gt;""),'Weekly Tracker'!$N$2:$N$766),"")</f>
        <v/>
      </c>
      <c r="L1216" s="9">
        <f>IFERROR(LOOKUP(2,1/('Weekly Tracker'!$E$2:$E$766=$A1216)/('Weekly Tracker'!$O$2:$O$766&lt;&gt;""),'Weekly Tracker'!$O$2:$O$766),"")</f>
        <v/>
      </c>
    </row>
    <row r="1217">
      <c r="A1217" s="9" t="inlineStr">
        <is>
          <t>சிம்சோன் FB</t>
        </is>
      </c>
      <c r="B1217" s="9" t="inlineStr">
        <is>
          <t>9600952960</t>
        </is>
      </c>
      <c r="C1217" s="9" t="n"/>
      <c r="D1217" s="9" t="n"/>
      <c r="E1217" s="9" t="n"/>
      <c r="F1217" s="9">
        <f>IFERROR(LOOKUP(2,1/('Weekly Tracker'!$E$2:$E$766=$A1217)/('Weekly Tracker'!$F$2:$F$766&lt;&gt;""),'Weekly Tracker'!$F$2:$F$766),"")</f>
        <v/>
      </c>
      <c r="G1217" s="16">
        <f>IF(F1217&lt;&gt;"",LOOKUP(2,1/('Weekly Tracker'!$E$2:$E$766=$A1217)/('Weekly Tracker'!$F$2:$F$766&lt;&gt;""),'Weekly Tracker'!$G$2:$G$766),"")</f>
        <v/>
      </c>
      <c r="H1217" s="9">
        <f>IFERROR(LOOKUP(2,1/('Weekly Tracker'!$E$2:$E$766=$A1217)/('Weekly Tracker'!$H$2:$H$766&lt;&gt;""),'Weekly Tracker'!$H$2:$H$766),"")</f>
        <v/>
      </c>
      <c r="I1217" s="16">
        <f>IF(H1217&lt;&gt;"",LOOKUP(2,1/('Weekly Tracker'!$E$2:$E$766=$A1217)/('Weekly Tracker'!$H$2:$H$766&lt;&gt;""),'Weekly Tracker'!$I$2:$I$766),"")</f>
        <v/>
      </c>
      <c r="J1217" s="9">
        <f>IFERROR(LOOKUP(2,1/('Weekly Tracker'!$E$2:$E$766=$A1217)/('Weekly Tracker'!$J$2:$J$766&lt;&gt;""),'Weekly Tracker'!$J$2:$J$766),"")</f>
        <v/>
      </c>
      <c r="K1217" s="9">
        <f>IFERROR(LOOKUP(2,1/('Weekly Tracker'!$E$2:$E$766=$A1217)/('Weekly Tracker'!$N$2:$N$766&lt;&gt;""),'Weekly Tracker'!$N$2:$N$766),"")</f>
        <v/>
      </c>
      <c r="L1217" s="9">
        <f>IFERROR(LOOKUP(2,1/('Weekly Tracker'!$E$2:$E$766=$A1217)/('Weekly Tracker'!$O$2:$O$766&lt;&gt;""),'Weekly Tracker'!$O$2:$O$766),"")</f>
        <v/>
      </c>
    </row>
    <row r="1218">
      <c r="A1218" s="9" t="inlineStr">
        <is>
          <t>Chitra CKR ECE</t>
        </is>
      </c>
      <c r="B1218" s="9" t="inlineStr">
        <is>
          <t>917358051396</t>
        </is>
      </c>
      <c r="C1218" s="9" t="n"/>
      <c r="D1218" s="9" t="n"/>
      <c r="E1218" s="9" t="n"/>
      <c r="F1218" s="9">
        <f>IFERROR(LOOKUP(2,1/('Weekly Tracker'!$E$2:$E$766=$A1218)/('Weekly Tracker'!$F$2:$F$766&lt;&gt;""),'Weekly Tracker'!$F$2:$F$766),"")</f>
        <v/>
      </c>
      <c r="G1218" s="16">
        <f>IF(F1218&lt;&gt;"",LOOKUP(2,1/('Weekly Tracker'!$E$2:$E$766=$A1218)/('Weekly Tracker'!$F$2:$F$766&lt;&gt;""),'Weekly Tracker'!$G$2:$G$766),"")</f>
        <v/>
      </c>
      <c r="H1218" s="9">
        <f>IFERROR(LOOKUP(2,1/('Weekly Tracker'!$E$2:$E$766=$A1218)/('Weekly Tracker'!$H$2:$H$766&lt;&gt;""),'Weekly Tracker'!$H$2:$H$766),"")</f>
        <v/>
      </c>
      <c r="I1218" s="16">
        <f>IF(H1218&lt;&gt;"",LOOKUP(2,1/('Weekly Tracker'!$E$2:$E$766=$A1218)/('Weekly Tracker'!$H$2:$H$766&lt;&gt;""),'Weekly Tracker'!$I$2:$I$766),"")</f>
        <v/>
      </c>
      <c r="J1218" s="9">
        <f>IFERROR(LOOKUP(2,1/('Weekly Tracker'!$E$2:$E$766=$A1218)/('Weekly Tracker'!$J$2:$J$766&lt;&gt;""),'Weekly Tracker'!$J$2:$J$766),"")</f>
        <v/>
      </c>
      <c r="K1218" s="9">
        <f>IFERROR(LOOKUP(2,1/('Weekly Tracker'!$E$2:$E$766=$A1218)/('Weekly Tracker'!$N$2:$N$766&lt;&gt;""),'Weekly Tracker'!$N$2:$N$766),"")</f>
        <v/>
      </c>
      <c r="L1218" s="9">
        <f>IFERROR(LOOKUP(2,1/('Weekly Tracker'!$E$2:$E$766=$A1218)/('Weekly Tracker'!$O$2:$O$766&lt;&gt;""),'Weekly Tracker'!$O$2:$O$766),"")</f>
        <v/>
      </c>
    </row>
    <row r="1219">
      <c r="A1219" s="9" t="inlineStr">
        <is>
          <t>Abihilash Abhi FB</t>
        </is>
      </c>
      <c r="B1219" s="9" t="inlineStr">
        <is>
          <t>9698114718</t>
        </is>
      </c>
      <c r="C1219" s="9" t="n"/>
      <c r="D1219" s="9" t="n"/>
      <c r="E1219" s="9" t="n"/>
      <c r="F1219" s="9">
        <f>IFERROR(LOOKUP(2,1/('Weekly Tracker'!$E$2:$E$766=$A1219)/('Weekly Tracker'!$F$2:$F$766&lt;&gt;""),'Weekly Tracker'!$F$2:$F$766),"")</f>
        <v/>
      </c>
      <c r="G1219" s="16">
        <f>IF(F1219&lt;&gt;"",LOOKUP(2,1/('Weekly Tracker'!$E$2:$E$766=$A1219)/('Weekly Tracker'!$F$2:$F$766&lt;&gt;""),'Weekly Tracker'!$G$2:$G$766),"")</f>
        <v/>
      </c>
      <c r="H1219" s="9">
        <f>IFERROR(LOOKUP(2,1/('Weekly Tracker'!$E$2:$E$766=$A1219)/('Weekly Tracker'!$H$2:$H$766&lt;&gt;""),'Weekly Tracker'!$H$2:$H$766),"")</f>
        <v/>
      </c>
      <c r="I1219" s="16">
        <f>IF(H1219&lt;&gt;"",LOOKUP(2,1/('Weekly Tracker'!$E$2:$E$766=$A1219)/('Weekly Tracker'!$H$2:$H$766&lt;&gt;""),'Weekly Tracker'!$I$2:$I$766),"")</f>
        <v/>
      </c>
      <c r="J1219" s="9">
        <f>IFERROR(LOOKUP(2,1/('Weekly Tracker'!$E$2:$E$766=$A1219)/('Weekly Tracker'!$J$2:$J$766&lt;&gt;""),'Weekly Tracker'!$J$2:$J$766),"")</f>
        <v/>
      </c>
      <c r="K1219" s="9">
        <f>IFERROR(LOOKUP(2,1/('Weekly Tracker'!$E$2:$E$766=$A1219)/('Weekly Tracker'!$N$2:$N$766&lt;&gt;""),'Weekly Tracker'!$N$2:$N$766),"")</f>
        <v/>
      </c>
      <c r="L1219" s="9">
        <f>IFERROR(LOOKUP(2,1/('Weekly Tracker'!$E$2:$E$766=$A1219)/('Weekly Tracker'!$O$2:$O$766&lt;&gt;""),'Weekly Tracker'!$O$2:$O$766),"")</f>
        <v/>
      </c>
    </row>
    <row r="1220">
      <c r="A1220" s="9" t="inlineStr">
        <is>
          <t>Ramasamy Infosys Verz</t>
        </is>
      </c>
      <c r="B1220" s="9" t="inlineStr">
        <is>
          <t>919894548320</t>
        </is>
      </c>
      <c r="C1220" s="9" t="n"/>
      <c r="D1220" s="9" t="n"/>
      <c r="E1220" s="9" t="n"/>
      <c r="F1220" s="9">
        <f>IFERROR(LOOKUP(2,1/('Weekly Tracker'!$E$2:$E$766=$A1220)/('Weekly Tracker'!$F$2:$F$766&lt;&gt;""),'Weekly Tracker'!$F$2:$F$766),"")</f>
        <v/>
      </c>
      <c r="G1220" s="16">
        <f>IF(F1220&lt;&gt;"",LOOKUP(2,1/('Weekly Tracker'!$E$2:$E$766=$A1220)/('Weekly Tracker'!$F$2:$F$766&lt;&gt;""),'Weekly Tracker'!$G$2:$G$766),"")</f>
        <v/>
      </c>
      <c r="H1220" s="9">
        <f>IFERROR(LOOKUP(2,1/('Weekly Tracker'!$E$2:$E$766=$A1220)/('Weekly Tracker'!$H$2:$H$766&lt;&gt;""),'Weekly Tracker'!$H$2:$H$766),"")</f>
        <v/>
      </c>
      <c r="I1220" s="16">
        <f>IF(H1220&lt;&gt;"",LOOKUP(2,1/('Weekly Tracker'!$E$2:$E$766=$A1220)/('Weekly Tracker'!$H$2:$H$766&lt;&gt;""),'Weekly Tracker'!$I$2:$I$766),"")</f>
        <v/>
      </c>
      <c r="J1220" s="9">
        <f>IFERROR(LOOKUP(2,1/('Weekly Tracker'!$E$2:$E$766=$A1220)/('Weekly Tracker'!$J$2:$J$766&lt;&gt;""),'Weekly Tracker'!$J$2:$J$766),"")</f>
        <v/>
      </c>
      <c r="K1220" s="9">
        <f>IFERROR(LOOKUP(2,1/('Weekly Tracker'!$E$2:$E$766=$A1220)/('Weekly Tracker'!$N$2:$N$766&lt;&gt;""),'Weekly Tracker'!$N$2:$N$766),"")</f>
        <v/>
      </c>
      <c r="L1220" s="9">
        <f>IFERROR(LOOKUP(2,1/('Weekly Tracker'!$E$2:$E$766=$A1220)/('Weekly Tracker'!$O$2:$O$766&lt;&gt;""),'Weekly Tracker'!$O$2:$O$766),"")</f>
        <v/>
      </c>
    </row>
    <row r="1221">
      <c r="A1221" s="9" t="inlineStr">
        <is>
          <t>Kumar A Sanka Scl</t>
        </is>
      </c>
      <c r="B1221" s="9" t="inlineStr">
        <is>
          <t>917010277086</t>
        </is>
      </c>
      <c r="C1221" s="9" t="n"/>
      <c r="D1221" s="9" t="n"/>
      <c r="E1221" s="9" t="n"/>
      <c r="F1221" s="9">
        <f>IFERROR(LOOKUP(2,1/('Weekly Tracker'!$E$2:$E$766=$A1221)/('Weekly Tracker'!$F$2:$F$766&lt;&gt;""),'Weekly Tracker'!$F$2:$F$766),"")</f>
        <v/>
      </c>
      <c r="G1221" s="16">
        <f>IF(F1221&lt;&gt;"",LOOKUP(2,1/('Weekly Tracker'!$E$2:$E$766=$A1221)/('Weekly Tracker'!$F$2:$F$766&lt;&gt;""),'Weekly Tracker'!$G$2:$G$766),"")</f>
        <v/>
      </c>
      <c r="H1221" s="9">
        <f>IFERROR(LOOKUP(2,1/('Weekly Tracker'!$E$2:$E$766=$A1221)/('Weekly Tracker'!$H$2:$H$766&lt;&gt;""),'Weekly Tracker'!$H$2:$H$766),"")</f>
        <v/>
      </c>
      <c r="I1221" s="16">
        <f>IF(H1221&lt;&gt;"",LOOKUP(2,1/('Weekly Tracker'!$E$2:$E$766=$A1221)/('Weekly Tracker'!$H$2:$H$766&lt;&gt;""),'Weekly Tracker'!$I$2:$I$766),"")</f>
        <v/>
      </c>
      <c r="J1221" s="9">
        <f>IFERROR(LOOKUP(2,1/('Weekly Tracker'!$E$2:$E$766=$A1221)/('Weekly Tracker'!$J$2:$J$766&lt;&gt;""),'Weekly Tracker'!$J$2:$J$766),"")</f>
        <v/>
      </c>
      <c r="K1221" s="9">
        <f>IFERROR(LOOKUP(2,1/('Weekly Tracker'!$E$2:$E$766=$A1221)/('Weekly Tracker'!$N$2:$N$766&lt;&gt;""),'Weekly Tracker'!$N$2:$N$766),"")</f>
        <v/>
      </c>
      <c r="L1221" s="9">
        <f>IFERROR(LOOKUP(2,1/('Weekly Tracker'!$E$2:$E$766=$A1221)/('Weekly Tracker'!$O$2:$O$766&lt;&gt;""),'Weekly Tracker'!$O$2:$O$766),"")</f>
        <v/>
      </c>
    </row>
    <row r="1222">
      <c r="A1222" s="9" t="inlineStr">
        <is>
          <t>Prassanna Urja</t>
        </is>
      </c>
      <c r="B1222" s="9" t="inlineStr">
        <is>
          <t>919884990483</t>
        </is>
      </c>
      <c r="C1222" s="9" t="n"/>
      <c r="D1222" s="9" t="n"/>
      <c r="E1222" s="9" t="n"/>
      <c r="F1222" s="9">
        <f>IFERROR(LOOKUP(2,1/('Weekly Tracker'!$E$2:$E$766=$A1222)/('Weekly Tracker'!$F$2:$F$766&lt;&gt;""),'Weekly Tracker'!$F$2:$F$766),"")</f>
        <v/>
      </c>
      <c r="G1222" s="16">
        <f>IF(F1222&lt;&gt;"",LOOKUP(2,1/('Weekly Tracker'!$E$2:$E$766=$A1222)/('Weekly Tracker'!$F$2:$F$766&lt;&gt;""),'Weekly Tracker'!$G$2:$G$766),"")</f>
        <v/>
      </c>
      <c r="H1222" s="9">
        <f>IFERROR(LOOKUP(2,1/('Weekly Tracker'!$E$2:$E$766=$A1222)/('Weekly Tracker'!$H$2:$H$766&lt;&gt;""),'Weekly Tracker'!$H$2:$H$766),"")</f>
        <v/>
      </c>
      <c r="I1222" s="16">
        <f>IF(H1222&lt;&gt;"",LOOKUP(2,1/('Weekly Tracker'!$E$2:$E$766=$A1222)/('Weekly Tracker'!$H$2:$H$766&lt;&gt;""),'Weekly Tracker'!$I$2:$I$766),"")</f>
        <v/>
      </c>
      <c r="J1222" s="9">
        <f>IFERROR(LOOKUP(2,1/('Weekly Tracker'!$E$2:$E$766=$A1222)/('Weekly Tracker'!$J$2:$J$766&lt;&gt;""),'Weekly Tracker'!$J$2:$J$766),"")</f>
        <v/>
      </c>
      <c r="K1222" s="9">
        <f>IFERROR(LOOKUP(2,1/('Weekly Tracker'!$E$2:$E$766=$A1222)/('Weekly Tracker'!$N$2:$N$766&lt;&gt;""),'Weekly Tracker'!$N$2:$N$766),"")</f>
        <v/>
      </c>
      <c r="L1222" s="9">
        <f>IFERROR(LOOKUP(2,1/('Weekly Tracker'!$E$2:$E$766=$A1222)/('Weekly Tracker'!$O$2:$O$766&lt;&gt;""),'Weekly Tracker'!$O$2:$O$766),"")</f>
        <v/>
      </c>
    </row>
    <row r="1223">
      <c r="A1223" s="9" t="inlineStr">
        <is>
          <t>Raja Mariappan Scl</t>
        </is>
      </c>
      <c r="B1223" s="9" t="inlineStr">
        <is>
          <t>917010816535, 918095386232</t>
        </is>
      </c>
      <c r="C1223" s="9" t="n"/>
      <c r="D1223" s="9" t="n"/>
      <c r="E1223" s="9" t="n"/>
      <c r="F1223" s="9">
        <f>IFERROR(LOOKUP(2,1/('Weekly Tracker'!$E$2:$E$766=$A1223)/('Weekly Tracker'!$F$2:$F$766&lt;&gt;""),'Weekly Tracker'!$F$2:$F$766),"")</f>
        <v/>
      </c>
      <c r="G1223" s="16">
        <f>IF(F1223&lt;&gt;"",LOOKUP(2,1/('Weekly Tracker'!$E$2:$E$766=$A1223)/('Weekly Tracker'!$F$2:$F$766&lt;&gt;""),'Weekly Tracker'!$G$2:$G$766),"")</f>
        <v/>
      </c>
      <c r="H1223" s="9">
        <f>IFERROR(LOOKUP(2,1/('Weekly Tracker'!$E$2:$E$766=$A1223)/('Weekly Tracker'!$H$2:$H$766&lt;&gt;""),'Weekly Tracker'!$H$2:$H$766),"")</f>
        <v/>
      </c>
      <c r="I1223" s="16">
        <f>IF(H1223&lt;&gt;"",LOOKUP(2,1/('Weekly Tracker'!$E$2:$E$766=$A1223)/('Weekly Tracker'!$H$2:$H$766&lt;&gt;""),'Weekly Tracker'!$I$2:$I$766),"")</f>
        <v/>
      </c>
      <c r="J1223" s="9">
        <f>IFERROR(LOOKUP(2,1/('Weekly Tracker'!$E$2:$E$766=$A1223)/('Weekly Tracker'!$J$2:$J$766&lt;&gt;""),'Weekly Tracker'!$J$2:$J$766),"")</f>
        <v/>
      </c>
      <c r="K1223" s="9">
        <f>IFERROR(LOOKUP(2,1/('Weekly Tracker'!$E$2:$E$766=$A1223)/('Weekly Tracker'!$N$2:$N$766&lt;&gt;""),'Weekly Tracker'!$N$2:$N$766),"")</f>
        <v/>
      </c>
      <c r="L1223" s="9">
        <f>IFERROR(LOOKUP(2,1/('Weekly Tracker'!$E$2:$E$766=$A1223)/('Weekly Tracker'!$O$2:$O$766&lt;&gt;""),'Weekly Tracker'!$O$2:$O$766),"")</f>
        <v/>
      </c>
    </row>
    <row r="1224">
      <c r="A1224" s="9" t="inlineStr">
        <is>
          <t>Priyaa Junior Grp</t>
        </is>
      </c>
      <c r="B1224" s="9" t="inlineStr">
        <is>
          <t>919488647454</t>
        </is>
      </c>
      <c r="C1224" s="9" t="n"/>
      <c r="D1224" s="9" t="n"/>
      <c r="E1224" s="9" t="n"/>
      <c r="F1224" s="9">
        <f>IFERROR(LOOKUP(2,1/('Weekly Tracker'!$E$2:$E$766=$A1224)/('Weekly Tracker'!$F$2:$F$766&lt;&gt;""),'Weekly Tracker'!$F$2:$F$766),"")</f>
        <v/>
      </c>
      <c r="G1224" s="16">
        <f>IF(F1224&lt;&gt;"",LOOKUP(2,1/('Weekly Tracker'!$E$2:$E$766=$A1224)/('Weekly Tracker'!$F$2:$F$766&lt;&gt;""),'Weekly Tracker'!$G$2:$G$766),"")</f>
        <v/>
      </c>
      <c r="H1224" s="9">
        <f>IFERROR(LOOKUP(2,1/('Weekly Tracker'!$E$2:$E$766=$A1224)/('Weekly Tracker'!$H$2:$H$766&lt;&gt;""),'Weekly Tracker'!$H$2:$H$766),"")</f>
        <v/>
      </c>
      <c r="I1224" s="16">
        <f>IF(H1224&lt;&gt;"",LOOKUP(2,1/('Weekly Tracker'!$E$2:$E$766=$A1224)/('Weekly Tracker'!$H$2:$H$766&lt;&gt;""),'Weekly Tracker'!$I$2:$I$766),"")</f>
        <v/>
      </c>
      <c r="J1224" s="9">
        <f>IFERROR(LOOKUP(2,1/('Weekly Tracker'!$E$2:$E$766=$A1224)/('Weekly Tracker'!$J$2:$J$766&lt;&gt;""),'Weekly Tracker'!$J$2:$J$766),"")</f>
        <v/>
      </c>
      <c r="K1224" s="9">
        <f>IFERROR(LOOKUP(2,1/('Weekly Tracker'!$E$2:$E$766=$A1224)/('Weekly Tracker'!$N$2:$N$766&lt;&gt;""),'Weekly Tracker'!$N$2:$N$766),"")</f>
        <v/>
      </c>
      <c r="L1224" s="9">
        <f>IFERROR(LOOKUP(2,1/('Weekly Tracker'!$E$2:$E$766=$A1224)/('Weekly Tracker'!$O$2:$O$766&lt;&gt;""),'Weekly Tracker'!$O$2:$O$766),"")</f>
        <v/>
      </c>
    </row>
    <row r="1225">
      <c r="A1225" s="9" t="inlineStr">
        <is>
          <t>Malathi Urja</t>
        </is>
      </c>
      <c r="B1225" s="9" t="inlineStr">
        <is>
          <t>917904560208</t>
        </is>
      </c>
      <c r="C1225" s="9" t="n"/>
      <c r="D1225" s="9" t="n"/>
      <c r="E1225" s="9" t="n"/>
      <c r="F1225" s="9">
        <f>IFERROR(LOOKUP(2,1/('Weekly Tracker'!$E$2:$E$766=$A1225)/('Weekly Tracker'!$F$2:$F$766&lt;&gt;""),'Weekly Tracker'!$F$2:$F$766),"")</f>
        <v/>
      </c>
      <c r="G1225" s="16">
        <f>IF(F1225&lt;&gt;"",LOOKUP(2,1/('Weekly Tracker'!$E$2:$E$766=$A1225)/('Weekly Tracker'!$F$2:$F$766&lt;&gt;""),'Weekly Tracker'!$G$2:$G$766),"")</f>
        <v/>
      </c>
      <c r="H1225" s="9">
        <f>IFERROR(LOOKUP(2,1/('Weekly Tracker'!$E$2:$E$766=$A1225)/('Weekly Tracker'!$H$2:$H$766&lt;&gt;""),'Weekly Tracker'!$H$2:$H$766),"")</f>
        <v/>
      </c>
      <c r="I1225" s="16">
        <f>IF(H1225&lt;&gt;"",LOOKUP(2,1/('Weekly Tracker'!$E$2:$E$766=$A1225)/('Weekly Tracker'!$H$2:$H$766&lt;&gt;""),'Weekly Tracker'!$I$2:$I$766),"")</f>
        <v/>
      </c>
      <c r="J1225" s="9">
        <f>IFERROR(LOOKUP(2,1/('Weekly Tracker'!$E$2:$E$766=$A1225)/('Weekly Tracker'!$J$2:$J$766&lt;&gt;""),'Weekly Tracker'!$J$2:$J$766),"")</f>
        <v/>
      </c>
      <c r="K1225" s="9">
        <f>IFERROR(LOOKUP(2,1/('Weekly Tracker'!$E$2:$E$766=$A1225)/('Weekly Tracker'!$N$2:$N$766&lt;&gt;""),'Weekly Tracker'!$N$2:$N$766),"")</f>
        <v/>
      </c>
      <c r="L1225" s="9">
        <f>IFERROR(LOOKUP(2,1/('Weekly Tracker'!$E$2:$E$766=$A1225)/('Weekly Tracker'!$O$2:$O$766&lt;&gt;""),'Weekly Tracker'!$O$2:$O$766),"")</f>
        <v/>
      </c>
    </row>
    <row r="1226">
      <c r="A1226" s="9" t="inlineStr">
        <is>
          <t>Janani Meetup</t>
        </is>
      </c>
      <c r="B1226" s="9" t="inlineStr">
        <is>
          <t>8452816502</t>
        </is>
      </c>
      <c r="C1226" s="9" t="n"/>
      <c r="D1226" s="9" t="n"/>
      <c r="E1226" s="9" t="n"/>
      <c r="F1226" s="9">
        <f>IFERROR(LOOKUP(2,1/('Weekly Tracker'!$E$2:$E$766=$A1226)/('Weekly Tracker'!$F$2:$F$766&lt;&gt;""),'Weekly Tracker'!$F$2:$F$766),"")</f>
        <v/>
      </c>
      <c r="G1226" s="16">
        <f>IF(F1226&lt;&gt;"",LOOKUP(2,1/('Weekly Tracker'!$E$2:$E$766=$A1226)/('Weekly Tracker'!$F$2:$F$766&lt;&gt;""),'Weekly Tracker'!$G$2:$G$766),"")</f>
        <v/>
      </c>
      <c r="H1226" s="9">
        <f>IFERROR(LOOKUP(2,1/('Weekly Tracker'!$E$2:$E$766=$A1226)/('Weekly Tracker'!$H$2:$H$766&lt;&gt;""),'Weekly Tracker'!$H$2:$H$766),"")</f>
        <v/>
      </c>
      <c r="I1226" s="16">
        <f>IF(H1226&lt;&gt;"",LOOKUP(2,1/('Weekly Tracker'!$E$2:$E$766=$A1226)/('Weekly Tracker'!$H$2:$H$766&lt;&gt;""),'Weekly Tracker'!$I$2:$I$766),"")</f>
        <v/>
      </c>
      <c r="J1226" s="9">
        <f>IFERROR(LOOKUP(2,1/('Weekly Tracker'!$E$2:$E$766=$A1226)/('Weekly Tracker'!$J$2:$J$766&lt;&gt;""),'Weekly Tracker'!$J$2:$J$766),"")</f>
        <v/>
      </c>
      <c r="K1226" s="9">
        <f>IFERROR(LOOKUP(2,1/('Weekly Tracker'!$E$2:$E$766=$A1226)/('Weekly Tracker'!$N$2:$N$766&lt;&gt;""),'Weekly Tracker'!$N$2:$N$766),"")</f>
        <v/>
      </c>
      <c r="L1226" s="9">
        <f>IFERROR(LOOKUP(2,1/('Weekly Tracker'!$E$2:$E$766=$A1226)/('Weekly Tracker'!$O$2:$O$766&lt;&gt;""),'Weekly Tracker'!$O$2:$O$766),"")</f>
        <v/>
      </c>
    </row>
    <row r="1227">
      <c r="A1227" s="9" t="inlineStr">
        <is>
          <t>Arulteen Prof Ucen</t>
        </is>
      </c>
      <c r="B1227" s="9" t="inlineStr">
        <is>
          <t>917598665275</t>
        </is>
      </c>
      <c r="C1227" s="9" t="n"/>
      <c r="D1227" s="9" t="n"/>
      <c r="E1227" s="9" t="n"/>
      <c r="F1227" s="9">
        <f>IFERROR(LOOKUP(2,1/('Weekly Tracker'!$E$2:$E$766=$A1227)/('Weekly Tracker'!$F$2:$F$766&lt;&gt;""),'Weekly Tracker'!$F$2:$F$766),"")</f>
        <v/>
      </c>
      <c r="G1227" s="16">
        <f>IF(F1227&lt;&gt;"",LOOKUP(2,1/('Weekly Tracker'!$E$2:$E$766=$A1227)/('Weekly Tracker'!$F$2:$F$766&lt;&gt;""),'Weekly Tracker'!$G$2:$G$766),"")</f>
        <v/>
      </c>
      <c r="H1227" s="9">
        <f>IFERROR(LOOKUP(2,1/('Weekly Tracker'!$E$2:$E$766=$A1227)/('Weekly Tracker'!$H$2:$H$766&lt;&gt;""),'Weekly Tracker'!$H$2:$H$766),"")</f>
        <v/>
      </c>
      <c r="I1227" s="16">
        <f>IF(H1227&lt;&gt;"",LOOKUP(2,1/('Weekly Tracker'!$E$2:$E$766=$A1227)/('Weekly Tracker'!$H$2:$H$766&lt;&gt;""),'Weekly Tracker'!$I$2:$I$766),"")</f>
        <v/>
      </c>
      <c r="J1227" s="9">
        <f>IFERROR(LOOKUP(2,1/('Weekly Tracker'!$E$2:$E$766=$A1227)/('Weekly Tracker'!$J$2:$J$766&lt;&gt;""),'Weekly Tracker'!$J$2:$J$766),"")</f>
        <v/>
      </c>
      <c r="K1227" s="9">
        <f>IFERROR(LOOKUP(2,1/('Weekly Tracker'!$E$2:$E$766=$A1227)/('Weekly Tracker'!$N$2:$N$766&lt;&gt;""),'Weekly Tracker'!$N$2:$N$766),"")</f>
        <v/>
      </c>
      <c r="L1227" s="9">
        <f>IFERROR(LOOKUP(2,1/('Weekly Tracker'!$E$2:$E$766=$A1227)/('Weekly Tracker'!$O$2:$O$766&lt;&gt;""),'Weekly Tracker'!$O$2:$O$766),"")</f>
        <v/>
      </c>
    </row>
    <row r="1228">
      <c r="A1228" s="9" t="inlineStr">
        <is>
          <t>Elavarasan Grp Ucen</t>
        </is>
      </c>
      <c r="B1228" s="9" t="inlineStr">
        <is>
          <t>919486633262</t>
        </is>
      </c>
      <c r="C1228" s="9" t="n"/>
      <c r="D1228" s="9" t="n"/>
      <c r="E1228" s="9" t="n"/>
      <c r="F1228" s="9">
        <f>IFERROR(LOOKUP(2,1/('Weekly Tracker'!$E$2:$E$766=$A1228)/('Weekly Tracker'!$F$2:$F$766&lt;&gt;""),'Weekly Tracker'!$F$2:$F$766),"")</f>
        <v/>
      </c>
      <c r="G1228" s="16">
        <f>IF(F1228&lt;&gt;"",LOOKUP(2,1/('Weekly Tracker'!$E$2:$E$766=$A1228)/('Weekly Tracker'!$F$2:$F$766&lt;&gt;""),'Weekly Tracker'!$G$2:$G$766),"")</f>
        <v/>
      </c>
      <c r="H1228" s="9">
        <f>IFERROR(LOOKUP(2,1/('Weekly Tracker'!$E$2:$E$766=$A1228)/('Weekly Tracker'!$H$2:$H$766&lt;&gt;""),'Weekly Tracker'!$H$2:$H$766),"")</f>
        <v/>
      </c>
      <c r="I1228" s="16">
        <f>IF(H1228&lt;&gt;"",LOOKUP(2,1/('Weekly Tracker'!$E$2:$E$766=$A1228)/('Weekly Tracker'!$H$2:$H$766&lt;&gt;""),'Weekly Tracker'!$I$2:$I$766),"")</f>
        <v/>
      </c>
      <c r="J1228" s="9">
        <f>IFERROR(LOOKUP(2,1/('Weekly Tracker'!$E$2:$E$766=$A1228)/('Weekly Tracker'!$J$2:$J$766&lt;&gt;""),'Weekly Tracker'!$J$2:$J$766),"")</f>
        <v/>
      </c>
      <c r="K1228" s="9">
        <f>IFERROR(LOOKUP(2,1/('Weekly Tracker'!$E$2:$E$766=$A1228)/('Weekly Tracker'!$N$2:$N$766&lt;&gt;""),'Weekly Tracker'!$N$2:$N$766),"")</f>
        <v/>
      </c>
      <c r="L1228" s="9">
        <f>IFERROR(LOOKUP(2,1/('Weekly Tracker'!$E$2:$E$766=$A1228)/('Weekly Tracker'!$O$2:$O$766&lt;&gt;""),'Weekly Tracker'!$O$2:$O$766),"")</f>
        <v/>
      </c>
    </row>
    <row r="1229">
      <c r="A1229" s="9" t="inlineStr">
        <is>
          <t>Ragav D4V</t>
        </is>
      </c>
      <c r="B1229" s="9" t="inlineStr">
        <is>
          <t>918526033364</t>
        </is>
      </c>
      <c r="C1229" s="9" t="n"/>
      <c r="D1229" s="9" t="n"/>
      <c r="E1229" s="9" t="n"/>
      <c r="F1229" s="9">
        <f>IFERROR(LOOKUP(2,1/('Weekly Tracker'!$E$2:$E$766=$A1229)/('Weekly Tracker'!$F$2:$F$766&lt;&gt;""),'Weekly Tracker'!$F$2:$F$766),"")</f>
        <v/>
      </c>
      <c r="G1229" s="16">
        <f>IF(F1229&lt;&gt;"",LOOKUP(2,1/('Weekly Tracker'!$E$2:$E$766=$A1229)/('Weekly Tracker'!$F$2:$F$766&lt;&gt;""),'Weekly Tracker'!$G$2:$G$766),"")</f>
        <v/>
      </c>
      <c r="H1229" s="9">
        <f>IFERROR(LOOKUP(2,1/('Weekly Tracker'!$E$2:$E$766=$A1229)/('Weekly Tracker'!$H$2:$H$766&lt;&gt;""),'Weekly Tracker'!$H$2:$H$766),"")</f>
        <v/>
      </c>
      <c r="I1229" s="16">
        <f>IF(H1229&lt;&gt;"",LOOKUP(2,1/('Weekly Tracker'!$E$2:$E$766=$A1229)/('Weekly Tracker'!$H$2:$H$766&lt;&gt;""),'Weekly Tracker'!$I$2:$I$766),"")</f>
        <v/>
      </c>
      <c r="J1229" s="9">
        <f>IFERROR(LOOKUP(2,1/('Weekly Tracker'!$E$2:$E$766=$A1229)/('Weekly Tracker'!$J$2:$J$766&lt;&gt;""),'Weekly Tracker'!$J$2:$J$766),"")</f>
        <v/>
      </c>
      <c r="K1229" s="9">
        <f>IFERROR(LOOKUP(2,1/('Weekly Tracker'!$E$2:$E$766=$A1229)/('Weekly Tracker'!$N$2:$N$766&lt;&gt;""),'Weekly Tracker'!$N$2:$N$766),"")</f>
        <v/>
      </c>
      <c r="L1229" s="9">
        <f>IFERROR(LOOKUP(2,1/('Weekly Tracker'!$E$2:$E$766=$A1229)/('Weekly Tracker'!$O$2:$O$766&lt;&gt;""),'Weekly Tracker'!$O$2:$O$766),"")</f>
        <v/>
      </c>
    </row>
    <row r="1230">
      <c r="A1230" s="9" t="inlineStr">
        <is>
          <t>Selva Kumar FB</t>
        </is>
      </c>
      <c r="B1230" s="9" t="inlineStr">
        <is>
          <t>9042432627</t>
        </is>
      </c>
      <c r="C1230" s="9" t="n"/>
      <c r="D1230" s="9" t="n"/>
      <c r="E1230" s="9" t="n"/>
      <c r="F1230" s="9">
        <f>IFERROR(LOOKUP(2,1/('Weekly Tracker'!$E$2:$E$766=$A1230)/('Weekly Tracker'!$F$2:$F$766&lt;&gt;""),'Weekly Tracker'!$F$2:$F$766),"")</f>
        <v/>
      </c>
      <c r="G1230" s="16">
        <f>IF(F1230&lt;&gt;"",LOOKUP(2,1/('Weekly Tracker'!$E$2:$E$766=$A1230)/('Weekly Tracker'!$F$2:$F$766&lt;&gt;""),'Weekly Tracker'!$G$2:$G$766),"")</f>
        <v/>
      </c>
      <c r="H1230" s="9">
        <f>IFERROR(LOOKUP(2,1/('Weekly Tracker'!$E$2:$E$766=$A1230)/('Weekly Tracker'!$H$2:$H$766&lt;&gt;""),'Weekly Tracker'!$H$2:$H$766),"")</f>
        <v/>
      </c>
      <c r="I1230" s="16">
        <f>IF(H1230&lt;&gt;"",LOOKUP(2,1/('Weekly Tracker'!$E$2:$E$766=$A1230)/('Weekly Tracker'!$H$2:$H$766&lt;&gt;""),'Weekly Tracker'!$I$2:$I$766),"")</f>
        <v/>
      </c>
      <c r="J1230" s="9">
        <f>IFERROR(LOOKUP(2,1/('Weekly Tracker'!$E$2:$E$766=$A1230)/('Weekly Tracker'!$J$2:$J$766&lt;&gt;""),'Weekly Tracker'!$J$2:$J$766),"")</f>
        <v/>
      </c>
      <c r="K1230" s="9">
        <f>IFERROR(LOOKUP(2,1/('Weekly Tracker'!$E$2:$E$766=$A1230)/('Weekly Tracker'!$N$2:$N$766&lt;&gt;""),'Weekly Tracker'!$N$2:$N$766),"")</f>
        <v/>
      </c>
      <c r="L1230" s="9">
        <f>IFERROR(LOOKUP(2,1/('Weekly Tracker'!$E$2:$E$766=$A1230)/('Weekly Tracker'!$O$2:$O$766&lt;&gt;""),'Weekly Tracker'!$O$2:$O$766),"")</f>
        <v/>
      </c>
    </row>
    <row r="1231">
      <c r="A1231" s="9" t="inlineStr">
        <is>
          <t>Mathanmani Hnuc Scl</t>
        </is>
      </c>
      <c r="B1231" s="9" t="inlineStr">
        <is>
          <t>919159619095</t>
        </is>
      </c>
      <c r="C1231" s="9" t="n"/>
      <c r="D1231" s="9" t="n"/>
      <c r="E1231" s="9" t="n"/>
      <c r="F1231" s="9">
        <f>IFERROR(LOOKUP(2,1/('Weekly Tracker'!$E$2:$E$766=$A1231)/('Weekly Tracker'!$F$2:$F$766&lt;&gt;""),'Weekly Tracker'!$F$2:$F$766),"")</f>
        <v/>
      </c>
      <c r="G1231" s="16">
        <f>IF(F1231&lt;&gt;"",LOOKUP(2,1/('Weekly Tracker'!$E$2:$E$766=$A1231)/('Weekly Tracker'!$F$2:$F$766&lt;&gt;""),'Weekly Tracker'!$G$2:$G$766),"")</f>
        <v/>
      </c>
      <c r="H1231" s="9">
        <f>IFERROR(LOOKUP(2,1/('Weekly Tracker'!$E$2:$E$766=$A1231)/('Weekly Tracker'!$H$2:$H$766&lt;&gt;""),'Weekly Tracker'!$H$2:$H$766),"")</f>
        <v/>
      </c>
      <c r="I1231" s="16">
        <f>IF(H1231&lt;&gt;"",LOOKUP(2,1/('Weekly Tracker'!$E$2:$E$766=$A1231)/('Weekly Tracker'!$H$2:$H$766&lt;&gt;""),'Weekly Tracker'!$I$2:$I$766),"")</f>
        <v/>
      </c>
      <c r="J1231" s="9">
        <f>IFERROR(LOOKUP(2,1/('Weekly Tracker'!$E$2:$E$766=$A1231)/('Weekly Tracker'!$J$2:$J$766&lt;&gt;""),'Weekly Tracker'!$J$2:$J$766),"")</f>
        <v/>
      </c>
      <c r="K1231" s="9">
        <f>IFERROR(LOOKUP(2,1/('Weekly Tracker'!$E$2:$E$766=$A1231)/('Weekly Tracker'!$N$2:$N$766&lt;&gt;""),'Weekly Tracker'!$N$2:$N$766),"")</f>
        <v/>
      </c>
      <c r="L1231" s="9">
        <f>IFERROR(LOOKUP(2,1/('Weekly Tracker'!$E$2:$E$766=$A1231)/('Weekly Tracker'!$O$2:$O$766&lt;&gt;""),'Weekly Tracker'!$O$2:$O$766),"")</f>
        <v/>
      </c>
    </row>
    <row r="1232">
      <c r="A1232" s="9" t="inlineStr">
        <is>
          <t>Anath Kumar Urja</t>
        </is>
      </c>
      <c r="B1232" s="9" t="inlineStr">
        <is>
          <t>7502508930</t>
        </is>
      </c>
      <c r="C1232" s="9" t="n"/>
      <c r="D1232" s="9" t="n"/>
      <c r="E1232" s="9" t="n"/>
      <c r="F1232" s="9">
        <f>IFERROR(LOOKUP(2,1/('Weekly Tracker'!$E$2:$E$766=$A1232)/('Weekly Tracker'!$F$2:$F$766&lt;&gt;""),'Weekly Tracker'!$F$2:$F$766),"")</f>
        <v/>
      </c>
      <c r="G1232" s="16">
        <f>IF(F1232&lt;&gt;"",LOOKUP(2,1/('Weekly Tracker'!$E$2:$E$766=$A1232)/('Weekly Tracker'!$F$2:$F$766&lt;&gt;""),'Weekly Tracker'!$G$2:$G$766),"")</f>
        <v/>
      </c>
      <c r="H1232" s="9">
        <f>IFERROR(LOOKUP(2,1/('Weekly Tracker'!$E$2:$E$766=$A1232)/('Weekly Tracker'!$H$2:$H$766&lt;&gt;""),'Weekly Tracker'!$H$2:$H$766),"")</f>
        <v/>
      </c>
      <c r="I1232" s="16">
        <f>IF(H1232&lt;&gt;"",LOOKUP(2,1/('Weekly Tracker'!$E$2:$E$766=$A1232)/('Weekly Tracker'!$H$2:$H$766&lt;&gt;""),'Weekly Tracker'!$I$2:$I$766),"")</f>
        <v/>
      </c>
      <c r="J1232" s="9">
        <f>IFERROR(LOOKUP(2,1/('Weekly Tracker'!$E$2:$E$766=$A1232)/('Weekly Tracker'!$J$2:$J$766&lt;&gt;""),'Weekly Tracker'!$J$2:$J$766),"")</f>
        <v/>
      </c>
      <c r="K1232" s="9">
        <f>IFERROR(LOOKUP(2,1/('Weekly Tracker'!$E$2:$E$766=$A1232)/('Weekly Tracker'!$N$2:$N$766&lt;&gt;""),'Weekly Tracker'!$N$2:$N$766),"")</f>
        <v/>
      </c>
      <c r="L1232" s="9">
        <f>IFERROR(LOOKUP(2,1/('Weekly Tracker'!$E$2:$E$766=$A1232)/('Weekly Tracker'!$O$2:$O$766&lt;&gt;""),'Weekly Tracker'!$O$2:$O$766),"")</f>
        <v/>
      </c>
    </row>
    <row r="1233">
      <c r="A1233" s="9" t="inlineStr">
        <is>
          <t>Selva Chandran Grp Ucen</t>
        </is>
      </c>
      <c r="B1233" s="9" t="inlineStr">
        <is>
          <t>919585130795</t>
        </is>
      </c>
      <c r="C1233" s="9" t="n"/>
      <c r="D1233" s="9" t="n"/>
      <c r="E1233" s="9" t="n"/>
      <c r="F1233" s="9">
        <f>IFERROR(LOOKUP(2,1/('Weekly Tracker'!$E$2:$E$766=$A1233)/('Weekly Tracker'!$F$2:$F$766&lt;&gt;""),'Weekly Tracker'!$F$2:$F$766),"")</f>
        <v/>
      </c>
      <c r="G1233" s="16">
        <f>IF(F1233&lt;&gt;"",LOOKUP(2,1/('Weekly Tracker'!$E$2:$E$766=$A1233)/('Weekly Tracker'!$F$2:$F$766&lt;&gt;""),'Weekly Tracker'!$G$2:$G$766),"")</f>
        <v/>
      </c>
      <c r="H1233" s="9">
        <f>IFERROR(LOOKUP(2,1/('Weekly Tracker'!$E$2:$E$766=$A1233)/('Weekly Tracker'!$H$2:$H$766&lt;&gt;""),'Weekly Tracker'!$H$2:$H$766),"")</f>
        <v/>
      </c>
      <c r="I1233" s="16">
        <f>IF(H1233&lt;&gt;"",LOOKUP(2,1/('Weekly Tracker'!$E$2:$E$766=$A1233)/('Weekly Tracker'!$H$2:$H$766&lt;&gt;""),'Weekly Tracker'!$I$2:$I$766),"")</f>
        <v/>
      </c>
      <c r="J1233" s="9">
        <f>IFERROR(LOOKUP(2,1/('Weekly Tracker'!$E$2:$E$766=$A1233)/('Weekly Tracker'!$J$2:$J$766&lt;&gt;""),'Weekly Tracker'!$J$2:$J$766),"")</f>
        <v/>
      </c>
      <c r="K1233" s="9">
        <f>IFERROR(LOOKUP(2,1/('Weekly Tracker'!$E$2:$E$766=$A1233)/('Weekly Tracker'!$N$2:$N$766&lt;&gt;""),'Weekly Tracker'!$N$2:$N$766),"")</f>
        <v/>
      </c>
      <c r="L1233" s="9">
        <f>IFERROR(LOOKUP(2,1/('Weekly Tracker'!$E$2:$E$766=$A1233)/('Weekly Tracker'!$O$2:$O$766&lt;&gt;""),'Weekly Tracker'!$O$2:$O$766),"")</f>
        <v/>
      </c>
    </row>
    <row r="1234">
      <c r="A1234" s="9" t="inlineStr">
        <is>
          <t>Selva Tech Mahendra</t>
        </is>
      </c>
      <c r="B1234" s="9" t="inlineStr">
        <is>
          <t>919677068713</t>
        </is>
      </c>
      <c r="C1234" s="9" t="n"/>
      <c r="D1234" s="9" t="n"/>
      <c r="E1234" s="9" t="n"/>
      <c r="F1234" s="9">
        <f>IFERROR(LOOKUP(2,1/('Weekly Tracker'!$E$2:$E$766=$A1234)/('Weekly Tracker'!$F$2:$F$766&lt;&gt;""),'Weekly Tracker'!$F$2:$F$766),"")</f>
        <v/>
      </c>
      <c r="G1234" s="16">
        <f>IF(F1234&lt;&gt;"",LOOKUP(2,1/('Weekly Tracker'!$E$2:$E$766=$A1234)/('Weekly Tracker'!$F$2:$F$766&lt;&gt;""),'Weekly Tracker'!$G$2:$G$766),"")</f>
        <v/>
      </c>
      <c r="H1234" s="9">
        <f>IFERROR(LOOKUP(2,1/('Weekly Tracker'!$E$2:$E$766=$A1234)/('Weekly Tracker'!$H$2:$H$766&lt;&gt;""),'Weekly Tracker'!$H$2:$H$766),"")</f>
        <v/>
      </c>
      <c r="I1234" s="16">
        <f>IF(H1234&lt;&gt;"",LOOKUP(2,1/('Weekly Tracker'!$E$2:$E$766=$A1234)/('Weekly Tracker'!$H$2:$H$766&lt;&gt;""),'Weekly Tracker'!$I$2:$I$766),"")</f>
        <v/>
      </c>
      <c r="J1234" s="9">
        <f>IFERROR(LOOKUP(2,1/('Weekly Tracker'!$E$2:$E$766=$A1234)/('Weekly Tracker'!$J$2:$J$766&lt;&gt;""),'Weekly Tracker'!$J$2:$J$766),"")</f>
        <v/>
      </c>
      <c r="K1234" s="9">
        <f>IFERROR(LOOKUP(2,1/('Weekly Tracker'!$E$2:$E$766=$A1234)/('Weekly Tracker'!$N$2:$N$766&lt;&gt;""),'Weekly Tracker'!$N$2:$N$766),"")</f>
        <v/>
      </c>
      <c r="L1234" s="9">
        <f>IFERROR(LOOKUP(2,1/('Weekly Tracker'!$E$2:$E$766=$A1234)/('Weekly Tracker'!$O$2:$O$766&lt;&gt;""),'Weekly Tracker'!$O$2:$O$766),"")</f>
        <v/>
      </c>
    </row>
    <row r="1235">
      <c r="A1235" s="9" t="inlineStr">
        <is>
          <t>Ambavarapu Yamini HCL</t>
        </is>
      </c>
      <c r="B1235" s="9" t="inlineStr">
        <is>
          <t>6302467407</t>
        </is>
      </c>
      <c r="C1235" s="9" t="n"/>
      <c r="D1235" s="9" t="n"/>
      <c r="E1235" s="9" t="n"/>
      <c r="F1235" s="9">
        <f>IFERROR(LOOKUP(2,1/('Weekly Tracker'!$E$2:$E$766=$A1235)/('Weekly Tracker'!$F$2:$F$766&lt;&gt;""),'Weekly Tracker'!$F$2:$F$766),"")</f>
        <v/>
      </c>
      <c r="G1235" s="16">
        <f>IF(F1235&lt;&gt;"",LOOKUP(2,1/('Weekly Tracker'!$E$2:$E$766=$A1235)/('Weekly Tracker'!$F$2:$F$766&lt;&gt;""),'Weekly Tracker'!$G$2:$G$766),"")</f>
        <v/>
      </c>
      <c r="H1235" s="9">
        <f>IFERROR(LOOKUP(2,1/('Weekly Tracker'!$E$2:$E$766=$A1235)/('Weekly Tracker'!$H$2:$H$766&lt;&gt;""),'Weekly Tracker'!$H$2:$H$766),"")</f>
        <v/>
      </c>
      <c r="I1235" s="16">
        <f>IF(H1235&lt;&gt;"",LOOKUP(2,1/('Weekly Tracker'!$E$2:$E$766=$A1235)/('Weekly Tracker'!$H$2:$H$766&lt;&gt;""),'Weekly Tracker'!$I$2:$I$766),"")</f>
        <v/>
      </c>
      <c r="J1235" s="9">
        <f>IFERROR(LOOKUP(2,1/('Weekly Tracker'!$E$2:$E$766=$A1235)/('Weekly Tracker'!$J$2:$J$766&lt;&gt;""),'Weekly Tracker'!$J$2:$J$766),"")</f>
        <v/>
      </c>
      <c r="K1235" s="9">
        <f>IFERROR(LOOKUP(2,1/('Weekly Tracker'!$E$2:$E$766=$A1235)/('Weekly Tracker'!$N$2:$N$766&lt;&gt;""),'Weekly Tracker'!$N$2:$N$766),"")</f>
        <v/>
      </c>
      <c r="L1235" s="9">
        <f>IFERROR(LOOKUP(2,1/('Weekly Tracker'!$E$2:$E$766=$A1235)/('Weekly Tracker'!$O$2:$O$766&lt;&gt;""),'Weekly Tracker'!$O$2:$O$766),"")</f>
        <v/>
      </c>
    </row>
    <row r="1236">
      <c r="A1236" s="9" t="inlineStr">
        <is>
          <t>Kandhavel Tele</t>
        </is>
      </c>
      <c r="B1236" s="9" t="inlineStr">
        <is>
          <t>9994692297</t>
        </is>
      </c>
      <c r="C1236" s="9" t="n"/>
      <c r="D1236" s="9" t="n"/>
      <c r="E1236" s="9" t="n"/>
      <c r="F1236" s="9">
        <f>IFERROR(LOOKUP(2,1/('Weekly Tracker'!$E$2:$E$766=$A1236)/('Weekly Tracker'!$F$2:$F$766&lt;&gt;""),'Weekly Tracker'!$F$2:$F$766),"")</f>
        <v/>
      </c>
      <c r="G1236" s="16">
        <f>IF(F1236&lt;&gt;"",LOOKUP(2,1/('Weekly Tracker'!$E$2:$E$766=$A1236)/('Weekly Tracker'!$F$2:$F$766&lt;&gt;""),'Weekly Tracker'!$G$2:$G$766),"")</f>
        <v/>
      </c>
      <c r="H1236" s="9">
        <f>IFERROR(LOOKUP(2,1/('Weekly Tracker'!$E$2:$E$766=$A1236)/('Weekly Tracker'!$H$2:$H$766&lt;&gt;""),'Weekly Tracker'!$H$2:$H$766),"")</f>
        <v/>
      </c>
      <c r="I1236" s="16">
        <f>IF(H1236&lt;&gt;"",LOOKUP(2,1/('Weekly Tracker'!$E$2:$E$766=$A1236)/('Weekly Tracker'!$H$2:$H$766&lt;&gt;""),'Weekly Tracker'!$I$2:$I$766),"")</f>
        <v/>
      </c>
      <c r="J1236" s="9">
        <f>IFERROR(LOOKUP(2,1/('Weekly Tracker'!$E$2:$E$766=$A1236)/('Weekly Tracker'!$J$2:$J$766&lt;&gt;""),'Weekly Tracker'!$J$2:$J$766),"")</f>
        <v/>
      </c>
      <c r="K1236" s="9">
        <f>IFERROR(LOOKUP(2,1/('Weekly Tracker'!$E$2:$E$766=$A1236)/('Weekly Tracker'!$N$2:$N$766&lt;&gt;""),'Weekly Tracker'!$N$2:$N$766),"")</f>
        <v/>
      </c>
      <c r="L1236" s="9">
        <f>IFERROR(LOOKUP(2,1/('Weekly Tracker'!$E$2:$E$766=$A1236)/('Weekly Tracker'!$O$2:$O$766&lt;&gt;""),'Weekly Tracker'!$O$2:$O$766),"")</f>
        <v/>
      </c>
    </row>
    <row r="1237">
      <c r="A1237" s="9" t="inlineStr">
        <is>
          <t>Sivakumar Home</t>
        </is>
      </c>
      <c r="B1237" s="9" t="inlineStr">
        <is>
          <t>919654979988</t>
        </is>
      </c>
      <c r="C1237" s="9" t="n"/>
      <c r="D1237" s="9" t="n"/>
      <c r="E1237" s="9" t="n"/>
      <c r="F1237" s="9">
        <f>IFERROR(LOOKUP(2,1/('Weekly Tracker'!$E$2:$E$766=$A1237)/('Weekly Tracker'!$F$2:$F$766&lt;&gt;""),'Weekly Tracker'!$F$2:$F$766),"")</f>
        <v/>
      </c>
      <c r="G1237" s="16">
        <f>IF(F1237&lt;&gt;"",LOOKUP(2,1/('Weekly Tracker'!$E$2:$E$766=$A1237)/('Weekly Tracker'!$F$2:$F$766&lt;&gt;""),'Weekly Tracker'!$G$2:$G$766),"")</f>
        <v/>
      </c>
      <c r="H1237" s="9">
        <f>IFERROR(LOOKUP(2,1/('Weekly Tracker'!$E$2:$E$766=$A1237)/('Weekly Tracker'!$H$2:$H$766&lt;&gt;""),'Weekly Tracker'!$H$2:$H$766),"")</f>
        <v/>
      </c>
      <c r="I1237" s="16">
        <f>IF(H1237&lt;&gt;"",LOOKUP(2,1/('Weekly Tracker'!$E$2:$E$766=$A1237)/('Weekly Tracker'!$H$2:$H$766&lt;&gt;""),'Weekly Tracker'!$I$2:$I$766),"")</f>
        <v/>
      </c>
      <c r="J1237" s="9">
        <f>IFERROR(LOOKUP(2,1/('Weekly Tracker'!$E$2:$E$766=$A1237)/('Weekly Tracker'!$J$2:$J$766&lt;&gt;""),'Weekly Tracker'!$J$2:$J$766),"")</f>
        <v/>
      </c>
      <c r="K1237" s="9">
        <f>IFERROR(LOOKUP(2,1/('Weekly Tracker'!$E$2:$E$766=$A1237)/('Weekly Tracker'!$N$2:$N$766&lt;&gt;""),'Weekly Tracker'!$N$2:$N$766),"")</f>
        <v/>
      </c>
      <c r="L1237" s="9">
        <f>IFERROR(LOOKUP(2,1/('Weekly Tracker'!$E$2:$E$766=$A1237)/('Weekly Tracker'!$O$2:$O$766&lt;&gt;""),'Weekly Tracker'!$O$2:$O$766),"")</f>
        <v/>
      </c>
    </row>
    <row r="1238">
      <c r="A1238" s="9" t="inlineStr">
        <is>
          <t>Jijitha Infy</t>
        </is>
      </c>
      <c r="B1238" s="9" t="inlineStr">
        <is>
          <t>919961429552</t>
        </is>
      </c>
      <c r="C1238" s="9" t="n"/>
      <c r="D1238" s="9" t="n"/>
      <c r="E1238" s="9" t="n"/>
      <c r="F1238" s="9">
        <f>IFERROR(LOOKUP(2,1/('Weekly Tracker'!$E$2:$E$766=$A1238)/('Weekly Tracker'!$F$2:$F$766&lt;&gt;""),'Weekly Tracker'!$F$2:$F$766),"")</f>
        <v/>
      </c>
      <c r="G1238" s="16">
        <f>IF(F1238&lt;&gt;"",LOOKUP(2,1/('Weekly Tracker'!$E$2:$E$766=$A1238)/('Weekly Tracker'!$F$2:$F$766&lt;&gt;""),'Weekly Tracker'!$G$2:$G$766),"")</f>
        <v/>
      </c>
      <c r="H1238" s="9">
        <f>IFERROR(LOOKUP(2,1/('Weekly Tracker'!$E$2:$E$766=$A1238)/('Weekly Tracker'!$H$2:$H$766&lt;&gt;""),'Weekly Tracker'!$H$2:$H$766),"")</f>
        <v/>
      </c>
      <c r="I1238" s="16">
        <f>IF(H1238&lt;&gt;"",LOOKUP(2,1/('Weekly Tracker'!$E$2:$E$766=$A1238)/('Weekly Tracker'!$H$2:$H$766&lt;&gt;""),'Weekly Tracker'!$I$2:$I$766),"")</f>
        <v/>
      </c>
      <c r="J1238" s="9">
        <f>IFERROR(LOOKUP(2,1/('Weekly Tracker'!$E$2:$E$766=$A1238)/('Weekly Tracker'!$J$2:$J$766&lt;&gt;""),'Weekly Tracker'!$J$2:$J$766),"")</f>
        <v/>
      </c>
      <c r="K1238" s="9">
        <f>IFERROR(LOOKUP(2,1/('Weekly Tracker'!$E$2:$E$766=$A1238)/('Weekly Tracker'!$N$2:$N$766&lt;&gt;""),'Weekly Tracker'!$N$2:$N$766),"")</f>
        <v/>
      </c>
      <c r="L1238" s="9">
        <f>IFERROR(LOOKUP(2,1/('Weekly Tracker'!$E$2:$E$766=$A1238)/('Weekly Tracker'!$O$2:$O$766&lt;&gt;""),'Weekly Tracker'!$O$2:$O$766),"")</f>
        <v/>
      </c>
    </row>
    <row r="1239">
      <c r="A1239" s="9" t="inlineStr">
        <is>
          <t>RajaGobal Infy</t>
        </is>
      </c>
      <c r="B1239" s="9" t="inlineStr">
        <is>
          <t>919710857376</t>
        </is>
      </c>
      <c r="C1239" s="9" t="n"/>
      <c r="D1239" s="9" t="n"/>
      <c r="E1239" s="9" t="n"/>
      <c r="F1239" s="9">
        <f>IFERROR(LOOKUP(2,1/('Weekly Tracker'!$E$2:$E$766=$A1239)/('Weekly Tracker'!$F$2:$F$766&lt;&gt;""),'Weekly Tracker'!$F$2:$F$766),"")</f>
        <v/>
      </c>
      <c r="G1239" s="16">
        <f>IF(F1239&lt;&gt;"",LOOKUP(2,1/('Weekly Tracker'!$E$2:$E$766=$A1239)/('Weekly Tracker'!$F$2:$F$766&lt;&gt;""),'Weekly Tracker'!$G$2:$G$766),"")</f>
        <v/>
      </c>
      <c r="H1239" s="9">
        <f>IFERROR(LOOKUP(2,1/('Weekly Tracker'!$E$2:$E$766=$A1239)/('Weekly Tracker'!$H$2:$H$766&lt;&gt;""),'Weekly Tracker'!$H$2:$H$766),"")</f>
        <v/>
      </c>
      <c r="I1239" s="16">
        <f>IF(H1239&lt;&gt;"",LOOKUP(2,1/('Weekly Tracker'!$E$2:$E$766=$A1239)/('Weekly Tracker'!$H$2:$H$766&lt;&gt;""),'Weekly Tracker'!$I$2:$I$766),"")</f>
        <v/>
      </c>
      <c r="J1239" s="9">
        <f>IFERROR(LOOKUP(2,1/('Weekly Tracker'!$E$2:$E$766=$A1239)/('Weekly Tracker'!$J$2:$J$766&lt;&gt;""),'Weekly Tracker'!$J$2:$J$766),"")</f>
        <v/>
      </c>
      <c r="K1239" s="9">
        <f>IFERROR(LOOKUP(2,1/('Weekly Tracker'!$E$2:$E$766=$A1239)/('Weekly Tracker'!$N$2:$N$766&lt;&gt;""),'Weekly Tracker'!$N$2:$N$766),"")</f>
        <v/>
      </c>
      <c r="L1239" s="9">
        <f>IFERROR(LOOKUP(2,1/('Weekly Tracker'!$E$2:$E$766=$A1239)/('Weekly Tracker'!$O$2:$O$766&lt;&gt;""),'Weekly Tracker'!$O$2:$O$766),"")</f>
        <v/>
      </c>
    </row>
    <row r="1240">
      <c r="A1240" s="9" t="inlineStr">
        <is>
          <t>Ezhutholai BW</t>
        </is>
      </c>
      <c r="B1240" s="9" t="inlineStr">
        <is>
          <t>918939431936</t>
        </is>
      </c>
      <c r="C1240" s="9" t="n"/>
      <c r="D1240" s="9" t="n"/>
      <c r="E1240" s="9" t="n"/>
      <c r="F1240" s="9">
        <f>IFERROR(LOOKUP(2,1/('Weekly Tracker'!$E$2:$E$766=$A1240)/('Weekly Tracker'!$F$2:$F$766&lt;&gt;""),'Weekly Tracker'!$F$2:$F$766),"")</f>
        <v/>
      </c>
      <c r="G1240" s="16">
        <f>IF(F1240&lt;&gt;"",LOOKUP(2,1/('Weekly Tracker'!$E$2:$E$766=$A1240)/('Weekly Tracker'!$F$2:$F$766&lt;&gt;""),'Weekly Tracker'!$G$2:$G$766),"")</f>
        <v/>
      </c>
      <c r="H1240" s="9">
        <f>IFERROR(LOOKUP(2,1/('Weekly Tracker'!$E$2:$E$766=$A1240)/('Weekly Tracker'!$H$2:$H$766&lt;&gt;""),'Weekly Tracker'!$H$2:$H$766),"")</f>
        <v/>
      </c>
      <c r="I1240" s="16">
        <f>IF(H1240&lt;&gt;"",LOOKUP(2,1/('Weekly Tracker'!$E$2:$E$766=$A1240)/('Weekly Tracker'!$H$2:$H$766&lt;&gt;""),'Weekly Tracker'!$I$2:$I$766),"")</f>
        <v/>
      </c>
      <c r="J1240" s="9">
        <f>IFERROR(LOOKUP(2,1/('Weekly Tracker'!$E$2:$E$766=$A1240)/('Weekly Tracker'!$J$2:$J$766&lt;&gt;""),'Weekly Tracker'!$J$2:$J$766),"")</f>
        <v/>
      </c>
      <c r="K1240" s="9">
        <f>IFERROR(LOOKUP(2,1/('Weekly Tracker'!$E$2:$E$766=$A1240)/('Weekly Tracker'!$N$2:$N$766&lt;&gt;""),'Weekly Tracker'!$N$2:$N$766),"")</f>
        <v/>
      </c>
      <c r="L1240" s="9">
        <f>IFERROR(LOOKUP(2,1/('Weekly Tracker'!$E$2:$E$766=$A1240)/('Weekly Tracker'!$O$2:$O$766&lt;&gt;""),'Weekly Tracker'!$O$2:$O$766),"")</f>
        <v/>
      </c>
    </row>
    <row r="1241">
      <c r="A1241" s="9" t="inlineStr">
        <is>
          <t>Parvati Sharma Verz</t>
        </is>
      </c>
      <c r="B1241" s="9" t="inlineStr">
        <is>
          <t>917397402314</t>
        </is>
      </c>
      <c r="C1241" s="9" t="n"/>
      <c r="D1241" s="9" t="n"/>
      <c r="E1241" s="9" t="n"/>
      <c r="F1241" s="9">
        <f>IFERROR(LOOKUP(2,1/('Weekly Tracker'!$E$2:$E$766=$A1241)/('Weekly Tracker'!$F$2:$F$766&lt;&gt;""),'Weekly Tracker'!$F$2:$F$766),"")</f>
        <v/>
      </c>
      <c r="G1241" s="16">
        <f>IF(F1241&lt;&gt;"",LOOKUP(2,1/('Weekly Tracker'!$E$2:$E$766=$A1241)/('Weekly Tracker'!$F$2:$F$766&lt;&gt;""),'Weekly Tracker'!$G$2:$G$766),"")</f>
        <v/>
      </c>
      <c r="H1241" s="9">
        <f>IFERROR(LOOKUP(2,1/('Weekly Tracker'!$E$2:$E$766=$A1241)/('Weekly Tracker'!$H$2:$H$766&lt;&gt;""),'Weekly Tracker'!$H$2:$H$766),"")</f>
        <v/>
      </c>
      <c r="I1241" s="16">
        <f>IF(H1241&lt;&gt;"",LOOKUP(2,1/('Weekly Tracker'!$E$2:$E$766=$A1241)/('Weekly Tracker'!$H$2:$H$766&lt;&gt;""),'Weekly Tracker'!$I$2:$I$766),"")</f>
        <v/>
      </c>
      <c r="J1241" s="9">
        <f>IFERROR(LOOKUP(2,1/('Weekly Tracker'!$E$2:$E$766=$A1241)/('Weekly Tracker'!$J$2:$J$766&lt;&gt;""),'Weekly Tracker'!$J$2:$J$766),"")</f>
        <v/>
      </c>
      <c r="K1241" s="9">
        <f>IFERROR(LOOKUP(2,1/('Weekly Tracker'!$E$2:$E$766=$A1241)/('Weekly Tracker'!$N$2:$N$766&lt;&gt;""),'Weekly Tracker'!$N$2:$N$766),"")</f>
        <v/>
      </c>
      <c r="L1241" s="9">
        <f>IFERROR(LOOKUP(2,1/('Weekly Tracker'!$E$2:$E$766=$A1241)/('Weekly Tracker'!$O$2:$O$766&lt;&gt;""),'Weekly Tracker'!$O$2:$O$766),"")</f>
        <v/>
      </c>
    </row>
    <row r="1242">
      <c r="A1242" s="9" t="inlineStr">
        <is>
          <t>Agathya Group Ruthracham</t>
        </is>
      </c>
      <c r="B1242" s="9" t="inlineStr">
        <is>
          <t>919597225554</t>
        </is>
      </c>
      <c r="C1242" s="9" t="n"/>
      <c r="D1242" s="9" t="n"/>
      <c r="E1242" s="9" t="n"/>
      <c r="F1242" s="9">
        <f>IFERROR(LOOKUP(2,1/('Weekly Tracker'!$E$2:$E$766=$A1242)/('Weekly Tracker'!$F$2:$F$766&lt;&gt;""),'Weekly Tracker'!$F$2:$F$766),"")</f>
        <v/>
      </c>
      <c r="G1242" s="16">
        <f>IF(F1242&lt;&gt;"",LOOKUP(2,1/('Weekly Tracker'!$E$2:$E$766=$A1242)/('Weekly Tracker'!$F$2:$F$766&lt;&gt;""),'Weekly Tracker'!$G$2:$G$766),"")</f>
        <v/>
      </c>
      <c r="H1242" s="9">
        <f>IFERROR(LOOKUP(2,1/('Weekly Tracker'!$E$2:$E$766=$A1242)/('Weekly Tracker'!$H$2:$H$766&lt;&gt;""),'Weekly Tracker'!$H$2:$H$766),"")</f>
        <v/>
      </c>
      <c r="I1242" s="16">
        <f>IF(H1242&lt;&gt;"",LOOKUP(2,1/('Weekly Tracker'!$E$2:$E$766=$A1242)/('Weekly Tracker'!$H$2:$H$766&lt;&gt;""),'Weekly Tracker'!$I$2:$I$766),"")</f>
        <v/>
      </c>
      <c r="J1242" s="9">
        <f>IFERROR(LOOKUP(2,1/('Weekly Tracker'!$E$2:$E$766=$A1242)/('Weekly Tracker'!$J$2:$J$766&lt;&gt;""),'Weekly Tracker'!$J$2:$J$766),"")</f>
        <v/>
      </c>
      <c r="K1242" s="9">
        <f>IFERROR(LOOKUP(2,1/('Weekly Tracker'!$E$2:$E$766=$A1242)/('Weekly Tracker'!$N$2:$N$766&lt;&gt;""),'Weekly Tracker'!$N$2:$N$766),"")</f>
        <v/>
      </c>
      <c r="L1242" s="9">
        <f>IFERROR(LOOKUP(2,1/('Weekly Tracker'!$E$2:$E$766=$A1242)/('Weekly Tracker'!$O$2:$O$766&lt;&gt;""),'Weekly Tracker'!$O$2:$O$766),"")</f>
        <v/>
      </c>
    </row>
    <row r="1243">
      <c r="A1243" s="9" t="inlineStr">
        <is>
          <t>Neela ECE</t>
        </is>
      </c>
      <c r="B1243" s="9" t="inlineStr">
        <is>
          <t>919597012683</t>
        </is>
      </c>
      <c r="C1243" s="9" t="n"/>
      <c r="D1243" s="9" t="n"/>
      <c r="E1243" s="9" t="n"/>
      <c r="F1243" s="9">
        <f>IFERROR(LOOKUP(2,1/('Weekly Tracker'!$E$2:$E$766=$A1243)/('Weekly Tracker'!$F$2:$F$766&lt;&gt;""),'Weekly Tracker'!$F$2:$F$766),"")</f>
        <v/>
      </c>
      <c r="G1243" s="16">
        <f>IF(F1243&lt;&gt;"",LOOKUP(2,1/('Weekly Tracker'!$E$2:$E$766=$A1243)/('Weekly Tracker'!$F$2:$F$766&lt;&gt;""),'Weekly Tracker'!$G$2:$G$766),"")</f>
        <v/>
      </c>
      <c r="H1243" s="9">
        <f>IFERROR(LOOKUP(2,1/('Weekly Tracker'!$E$2:$E$766=$A1243)/('Weekly Tracker'!$H$2:$H$766&lt;&gt;""),'Weekly Tracker'!$H$2:$H$766),"")</f>
        <v/>
      </c>
      <c r="I1243" s="16">
        <f>IF(H1243&lt;&gt;"",LOOKUP(2,1/('Weekly Tracker'!$E$2:$E$766=$A1243)/('Weekly Tracker'!$H$2:$H$766&lt;&gt;""),'Weekly Tracker'!$I$2:$I$766),"")</f>
        <v/>
      </c>
      <c r="J1243" s="9">
        <f>IFERROR(LOOKUP(2,1/('Weekly Tracker'!$E$2:$E$766=$A1243)/('Weekly Tracker'!$J$2:$J$766&lt;&gt;""),'Weekly Tracker'!$J$2:$J$766),"")</f>
        <v/>
      </c>
      <c r="K1243" s="9">
        <f>IFERROR(LOOKUP(2,1/('Weekly Tracker'!$E$2:$E$766=$A1243)/('Weekly Tracker'!$N$2:$N$766&lt;&gt;""),'Weekly Tracker'!$N$2:$N$766),"")</f>
        <v/>
      </c>
      <c r="L1243" s="9">
        <f>IFERROR(LOOKUP(2,1/('Weekly Tracker'!$E$2:$E$766=$A1243)/('Weekly Tracker'!$O$2:$O$766&lt;&gt;""),'Weekly Tracker'!$O$2:$O$766),"")</f>
        <v/>
      </c>
    </row>
    <row r="1244">
      <c r="A1244" s="9" t="inlineStr">
        <is>
          <t>Srinivasan Satt</t>
        </is>
      </c>
      <c r="B1244" s="9" t="inlineStr">
        <is>
          <t>918838462371</t>
        </is>
      </c>
      <c r="C1244" s="9" t="n"/>
      <c r="D1244" s="9" t="n"/>
      <c r="E1244" s="9" t="n"/>
      <c r="F1244" s="9">
        <f>IFERROR(LOOKUP(2,1/('Weekly Tracker'!$E$2:$E$766=$A1244)/('Weekly Tracker'!$F$2:$F$766&lt;&gt;""),'Weekly Tracker'!$F$2:$F$766),"")</f>
        <v/>
      </c>
      <c r="G1244" s="16">
        <f>IF(F1244&lt;&gt;"",LOOKUP(2,1/('Weekly Tracker'!$E$2:$E$766=$A1244)/('Weekly Tracker'!$F$2:$F$766&lt;&gt;""),'Weekly Tracker'!$G$2:$G$766),"")</f>
        <v/>
      </c>
      <c r="H1244" s="9">
        <f>IFERROR(LOOKUP(2,1/('Weekly Tracker'!$E$2:$E$766=$A1244)/('Weekly Tracker'!$H$2:$H$766&lt;&gt;""),'Weekly Tracker'!$H$2:$H$766),"")</f>
        <v/>
      </c>
      <c r="I1244" s="16">
        <f>IF(H1244&lt;&gt;"",LOOKUP(2,1/('Weekly Tracker'!$E$2:$E$766=$A1244)/('Weekly Tracker'!$H$2:$H$766&lt;&gt;""),'Weekly Tracker'!$I$2:$I$766),"")</f>
        <v/>
      </c>
      <c r="J1244" s="9">
        <f>IFERROR(LOOKUP(2,1/('Weekly Tracker'!$E$2:$E$766=$A1244)/('Weekly Tracker'!$J$2:$J$766&lt;&gt;""),'Weekly Tracker'!$J$2:$J$766),"")</f>
        <v/>
      </c>
      <c r="K1244" s="9">
        <f>IFERROR(LOOKUP(2,1/('Weekly Tracker'!$E$2:$E$766=$A1244)/('Weekly Tracker'!$N$2:$N$766&lt;&gt;""),'Weekly Tracker'!$N$2:$N$766),"")</f>
        <v/>
      </c>
      <c r="L1244" s="9">
        <f>IFERROR(LOOKUP(2,1/('Weekly Tracker'!$E$2:$E$766=$A1244)/('Weekly Tracker'!$O$2:$O$766&lt;&gt;""),'Weekly Tracker'!$O$2:$O$766),"")</f>
        <v/>
      </c>
    </row>
    <row r="1245">
      <c r="A1245" s="9" t="inlineStr">
        <is>
          <t>Selva Murugan Nadar Scl</t>
        </is>
      </c>
      <c r="B1245" s="9" t="inlineStr">
        <is>
          <t>916383560973</t>
        </is>
      </c>
      <c r="C1245" s="9" t="n"/>
      <c r="D1245" s="9" t="n"/>
      <c r="E1245" s="9" t="n"/>
      <c r="F1245" s="9">
        <f>IFERROR(LOOKUP(2,1/('Weekly Tracker'!$E$2:$E$766=$A1245)/('Weekly Tracker'!$F$2:$F$766&lt;&gt;""),'Weekly Tracker'!$F$2:$F$766),"")</f>
        <v/>
      </c>
      <c r="G1245" s="16">
        <f>IF(F1245&lt;&gt;"",LOOKUP(2,1/('Weekly Tracker'!$E$2:$E$766=$A1245)/('Weekly Tracker'!$F$2:$F$766&lt;&gt;""),'Weekly Tracker'!$G$2:$G$766),"")</f>
        <v/>
      </c>
      <c r="H1245" s="9">
        <f>IFERROR(LOOKUP(2,1/('Weekly Tracker'!$E$2:$E$766=$A1245)/('Weekly Tracker'!$H$2:$H$766&lt;&gt;""),'Weekly Tracker'!$H$2:$H$766),"")</f>
        <v/>
      </c>
      <c r="I1245" s="16">
        <f>IF(H1245&lt;&gt;"",LOOKUP(2,1/('Weekly Tracker'!$E$2:$E$766=$A1245)/('Weekly Tracker'!$H$2:$H$766&lt;&gt;""),'Weekly Tracker'!$I$2:$I$766),"")</f>
        <v/>
      </c>
      <c r="J1245" s="9">
        <f>IFERROR(LOOKUP(2,1/('Weekly Tracker'!$E$2:$E$766=$A1245)/('Weekly Tracker'!$J$2:$J$766&lt;&gt;""),'Weekly Tracker'!$J$2:$J$766),"")</f>
        <v/>
      </c>
      <c r="K1245" s="9">
        <f>IFERROR(LOOKUP(2,1/('Weekly Tracker'!$E$2:$E$766=$A1245)/('Weekly Tracker'!$N$2:$N$766&lt;&gt;""),'Weekly Tracker'!$N$2:$N$766),"")</f>
        <v/>
      </c>
      <c r="L1245" s="9">
        <f>IFERROR(LOOKUP(2,1/('Weekly Tracker'!$E$2:$E$766=$A1245)/('Weekly Tracker'!$O$2:$O$766&lt;&gt;""),'Weekly Tracker'!$O$2:$O$766),"")</f>
        <v/>
      </c>
    </row>
    <row r="1246">
      <c r="A1246" s="9" t="inlineStr">
        <is>
          <t>Alagarsamy Infy</t>
        </is>
      </c>
      <c r="B1246" s="9" t="inlineStr">
        <is>
          <t>917200742175</t>
        </is>
      </c>
      <c r="C1246" s="9" t="n"/>
      <c r="D1246" s="9" t="n"/>
      <c r="E1246" s="9" t="inlineStr">
        <is>
          <t>Tamil Nadu, India</t>
        </is>
      </c>
      <c r="F1246" s="9">
        <f>IFERROR(LOOKUP(2,1/('Weekly Tracker'!$E$2:$E$766=$A1246)/('Weekly Tracker'!$F$2:$F$766&lt;&gt;""),'Weekly Tracker'!$F$2:$F$766),"")</f>
        <v/>
      </c>
      <c r="G1246" s="16">
        <f>IF(F1246&lt;&gt;"",LOOKUP(2,1/('Weekly Tracker'!$E$2:$E$766=$A1246)/('Weekly Tracker'!$F$2:$F$766&lt;&gt;""),'Weekly Tracker'!$G$2:$G$766),"")</f>
        <v/>
      </c>
      <c r="H1246" s="9">
        <f>IFERROR(LOOKUP(2,1/('Weekly Tracker'!$E$2:$E$766=$A1246)/('Weekly Tracker'!$H$2:$H$766&lt;&gt;""),'Weekly Tracker'!$H$2:$H$766),"")</f>
        <v/>
      </c>
      <c r="I1246" s="16">
        <f>IF(H1246&lt;&gt;"",LOOKUP(2,1/('Weekly Tracker'!$E$2:$E$766=$A1246)/('Weekly Tracker'!$H$2:$H$766&lt;&gt;""),'Weekly Tracker'!$I$2:$I$766),"")</f>
        <v/>
      </c>
      <c r="J1246" s="9">
        <f>IFERROR(LOOKUP(2,1/('Weekly Tracker'!$E$2:$E$766=$A1246)/('Weekly Tracker'!$J$2:$J$766&lt;&gt;""),'Weekly Tracker'!$J$2:$J$766),"")</f>
        <v/>
      </c>
      <c r="K1246" s="9">
        <f>IFERROR(LOOKUP(2,1/('Weekly Tracker'!$E$2:$E$766=$A1246)/('Weekly Tracker'!$N$2:$N$766&lt;&gt;""),'Weekly Tracker'!$N$2:$N$766),"")</f>
        <v/>
      </c>
      <c r="L1246" s="9">
        <f>IFERROR(LOOKUP(2,1/('Weekly Tracker'!$E$2:$E$766=$A1246)/('Weekly Tracker'!$O$2:$O$766&lt;&gt;""),'Weekly Tracker'!$O$2:$O$766),"")</f>
        <v/>
      </c>
    </row>
    <row r="1247">
      <c r="A1247" s="9" t="inlineStr">
        <is>
          <t>Rajan Rjr FB</t>
        </is>
      </c>
      <c r="B1247" s="9" t="inlineStr">
        <is>
          <t>6369-273832</t>
        </is>
      </c>
      <c r="C1247" s="9" t="n"/>
      <c r="D1247" s="9" t="n"/>
      <c r="E1247" s="9" t="n"/>
      <c r="F1247" s="9">
        <f>IFERROR(LOOKUP(2,1/('Weekly Tracker'!$E$2:$E$766=$A1247)/('Weekly Tracker'!$F$2:$F$766&lt;&gt;""),'Weekly Tracker'!$F$2:$F$766),"")</f>
        <v/>
      </c>
      <c r="G1247" s="16">
        <f>IF(F1247&lt;&gt;"",LOOKUP(2,1/('Weekly Tracker'!$E$2:$E$766=$A1247)/('Weekly Tracker'!$F$2:$F$766&lt;&gt;""),'Weekly Tracker'!$G$2:$G$766),"")</f>
        <v/>
      </c>
      <c r="H1247" s="9">
        <f>IFERROR(LOOKUP(2,1/('Weekly Tracker'!$E$2:$E$766=$A1247)/('Weekly Tracker'!$H$2:$H$766&lt;&gt;""),'Weekly Tracker'!$H$2:$H$766),"")</f>
        <v/>
      </c>
      <c r="I1247" s="16">
        <f>IF(H1247&lt;&gt;"",LOOKUP(2,1/('Weekly Tracker'!$E$2:$E$766=$A1247)/('Weekly Tracker'!$H$2:$H$766&lt;&gt;""),'Weekly Tracker'!$I$2:$I$766),"")</f>
        <v/>
      </c>
      <c r="J1247" s="9">
        <f>IFERROR(LOOKUP(2,1/('Weekly Tracker'!$E$2:$E$766=$A1247)/('Weekly Tracker'!$J$2:$J$766&lt;&gt;""),'Weekly Tracker'!$J$2:$J$766),"")</f>
        <v/>
      </c>
      <c r="K1247" s="9">
        <f>IFERROR(LOOKUP(2,1/('Weekly Tracker'!$E$2:$E$766=$A1247)/('Weekly Tracker'!$N$2:$N$766&lt;&gt;""),'Weekly Tracker'!$N$2:$N$766),"")</f>
        <v/>
      </c>
      <c r="L1247" s="9">
        <f>IFERROR(LOOKUP(2,1/('Weekly Tracker'!$E$2:$E$766=$A1247)/('Weekly Tracker'!$O$2:$O$766&lt;&gt;""),'Weekly Tracker'!$O$2:$O$766),"")</f>
        <v/>
      </c>
    </row>
    <row r="1248">
      <c r="A1248" s="9" t="inlineStr">
        <is>
          <t>Arun Jason FB</t>
        </is>
      </c>
      <c r="B1248" s="9" t="inlineStr">
        <is>
          <t>9843879709</t>
        </is>
      </c>
      <c r="C1248" s="9" t="n"/>
      <c r="D1248" s="9" t="n"/>
      <c r="E1248" s="9" t="n"/>
      <c r="F1248" s="9">
        <f>IFERROR(LOOKUP(2,1/('Weekly Tracker'!$E$2:$E$766=$A1248)/('Weekly Tracker'!$F$2:$F$766&lt;&gt;""),'Weekly Tracker'!$F$2:$F$766),"")</f>
        <v/>
      </c>
      <c r="G1248" s="16">
        <f>IF(F1248&lt;&gt;"",LOOKUP(2,1/('Weekly Tracker'!$E$2:$E$766=$A1248)/('Weekly Tracker'!$F$2:$F$766&lt;&gt;""),'Weekly Tracker'!$G$2:$G$766),"")</f>
        <v/>
      </c>
      <c r="H1248" s="9">
        <f>IFERROR(LOOKUP(2,1/('Weekly Tracker'!$E$2:$E$766=$A1248)/('Weekly Tracker'!$H$2:$H$766&lt;&gt;""),'Weekly Tracker'!$H$2:$H$766),"")</f>
        <v/>
      </c>
      <c r="I1248" s="16">
        <f>IF(H1248&lt;&gt;"",LOOKUP(2,1/('Weekly Tracker'!$E$2:$E$766=$A1248)/('Weekly Tracker'!$H$2:$H$766&lt;&gt;""),'Weekly Tracker'!$I$2:$I$766),"")</f>
        <v/>
      </c>
      <c r="J1248" s="9">
        <f>IFERROR(LOOKUP(2,1/('Weekly Tracker'!$E$2:$E$766=$A1248)/('Weekly Tracker'!$J$2:$J$766&lt;&gt;""),'Weekly Tracker'!$J$2:$J$766),"")</f>
        <v/>
      </c>
      <c r="K1248" s="9">
        <f>IFERROR(LOOKUP(2,1/('Weekly Tracker'!$E$2:$E$766=$A1248)/('Weekly Tracker'!$N$2:$N$766&lt;&gt;""),'Weekly Tracker'!$N$2:$N$766),"")</f>
        <v/>
      </c>
      <c r="L1248" s="9">
        <f>IFERROR(LOOKUP(2,1/('Weekly Tracker'!$E$2:$E$766=$A1248)/('Weekly Tracker'!$O$2:$O$766&lt;&gt;""),'Weekly Tracker'!$O$2:$O$766),"")</f>
        <v/>
      </c>
    </row>
    <row r="1249">
      <c r="A1249" s="9" t="inlineStr">
        <is>
          <t>PichaiKumar FB</t>
        </is>
      </c>
      <c r="B1249" s="9" t="inlineStr">
        <is>
          <t>9788445500</t>
        </is>
      </c>
      <c r="C1249" s="9" t="n"/>
      <c r="D1249" s="9" t="n"/>
      <c r="E1249" s="9" t="n"/>
      <c r="F1249" s="9">
        <f>IFERROR(LOOKUP(2,1/('Weekly Tracker'!$E$2:$E$766=$A1249)/('Weekly Tracker'!$F$2:$F$766&lt;&gt;""),'Weekly Tracker'!$F$2:$F$766),"")</f>
        <v/>
      </c>
      <c r="G1249" s="16">
        <f>IF(F1249&lt;&gt;"",LOOKUP(2,1/('Weekly Tracker'!$E$2:$E$766=$A1249)/('Weekly Tracker'!$F$2:$F$766&lt;&gt;""),'Weekly Tracker'!$G$2:$G$766),"")</f>
        <v/>
      </c>
      <c r="H1249" s="9">
        <f>IFERROR(LOOKUP(2,1/('Weekly Tracker'!$E$2:$E$766=$A1249)/('Weekly Tracker'!$H$2:$H$766&lt;&gt;""),'Weekly Tracker'!$H$2:$H$766),"")</f>
        <v/>
      </c>
      <c r="I1249" s="16">
        <f>IF(H1249&lt;&gt;"",LOOKUP(2,1/('Weekly Tracker'!$E$2:$E$766=$A1249)/('Weekly Tracker'!$H$2:$H$766&lt;&gt;""),'Weekly Tracker'!$I$2:$I$766),"")</f>
        <v/>
      </c>
      <c r="J1249" s="9">
        <f>IFERROR(LOOKUP(2,1/('Weekly Tracker'!$E$2:$E$766=$A1249)/('Weekly Tracker'!$J$2:$J$766&lt;&gt;""),'Weekly Tracker'!$J$2:$J$766),"")</f>
        <v/>
      </c>
      <c r="K1249" s="9">
        <f>IFERROR(LOOKUP(2,1/('Weekly Tracker'!$E$2:$E$766=$A1249)/('Weekly Tracker'!$N$2:$N$766&lt;&gt;""),'Weekly Tracker'!$N$2:$N$766),"")</f>
        <v/>
      </c>
      <c r="L1249" s="9">
        <f>IFERROR(LOOKUP(2,1/('Weekly Tracker'!$E$2:$E$766=$A1249)/('Weekly Tracker'!$O$2:$O$766&lt;&gt;""),'Weekly Tracker'!$O$2:$O$766),"")</f>
        <v/>
      </c>
    </row>
    <row r="1250">
      <c r="A1250" s="9" t="inlineStr">
        <is>
          <t>Sirajudeen Home</t>
        </is>
      </c>
      <c r="B1250" s="9" t="inlineStr">
        <is>
          <t>919025522488</t>
        </is>
      </c>
      <c r="C1250" s="9" t="n"/>
      <c r="D1250" s="9" t="n"/>
      <c r="E1250" s="9" t="n"/>
      <c r="F1250" s="9">
        <f>IFERROR(LOOKUP(2,1/('Weekly Tracker'!$E$2:$E$766=$A1250)/('Weekly Tracker'!$F$2:$F$766&lt;&gt;""),'Weekly Tracker'!$F$2:$F$766),"")</f>
        <v/>
      </c>
      <c r="G1250" s="16">
        <f>IF(F1250&lt;&gt;"",LOOKUP(2,1/('Weekly Tracker'!$E$2:$E$766=$A1250)/('Weekly Tracker'!$F$2:$F$766&lt;&gt;""),'Weekly Tracker'!$G$2:$G$766),"")</f>
        <v/>
      </c>
      <c r="H1250" s="9">
        <f>IFERROR(LOOKUP(2,1/('Weekly Tracker'!$E$2:$E$766=$A1250)/('Weekly Tracker'!$H$2:$H$766&lt;&gt;""),'Weekly Tracker'!$H$2:$H$766),"")</f>
        <v/>
      </c>
      <c r="I1250" s="16">
        <f>IF(H1250&lt;&gt;"",LOOKUP(2,1/('Weekly Tracker'!$E$2:$E$766=$A1250)/('Weekly Tracker'!$H$2:$H$766&lt;&gt;""),'Weekly Tracker'!$I$2:$I$766),"")</f>
        <v/>
      </c>
      <c r="J1250" s="9">
        <f>IFERROR(LOOKUP(2,1/('Weekly Tracker'!$E$2:$E$766=$A1250)/('Weekly Tracker'!$J$2:$J$766&lt;&gt;""),'Weekly Tracker'!$J$2:$J$766),"")</f>
        <v/>
      </c>
      <c r="K1250" s="9">
        <f>IFERROR(LOOKUP(2,1/('Weekly Tracker'!$E$2:$E$766=$A1250)/('Weekly Tracker'!$N$2:$N$766&lt;&gt;""),'Weekly Tracker'!$N$2:$N$766),"")</f>
        <v/>
      </c>
      <c r="L1250" s="9">
        <f>IFERROR(LOOKUP(2,1/('Weekly Tracker'!$E$2:$E$766=$A1250)/('Weekly Tracker'!$O$2:$O$766&lt;&gt;""),'Weekly Tracker'!$O$2:$O$766),"")</f>
        <v/>
      </c>
    </row>
    <row r="1251">
      <c r="A1251" s="9" t="inlineStr">
        <is>
          <t>Yaswanth Home</t>
        </is>
      </c>
      <c r="B1251" s="9" t="inlineStr">
        <is>
          <t>9940514542</t>
        </is>
      </c>
      <c r="C1251" s="9" t="n"/>
      <c r="D1251" s="9" t="n"/>
      <c r="E1251" s="9" t="n"/>
      <c r="F1251" s="9">
        <f>IFERROR(LOOKUP(2,1/('Weekly Tracker'!$E$2:$E$766=$A1251)/('Weekly Tracker'!$F$2:$F$766&lt;&gt;""),'Weekly Tracker'!$F$2:$F$766),"")</f>
        <v/>
      </c>
      <c r="G1251" s="16">
        <f>IF(F1251&lt;&gt;"",LOOKUP(2,1/('Weekly Tracker'!$E$2:$E$766=$A1251)/('Weekly Tracker'!$F$2:$F$766&lt;&gt;""),'Weekly Tracker'!$G$2:$G$766),"")</f>
        <v/>
      </c>
      <c r="H1251" s="9">
        <f>IFERROR(LOOKUP(2,1/('Weekly Tracker'!$E$2:$E$766=$A1251)/('Weekly Tracker'!$H$2:$H$766&lt;&gt;""),'Weekly Tracker'!$H$2:$H$766),"")</f>
        <v/>
      </c>
      <c r="I1251" s="16">
        <f>IF(H1251&lt;&gt;"",LOOKUP(2,1/('Weekly Tracker'!$E$2:$E$766=$A1251)/('Weekly Tracker'!$H$2:$H$766&lt;&gt;""),'Weekly Tracker'!$I$2:$I$766),"")</f>
        <v/>
      </c>
      <c r="J1251" s="9">
        <f>IFERROR(LOOKUP(2,1/('Weekly Tracker'!$E$2:$E$766=$A1251)/('Weekly Tracker'!$J$2:$J$766&lt;&gt;""),'Weekly Tracker'!$J$2:$J$766),"")</f>
        <v/>
      </c>
      <c r="K1251" s="9">
        <f>IFERROR(LOOKUP(2,1/('Weekly Tracker'!$E$2:$E$766=$A1251)/('Weekly Tracker'!$N$2:$N$766&lt;&gt;""),'Weekly Tracker'!$N$2:$N$766),"")</f>
        <v/>
      </c>
      <c r="L1251" s="9">
        <f>IFERROR(LOOKUP(2,1/('Weekly Tracker'!$E$2:$E$766=$A1251)/('Weekly Tracker'!$O$2:$O$766&lt;&gt;""),'Weekly Tracker'!$O$2:$O$766),"")</f>
        <v/>
      </c>
    </row>
    <row r="1252">
      <c r="A1252" s="9" t="inlineStr">
        <is>
          <t>Vikram Infy</t>
        </is>
      </c>
      <c r="B1252" s="9" t="inlineStr">
        <is>
          <t>918754146588</t>
        </is>
      </c>
      <c r="C1252" s="9" t="n"/>
      <c r="D1252" s="9" t="n"/>
      <c r="E1252" s="9" t="n"/>
      <c r="F1252" s="9">
        <f>IFERROR(LOOKUP(2,1/('Weekly Tracker'!$E$2:$E$766=$A1252)/('Weekly Tracker'!$F$2:$F$766&lt;&gt;""),'Weekly Tracker'!$F$2:$F$766),"")</f>
        <v/>
      </c>
      <c r="G1252" s="16">
        <f>IF(F1252&lt;&gt;"",LOOKUP(2,1/('Weekly Tracker'!$E$2:$E$766=$A1252)/('Weekly Tracker'!$F$2:$F$766&lt;&gt;""),'Weekly Tracker'!$G$2:$G$766),"")</f>
        <v/>
      </c>
      <c r="H1252" s="9">
        <f>IFERROR(LOOKUP(2,1/('Weekly Tracker'!$E$2:$E$766=$A1252)/('Weekly Tracker'!$H$2:$H$766&lt;&gt;""),'Weekly Tracker'!$H$2:$H$766),"")</f>
        <v/>
      </c>
      <c r="I1252" s="16">
        <f>IF(H1252&lt;&gt;"",LOOKUP(2,1/('Weekly Tracker'!$E$2:$E$766=$A1252)/('Weekly Tracker'!$H$2:$H$766&lt;&gt;""),'Weekly Tracker'!$I$2:$I$766),"")</f>
        <v/>
      </c>
      <c r="J1252" s="9">
        <f>IFERROR(LOOKUP(2,1/('Weekly Tracker'!$E$2:$E$766=$A1252)/('Weekly Tracker'!$J$2:$J$766&lt;&gt;""),'Weekly Tracker'!$J$2:$J$766),"")</f>
        <v/>
      </c>
      <c r="K1252" s="9">
        <f>IFERROR(LOOKUP(2,1/('Weekly Tracker'!$E$2:$E$766=$A1252)/('Weekly Tracker'!$N$2:$N$766&lt;&gt;""),'Weekly Tracker'!$N$2:$N$766),"")</f>
        <v/>
      </c>
      <c r="L1252" s="9">
        <f>IFERROR(LOOKUP(2,1/('Weekly Tracker'!$E$2:$E$766=$A1252)/('Weekly Tracker'!$O$2:$O$766&lt;&gt;""),'Weekly Tracker'!$O$2:$O$766),"")</f>
        <v/>
      </c>
    </row>
    <row r="1253">
      <c r="A1253" s="9" t="inlineStr">
        <is>
          <t>Home Landline</t>
        </is>
      </c>
      <c r="B1253" s="9" t="inlineStr">
        <is>
          <t>04633-244309</t>
        </is>
      </c>
      <c r="C1253" s="9" t="n"/>
      <c r="D1253" s="9" t="n"/>
      <c r="E1253" s="9" t="n"/>
      <c r="F1253" s="9">
        <f>IFERROR(LOOKUP(2,1/('Weekly Tracker'!$E$2:$E$766=$A1253)/('Weekly Tracker'!$F$2:$F$766&lt;&gt;""),'Weekly Tracker'!$F$2:$F$766),"")</f>
        <v/>
      </c>
      <c r="G1253" s="16">
        <f>IF(F1253&lt;&gt;"",LOOKUP(2,1/('Weekly Tracker'!$E$2:$E$766=$A1253)/('Weekly Tracker'!$F$2:$F$766&lt;&gt;""),'Weekly Tracker'!$G$2:$G$766),"")</f>
        <v/>
      </c>
      <c r="H1253" s="9">
        <f>IFERROR(LOOKUP(2,1/('Weekly Tracker'!$E$2:$E$766=$A1253)/('Weekly Tracker'!$H$2:$H$766&lt;&gt;""),'Weekly Tracker'!$H$2:$H$766),"")</f>
        <v/>
      </c>
      <c r="I1253" s="16">
        <f>IF(H1253&lt;&gt;"",LOOKUP(2,1/('Weekly Tracker'!$E$2:$E$766=$A1253)/('Weekly Tracker'!$H$2:$H$766&lt;&gt;""),'Weekly Tracker'!$I$2:$I$766),"")</f>
        <v/>
      </c>
      <c r="J1253" s="9">
        <f>IFERROR(LOOKUP(2,1/('Weekly Tracker'!$E$2:$E$766=$A1253)/('Weekly Tracker'!$J$2:$J$766&lt;&gt;""),'Weekly Tracker'!$J$2:$J$766),"")</f>
        <v/>
      </c>
      <c r="K1253" s="9">
        <f>IFERROR(LOOKUP(2,1/('Weekly Tracker'!$E$2:$E$766=$A1253)/('Weekly Tracker'!$N$2:$N$766&lt;&gt;""),'Weekly Tracker'!$N$2:$N$766),"")</f>
        <v/>
      </c>
      <c r="L1253" s="9">
        <f>IFERROR(LOOKUP(2,1/('Weekly Tracker'!$E$2:$E$766=$A1253)/('Weekly Tracker'!$O$2:$O$766&lt;&gt;""),'Weekly Tracker'!$O$2:$O$766),"")</f>
        <v/>
      </c>
    </row>
    <row r="1254">
      <c r="A1254" s="9" t="inlineStr">
        <is>
          <t>Prem Kumar Scl Fb</t>
        </is>
      </c>
      <c r="B1254" s="9" t="inlineStr">
        <is>
          <t>7299473660</t>
        </is>
      </c>
      <c r="C1254" s="9" t="n"/>
      <c r="D1254" s="9" t="n"/>
      <c r="E1254" s="9" t="n"/>
      <c r="F1254" s="9">
        <f>IFERROR(LOOKUP(2,1/('Weekly Tracker'!$E$2:$E$766=$A1254)/('Weekly Tracker'!$F$2:$F$766&lt;&gt;""),'Weekly Tracker'!$F$2:$F$766),"")</f>
        <v/>
      </c>
      <c r="G1254" s="16">
        <f>IF(F1254&lt;&gt;"",LOOKUP(2,1/('Weekly Tracker'!$E$2:$E$766=$A1254)/('Weekly Tracker'!$F$2:$F$766&lt;&gt;""),'Weekly Tracker'!$G$2:$G$766),"")</f>
        <v/>
      </c>
      <c r="H1254" s="9">
        <f>IFERROR(LOOKUP(2,1/('Weekly Tracker'!$E$2:$E$766=$A1254)/('Weekly Tracker'!$H$2:$H$766&lt;&gt;""),'Weekly Tracker'!$H$2:$H$766),"")</f>
        <v/>
      </c>
      <c r="I1254" s="16">
        <f>IF(H1254&lt;&gt;"",LOOKUP(2,1/('Weekly Tracker'!$E$2:$E$766=$A1254)/('Weekly Tracker'!$H$2:$H$766&lt;&gt;""),'Weekly Tracker'!$I$2:$I$766),"")</f>
        <v/>
      </c>
      <c r="J1254" s="9">
        <f>IFERROR(LOOKUP(2,1/('Weekly Tracker'!$E$2:$E$766=$A1254)/('Weekly Tracker'!$J$2:$J$766&lt;&gt;""),'Weekly Tracker'!$J$2:$J$766),"")</f>
        <v/>
      </c>
      <c r="K1254" s="9">
        <f>IFERROR(LOOKUP(2,1/('Weekly Tracker'!$E$2:$E$766=$A1254)/('Weekly Tracker'!$N$2:$N$766&lt;&gt;""),'Weekly Tracker'!$N$2:$N$766),"")</f>
        <v/>
      </c>
      <c r="L1254" s="9">
        <f>IFERROR(LOOKUP(2,1/('Weekly Tracker'!$E$2:$E$766=$A1254)/('Weekly Tracker'!$O$2:$O$766&lt;&gt;""),'Weekly Tracker'!$O$2:$O$766),"")</f>
        <v/>
      </c>
    </row>
    <row r="1255">
      <c r="A1255" s="9" t="inlineStr">
        <is>
          <t>Vinoth Kumar Fb</t>
        </is>
      </c>
      <c r="B1255" s="9" t="inlineStr">
        <is>
          <t>9677471731</t>
        </is>
      </c>
      <c r="C1255" s="9" t="n"/>
      <c r="D1255" s="9" t="n"/>
      <c r="E1255" s="9" t="n"/>
      <c r="F1255" s="9">
        <f>IFERROR(LOOKUP(2,1/('Weekly Tracker'!$E$2:$E$766=$A1255)/('Weekly Tracker'!$F$2:$F$766&lt;&gt;""),'Weekly Tracker'!$F$2:$F$766),"")</f>
        <v/>
      </c>
      <c r="G1255" s="16">
        <f>IF(F1255&lt;&gt;"",LOOKUP(2,1/('Weekly Tracker'!$E$2:$E$766=$A1255)/('Weekly Tracker'!$F$2:$F$766&lt;&gt;""),'Weekly Tracker'!$G$2:$G$766),"")</f>
        <v/>
      </c>
      <c r="H1255" s="9">
        <f>IFERROR(LOOKUP(2,1/('Weekly Tracker'!$E$2:$E$766=$A1255)/('Weekly Tracker'!$H$2:$H$766&lt;&gt;""),'Weekly Tracker'!$H$2:$H$766),"")</f>
        <v/>
      </c>
      <c r="I1255" s="16">
        <f>IF(H1255&lt;&gt;"",LOOKUP(2,1/('Weekly Tracker'!$E$2:$E$766=$A1255)/('Weekly Tracker'!$H$2:$H$766&lt;&gt;""),'Weekly Tracker'!$I$2:$I$766),"")</f>
        <v/>
      </c>
      <c r="J1255" s="9">
        <f>IFERROR(LOOKUP(2,1/('Weekly Tracker'!$E$2:$E$766=$A1255)/('Weekly Tracker'!$J$2:$J$766&lt;&gt;""),'Weekly Tracker'!$J$2:$J$766),"")</f>
        <v/>
      </c>
      <c r="K1255" s="9">
        <f>IFERROR(LOOKUP(2,1/('Weekly Tracker'!$E$2:$E$766=$A1255)/('Weekly Tracker'!$N$2:$N$766&lt;&gt;""),'Weekly Tracker'!$N$2:$N$766),"")</f>
        <v/>
      </c>
      <c r="L1255" s="9">
        <f>IFERROR(LOOKUP(2,1/('Weekly Tracker'!$E$2:$E$766=$A1255)/('Weekly Tracker'!$O$2:$O$766&lt;&gt;""),'Weekly Tracker'!$O$2:$O$766),"")</f>
        <v/>
      </c>
    </row>
    <row r="1256">
      <c r="A1256" s="9" t="inlineStr">
        <is>
          <t>Niyazkhan qs Urja</t>
        </is>
      </c>
      <c r="B1256" s="9" t="inlineStr">
        <is>
          <t>919677205479</t>
        </is>
      </c>
      <c r="C1256" s="9" t="n"/>
      <c r="D1256" s="9" t="n"/>
      <c r="E1256" s="9" t="n"/>
      <c r="F1256" s="9">
        <f>IFERROR(LOOKUP(2,1/('Weekly Tracker'!$E$2:$E$766=$A1256)/('Weekly Tracker'!$F$2:$F$766&lt;&gt;""),'Weekly Tracker'!$F$2:$F$766),"")</f>
        <v/>
      </c>
      <c r="G1256" s="16">
        <f>IF(F1256&lt;&gt;"",LOOKUP(2,1/('Weekly Tracker'!$E$2:$E$766=$A1256)/('Weekly Tracker'!$F$2:$F$766&lt;&gt;""),'Weekly Tracker'!$G$2:$G$766),"")</f>
        <v/>
      </c>
      <c r="H1256" s="9">
        <f>IFERROR(LOOKUP(2,1/('Weekly Tracker'!$E$2:$E$766=$A1256)/('Weekly Tracker'!$H$2:$H$766&lt;&gt;""),'Weekly Tracker'!$H$2:$H$766),"")</f>
        <v/>
      </c>
      <c r="I1256" s="16">
        <f>IF(H1256&lt;&gt;"",LOOKUP(2,1/('Weekly Tracker'!$E$2:$E$766=$A1256)/('Weekly Tracker'!$H$2:$H$766&lt;&gt;""),'Weekly Tracker'!$I$2:$I$766),"")</f>
        <v/>
      </c>
      <c r="J1256" s="9">
        <f>IFERROR(LOOKUP(2,1/('Weekly Tracker'!$E$2:$E$766=$A1256)/('Weekly Tracker'!$J$2:$J$766&lt;&gt;""),'Weekly Tracker'!$J$2:$J$766),"")</f>
        <v/>
      </c>
      <c r="K1256" s="9">
        <f>IFERROR(LOOKUP(2,1/('Weekly Tracker'!$E$2:$E$766=$A1256)/('Weekly Tracker'!$N$2:$N$766&lt;&gt;""),'Weekly Tracker'!$N$2:$N$766),"")</f>
        <v/>
      </c>
      <c r="L1256" s="9">
        <f>IFERROR(LOOKUP(2,1/('Weekly Tracker'!$E$2:$E$766=$A1256)/('Weekly Tracker'!$O$2:$O$766&lt;&gt;""),'Weekly Tracker'!$O$2:$O$766),"")</f>
        <v/>
      </c>
    </row>
    <row r="1257">
      <c r="A1257" s="9" t="inlineStr">
        <is>
          <t>Ganesh Natarajan Meetup</t>
        </is>
      </c>
      <c r="B1257" s="9" t="inlineStr">
        <is>
          <t>919841310975</t>
        </is>
      </c>
      <c r="C1257" s="9" t="n"/>
      <c r="D1257" s="9" t="n"/>
      <c r="E1257" s="9" t="n"/>
      <c r="F1257" s="9">
        <f>IFERROR(LOOKUP(2,1/('Weekly Tracker'!$E$2:$E$766=$A1257)/('Weekly Tracker'!$F$2:$F$766&lt;&gt;""),'Weekly Tracker'!$F$2:$F$766),"")</f>
        <v/>
      </c>
      <c r="G1257" s="16">
        <f>IF(F1257&lt;&gt;"",LOOKUP(2,1/('Weekly Tracker'!$E$2:$E$766=$A1257)/('Weekly Tracker'!$F$2:$F$766&lt;&gt;""),'Weekly Tracker'!$G$2:$G$766),"")</f>
        <v/>
      </c>
      <c r="H1257" s="9">
        <f>IFERROR(LOOKUP(2,1/('Weekly Tracker'!$E$2:$E$766=$A1257)/('Weekly Tracker'!$H$2:$H$766&lt;&gt;""),'Weekly Tracker'!$H$2:$H$766),"")</f>
        <v/>
      </c>
      <c r="I1257" s="16">
        <f>IF(H1257&lt;&gt;"",LOOKUP(2,1/('Weekly Tracker'!$E$2:$E$766=$A1257)/('Weekly Tracker'!$H$2:$H$766&lt;&gt;""),'Weekly Tracker'!$I$2:$I$766),"")</f>
        <v/>
      </c>
      <c r="J1257" s="9">
        <f>IFERROR(LOOKUP(2,1/('Weekly Tracker'!$E$2:$E$766=$A1257)/('Weekly Tracker'!$J$2:$J$766&lt;&gt;""),'Weekly Tracker'!$J$2:$J$766),"")</f>
        <v/>
      </c>
      <c r="K1257" s="9">
        <f>IFERROR(LOOKUP(2,1/('Weekly Tracker'!$E$2:$E$766=$A1257)/('Weekly Tracker'!$N$2:$N$766&lt;&gt;""),'Weekly Tracker'!$N$2:$N$766),"")</f>
        <v/>
      </c>
      <c r="L1257" s="9">
        <f>IFERROR(LOOKUP(2,1/('Weekly Tracker'!$E$2:$E$766=$A1257)/('Weekly Tracker'!$O$2:$O$766&lt;&gt;""),'Weekly Tracker'!$O$2:$O$766),"")</f>
        <v/>
      </c>
    </row>
    <row r="1258">
      <c r="A1258" s="9" t="inlineStr">
        <is>
          <t>Muthuraja Puli Scl</t>
        </is>
      </c>
      <c r="B1258" s="9" t="inlineStr">
        <is>
          <t>+91 99945 79994</t>
        </is>
      </c>
      <c r="C1258" s="9" t="n"/>
      <c r="D1258" s="9" t="n"/>
      <c r="E1258" s="9" t="n"/>
      <c r="F1258" s="9">
        <f>IFERROR(LOOKUP(2,1/('Weekly Tracker'!$E$2:$E$766=$A1258)/('Weekly Tracker'!$F$2:$F$766&lt;&gt;""),'Weekly Tracker'!$F$2:$F$766),"")</f>
        <v/>
      </c>
      <c r="G1258" s="16">
        <f>IF(F1258&lt;&gt;"",LOOKUP(2,1/('Weekly Tracker'!$E$2:$E$766=$A1258)/('Weekly Tracker'!$F$2:$F$766&lt;&gt;""),'Weekly Tracker'!$G$2:$G$766),"")</f>
        <v/>
      </c>
      <c r="H1258" s="9">
        <f>IFERROR(LOOKUP(2,1/('Weekly Tracker'!$E$2:$E$766=$A1258)/('Weekly Tracker'!$H$2:$H$766&lt;&gt;""),'Weekly Tracker'!$H$2:$H$766),"")</f>
        <v/>
      </c>
      <c r="I1258" s="16">
        <f>IF(H1258&lt;&gt;"",LOOKUP(2,1/('Weekly Tracker'!$E$2:$E$766=$A1258)/('Weekly Tracker'!$H$2:$H$766&lt;&gt;""),'Weekly Tracker'!$I$2:$I$766),"")</f>
        <v/>
      </c>
      <c r="J1258" s="9">
        <f>IFERROR(LOOKUP(2,1/('Weekly Tracker'!$E$2:$E$766=$A1258)/('Weekly Tracker'!$J$2:$J$766&lt;&gt;""),'Weekly Tracker'!$J$2:$J$766),"")</f>
        <v/>
      </c>
      <c r="K1258" s="9">
        <f>IFERROR(LOOKUP(2,1/('Weekly Tracker'!$E$2:$E$766=$A1258)/('Weekly Tracker'!$N$2:$N$766&lt;&gt;""),'Weekly Tracker'!$N$2:$N$766),"")</f>
        <v/>
      </c>
      <c r="L1258" s="9">
        <f>IFERROR(LOOKUP(2,1/('Weekly Tracker'!$E$2:$E$766=$A1258)/('Weekly Tracker'!$O$2:$O$766&lt;&gt;""),'Weekly Tracker'!$O$2:$O$766),"")</f>
        <v/>
      </c>
    </row>
    <row r="1259">
      <c r="A1259" s="9" t="inlineStr">
        <is>
          <t>Uvraj Uvi FB</t>
        </is>
      </c>
      <c r="B1259" s="9" t="inlineStr">
        <is>
          <t>9629334324</t>
        </is>
      </c>
      <c r="C1259" s="9" t="n"/>
      <c r="D1259" s="9" t="n"/>
      <c r="E1259" s="9" t="n"/>
      <c r="F1259" s="9">
        <f>IFERROR(LOOKUP(2,1/('Weekly Tracker'!$E$2:$E$766=$A1259)/('Weekly Tracker'!$F$2:$F$766&lt;&gt;""),'Weekly Tracker'!$F$2:$F$766),"")</f>
        <v/>
      </c>
      <c r="G1259" s="16">
        <f>IF(F1259&lt;&gt;"",LOOKUP(2,1/('Weekly Tracker'!$E$2:$E$766=$A1259)/('Weekly Tracker'!$F$2:$F$766&lt;&gt;""),'Weekly Tracker'!$G$2:$G$766),"")</f>
        <v/>
      </c>
      <c r="H1259" s="9">
        <f>IFERROR(LOOKUP(2,1/('Weekly Tracker'!$E$2:$E$766=$A1259)/('Weekly Tracker'!$H$2:$H$766&lt;&gt;""),'Weekly Tracker'!$H$2:$H$766),"")</f>
        <v/>
      </c>
      <c r="I1259" s="16">
        <f>IF(H1259&lt;&gt;"",LOOKUP(2,1/('Weekly Tracker'!$E$2:$E$766=$A1259)/('Weekly Tracker'!$H$2:$H$766&lt;&gt;""),'Weekly Tracker'!$I$2:$I$766),"")</f>
        <v/>
      </c>
      <c r="J1259" s="9">
        <f>IFERROR(LOOKUP(2,1/('Weekly Tracker'!$E$2:$E$766=$A1259)/('Weekly Tracker'!$J$2:$J$766&lt;&gt;""),'Weekly Tracker'!$J$2:$J$766),"")</f>
        <v/>
      </c>
      <c r="K1259" s="9">
        <f>IFERROR(LOOKUP(2,1/('Weekly Tracker'!$E$2:$E$766=$A1259)/('Weekly Tracker'!$N$2:$N$766&lt;&gt;""),'Weekly Tracker'!$N$2:$N$766),"")</f>
        <v/>
      </c>
      <c r="L1259" s="9">
        <f>IFERROR(LOOKUP(2,1/('Weekly Tracker'!$E$2:$E$766=$A1259)/('Weekly Tracker'!$O$2:$O$766&lt;&gt;""),'Weekly Tracker'!$O$2:$O$766),"")</f>
        <v/>
      </c>
    </row>
    <row r="1260">
      <c r="A1260" s="9" t="inlineStr">
        <is>
          <t>Annan</t>
        </is>
      </c>
      <c r="B1260" s="9" t="inlineStr">
        <is>
          <t>919842591011</t>
        </is>
      </c>
      <c r="C1260" s="9" t="n"/>
      <c r="D1260" s="9" t="n"/>
      <c r="E1260" s="9" t="n"/>
      <c r="F1260" s="9">
        <f>IFERROR(LOOKUP(2,1/('Weekly Tracker'!$E$2:$E$766=$A1260)/('Weekly Tracker'!$F$2:$F$766&lt;&gt;""),'Weekly Tracker'!$F$2:$F$766),"")</f>
        <v/>
      </c>
      <c r="G1260" s="16">
        <f>IF(F1260&lt;&gt;"",LOOKUP(2,1/('Weekly Tracker'!$E$2:$E$766=$A1260)/('Weekly Tracker'!$F$2:$F$766&lt;&gt;""),'Weekly Tracker'!$G$2:$G$766),"")</f>
        <v/>
      </c>
      <c r="H1260" s="9">
        <f>IFERROR(LOOKUP(2,1/('Weekly Tracker'!$E$2:$E$766=$A1260)/('Weekly Tracker'!$H$2:$H$766&lt;&gt;""),'Weekly Tracker'!$H$2:$H$766),"")</f>
        <v/>
      </c>
      <c r="I1260" s="16">
        <f>IF(H1260&lt;&gt;"",LOOKUP(2,1/('Weekly Tracker'!$E$2:$E$766=$A1260)/('Weekly Tracker'!$H$2:$H$766&lt;&gt;""),'Weekly Tracker'!$I$2:$I$766),"")</f>
        <v/>
      </c>
      <c r="J1260" s="9">
        <f>IFERROR(LOOKUP(2,1/('Weekly Tracker'!$E$2:$E$766=$A1260)/('Weekly Tracker'!$J$2:$J$766&lt;&gt;""),'Weekly Tracker'!$J$2:$J$766),"")</f>
        <v/>
      </c>
      <c r="K1260" s="9">
        <f>IFERROR(LOOKUP(2,1/('Weekly Tracker'!$E$2:$E$766=$A1260)/('Weekly Tracker'!$N$2:$N$766&lt;&gt;""),'Weekly Tracker'!$N$2:$N$766),"")</f>
        <v/>
      </c>
      <c r="L1260" s="9">
        <f>IFERROR(LOOKUP(2,1/('Weekly Tracker'!$E$2:$E$766=$A1260)/('Weekly Tracker'!$O$2:$O$766&lt;&gt;""),'Weekly Tracker'!$O$2:$O$766),"")</f>
        <v/>
      </c>
    </row>
    <row r="1261">
      <c r="A1261" s="9" t="inlineStr">
        <is>
          <t>Pawan Kumar Prajapati HCL</t>
        </is>
      </c>
      <c r="B1261" s="9" t="inlineStr">
        <is>
          <t>8400608525</t>
        </is>
      </c>
      <c r="C1261" s="9" t="n"/>
      <c r="D1261" s="9" t="n"/>
      <c r="E1261" s="9" t="n"/>
      <c r="F1261" s="9">
        <f>IFERROR(LOOKUP(2,1/('Weekly Tracker'!$E$2:$E$766=$A1261)/('Weekly Tracker'!$F$2:$F$766&lt;&gt;""),'Weekly Tracker'!$F$2:$F$766),"")</f>
        <v/>
      </c>
      <c r="G1261" s="16">
        <f>IF(F1261&lt;&gt;"",LOOKUP(2,1/('Weekly Tracker'!$E$2:$E$766=$A1261)/('Weekly Tracker'!$F$2:$F$766&lt;&gt;""),'Weekly Tracker'!$G$2:$G$766),"")</f>
        <v/>
      </c>
      <c r="H1261" s="9">
        <f>IFERROR(LOOKUP(2,1/('Weekly Tracker'!$E$2:$E$766=$A1261)/('Weekly Tracker'!$H$2:$H$766&lt;&gt;""),'Weekly Tracker'!$H$2:$H$766),"")</f>
        <v/>
      </c>
      <c r="I1261" s="16">
        <f>IF(H1261&lt;&gt;"",LOOKUP(2,1/('Weekly Tracker'!$E$2:$E$766=$A1261)/('Weekly Tracker'!$H$2:$H$766&lt;&gt;""),'Weekly Tracker'!$I$2:$I$766),"")</f>
        <v/>
      </c>
      <c r="J1261" s="9">
        <f>IFERROR(LOOKUP(2,1/('Weekly Tracker'!$E$2:$E$766=$A1261)/('Weekly Tracker'!$J$2:$J$766&lt;&gt;""),'Weekly Tracker'!$J$2:$J$766),"")</f>
        <v/>
      </c>
      <c r="K1261" s="9">
        <f>IFERROR(LOOKUP(2,1/('Weekly Tracker'!$E$2:$E$766=$A1261)/('Weekly Tracker'!$N$2:$N$766&lt;&gt;""),'Weekly Tracker'!$N$2:$N$766),"")</f>
        <v/>
      </c>
      <c r="L1261" s="9">
        <f>IFERROR(LOOKUP(2,1/('Weekly Tracker'!$E$2:$E$766=$A1261)/('Weekly Tracker'!$O$2:$O$766&lt;&gt;""),'Weekly Tracker'!$O$2:$O$766),"")</f>
        <v/>
      </c>
    </row>
    <row r="1262">
      <c r="A1262" s="9" t="inlineStr">
        <is>
          <t>Vignesh Bang</t>
        </is>
      </c>
      <c r="B1262" s="9" t="inlineStr">
        <is>
          <t>917904222469</t>
        </is>
      </c>
      <c r="C1262" s="9" t="n"/>
      <c r="D1262" s="9" t="n"/>
      <c r="E1262" s="9" t="n"/>
      <c r="F1262" s="9">
        <f>IFERROR(LOOKUP(2,1/('Weekly Tracker'!$E$2:$E$766=$A1262)/('Weekly Tracker'!$F$2:$F$766&lt;&gt;""),'Weekly Tracker'!$F$2:$F$766),"")</f>
        <v/>
      </c>
      <c r="G1262" s="16">
        <f>IF(F1262&lt;&gt;"",LOOKUP(2,1/('Weekly Tracker'!$E$2:$E$766=$A1262)/('Weekly Tracker'!$F$2:$F$766&lt;&gt;""),'Weekly Tracker'!$G$2:$G$766),"")</f>
        <v/>
      </c>
      <c r="H1262" s="9">
        <f>IFERROR(LOOKUP(2,1/('Weekly Tracker'!$E$2:$E$766=$A1262)/('Weekly Tracker'!$H$2:$H$766&lt;&gt;""),'Weekly Tracker'!$H$2:$H$766),"")</f>
        <v/>
      </c>
      <c r="I1262" s="16">
        <f>IF(H1262&lt;&gt;"",LOOKUP(2,1/('Weekly Tracker'!$E$2:$E$766=$A1262)/('Weekly Tracker'!$H$2:$H$766&lt;&gt;""),'Weekly Tracker'!$I$2:$I$766),"")</f>
        <v/>
      </c>
      <c r="J1262" s="9">
        <f>IFERROR(LOOKUP(2,1/('Weekly Tracker'!$E$2:$E$766=$A1262)/('Weekly Tracker'!$J$2:$J$766&lt;&gt;""),'Weekly Tracker'!$J$2:$J$766),"")</f>
        <v/>
      </c>
      <c r="K1262" s="9">
        <f>IFERROR(LOOKUP(2,1/('Weekly Tracker'!$E$2:$E$766=$A1262)/('Weekly Tracker'!$N$2:$N$766&lt;&gt;""),'Weekly Tracker'!$N$2:$N$766),"")</f>
        <v/>
      </c>
      <c r="L1262" s="9">
        <f>IFERROR(LOOKUP(2,1/('Weekly Tracker'!$E$2:$E$766=$A1262)/('Weekly Tracker'!$O$2:$O$766&lt;&gt;""),'Weekly Tracker'!$O$2:$O$766),"")</f>
        <v/>
      </c>
    </row>
    <row r="1263">
      <c r="A1263" s="9" t="inlineStr">
        <is>
          <t>Manoj Thanga Durai Urja</t>
        </is>
      </c>
      <c r="B1263" s="9" t="inlineStr">
        <is>
          <t>8122442408</t>
        </is>
      </c>
      <c r="C1263" s="9" t="n"/>
      <c r="D1263" s="9" t="n"/>
      <c r="E1263" s="9" t="n"/>
      <c r="F1263" s="9">
        <f>IFERROR(LOOKUP(2,1/('Weekly Tracker'!$E$2:$E$766=$A1263)/('Weekly Tracker'!$F$2:$F$766&lt;&gt;""),'Weekly Tracker'!$F$2:$F$766),"")</f>
        <v/>
      </c>
      <c r="G1263" s="16">
        <f>IF(F1263&lt;&gt;"",LOOKUP(2,1/('Weekly Tracker'!$E$2:$E$766=$A1263)/('Weekly Tracker'!$F$2:$F$766&lt;&gt;""),'Weekly Tracker'!$G$2:$G$766),"")</f>
        <v/>
      </c>
      <c r="H1263" s="9">
        <f>IFERROR(LOOKUP(2,1/('Weekly Tracker'!$E$2:$E$766=$A1263)/('Weekly Tracker'!$H$2:$H$766&lt;&gt;""),'Weekly Tracker'!$H$2:$H$766),"")</f>
        <v/>
      </c>
      <c r="I1263" s="16">
        <f>IF(H1263&lt;&gt;"",LOOKUP(2,1/('Weekly Tracker'!$E$2:$E$766=$A1263)/('Weekly Tracker'!$H$2:$H$766&lt;&gt;""),'Weekly Tracker'!$I$2:$I$766),"")</f>
        <v/>
      </c>
      <c r="J1263" s="9">
        <f>IFERROR(LOOKUP(2,1/('Weekly Tracker'!$E$2:$E$766=$A1263)/('Weekly Tracker'!$J$2:$J$766&lt;&gt;""),'Weekly Tracker'!$J$2:$J$766),"")</f>
        <v/>
      </c>
      <c r="K1263" s="9">
        <f>IFERROR(LOOKUP(2,1/('Weekly Tracker'!$E$2:$E$766=$A1263)/('Weekly Tracker'!$N$2:$N$766&lt;&gt;""),'Weekly Tracker'!$N$2:$N$766),"")</f>
        <v/>
      </c>
      <c r="L1263" s="9">
        <f>IFERROR(LOOKUP(2,1/('Weekly Tracker'!$E$2:$E$766=$A1263)/('Weekly Tracker'!$O$2:$O$766&lt;&gt;""),'Weekly Tracker'!$O$2:$O$766),"")</f>
        <v/>
      </c>
    </row>
    <row r="1264">
      <c r="A1264" s="9" t="inlineStr">
        <is>
          <t>Muthu Kumeresan FB</t>
        </is>
      </c>
      <c r="B1264" s="9" t="inlineStr">
        <is>
          <t>918754707192</t>
        </is>
      </c>
      <c r="C1264" s="9" t="n"/>
      <c r="D1264" s="9" t="n"/>
      <c r="E1264" s="9" t="n"/>
      <c r="F1264" s="9">
        <f>IFERROR(LOOKUP(2,1/('Weekly Tracker'!$E$2:$E$766=$A1264)/('Weekly Tracker'!$F$2:$F$766&lt;&gt;""),'Weekly Tracker'!$F$2:$F$766),"")</f>
        <v/>
      </c>
      <c r="G1264" s="16">
        <f>IF(F1264&lt;&gt;"",LOOKUP(2,1/('Weekly Tracker'!$E$2:$E$766=$A1264)/('Weekly Tracker'!$F$2:$F$766&lt;&gt;""),'Weekly Tracker'!$G$2:$G$766),"")</f>
        <v/>
      </c>
      <c r="H1264" s="9">
        <f>IFERROR(LOOKUP(2,1/('Weekly Tracker'!$E$2:$E$766=$A1264)/('Weekly Tracker'!$H$2:$H$766&lt;&gt;""),'Weekly Tracker'!$H$2:$H$766),"")</f>
        <v/>
      </c>
      <c r="I1264" s="16">
        <f>IF(H1264&lt;&gt;"",LOOKUP(2,1/('Weekly Tracker'!$E$2:$E$766=$A1264)/('Weekly Tracker'!$H$2:$H$766&lt;&gt;""),'Weekly Tracker'!$I$2:$I$766),"")</f>
        <v/>
      </c>
      <c r="J1264" s="9">
        <f>IFERROR(LOOKUP(2,1/('Weekly Tracker'!$E$2:$E$766=$A1264)/('Weekly Tracker'!$J$2:$J$766&lt;&gt;""),'Weekly Tracker'!$J$2:$J$766),"")</f>
        <v/>
      </c>
      <c r="K1264" s="9">
        <f>IFERROR(LOOKUP(2,1/('Weekly Tracker'!$E$2:$E$766=$A1264)/('Weekly Tracker'!$N$2:$N$766&lt;&gt;""),'Weekly Tracker'!$N$2:$N$766),"")</f>
        <v/>
      </c>
      <c r="L1264" s="9">
        <f>IFERROR(LOOKUP(2,1/('Weekly Tracker'!$E$2:$E$766=$A1264)/('Weekly Tracker'!$O$2:$O$766&lt;&gt;""),'Weekly Tracker'!$O$2:$O$766),"")</f>
        <v/>
      </c>
    </row>
    <row r="1265">
      <c r="A1265" s="9" t="inlineStr">
        <is>
          <t>Vinoth Kannan Scl</t>
        </is>
      </c>
      <c r="B1265" s="9" t="inlineStr">
        <is>
          <t>+91 75069 68495, 917667023308</t>
        </is>
      </c>
      <c r="C1265" s="9" t="n"/>
      <c r="D1265" s="9" t="n"/>
      <c r="E1265" s="9" t="n"/>
      <c r="F1265" s="9">
        <f>IFERROR(LOOKUP(2,1/('Weekly Tracker'!$E$2:$E$766=$A1265)/('Weekly Tracker'!$F$2:$F$766&lt;&gt;""),'Weekly Tracker'!$F$2:$F$766),"")</f>
        <v/>
      </c>
      <c r="G1265" s="16">
        <f>IF(F1265&lt;&gt;"",LOOKUP(2,1/('Weekly Tracker'!$E$2:$E$766=$A1265)/('Weekly Tracker'!$F$2:$F$766&lt;&gt;""),'Weekly Tracker'!$G$2:$G$766),"")</f>
        <v/>
      </c>
      <c r="H1265" s="9">
        <f>IFERROR(LOOKUP(2,1/('Weekly Tracker'!$E$2:$E$766=$A1265)/('Weekly Tracker'!$H$2:$H$766&lt;&gt;""),'Weekly Tracker'!$H$2:$H$766),"")</f>
        <v/>
      </c>
      <c r="I1265" s="16">
        <f>IF(H1265&lt;&gt;"",LOOKUP(2,1/('Weekly Tracker'!$E$2:$E$766=$A1265)/('Weekly Tracker'!$H$2:$H$766&lt;&gt;""),'Weekly Tracker'!$I$2:$I$766),"")</f>
        <v/>
      </c>
      <c r="J1265" s="9">
        <f>IFERROR(LOOKUP(2,1/('Weekly Tracker'!$E$2:$E$766=$A1265)/('Weekly Tracker'!$J$2:$J$766&lt;&gt;""),'Weekly Tracker'!$J$2:$J$766),"")</f>
        <v/>
      </c>
      <c r="K1265" s="9">
        <f>IFERROR(LOOKUP(2,1/('Weekly Tracker'!$E$2:$E$766=$A1265)/('Weekly Tracker'!$N$2:$N$766&lt;&gt;""),'Weekly Tracker'!$N$2:$N$766),"")</f>
        <v/>
      </c>
      <c r="L1265" s="9">
        <f>IFERROR(LOOKUP(2,1/('Weekly Tracker'!$E$2:$E$766=$A1265)/('Weekly Tracker'!$O$2:$O$766&lt;&gt;""),'Weekly Tracker'!$O$2:$O$766),"")</f>
        <v/>
      </c>
    </row>
    <row r="1266">
      <c r="A1266" s="9" t="inlineStr">
        <is>
          <t>Pujari Urja</t>
        </is>
      </c>
      <c r="B1266" s="9" t="inlineStr">
        <is>
          <t>918147048964</t>
        </is>
      </c>
      <c r="C1266" s="9" t="n"/>
      <c r="D1266" s="9" t="n"/>
      <c r="E1266" s="9" t="n"/>
      <c r="F1266" s="9">
        <f>IFERROR(LOOKUP(2,1/('Weekly Tracker'!$E$2:$E$766=$A1266)/('Weekly Tracker'!$F$2:$F$766&lt;&gt;""),'Weekly Tracker'!$F$2:$F$766),"")</f>
        <v/>
      </c>
      <c r="G1266" s="16">
        <f>IF(F1266&lt;&gt;"",LOOKUP(2,1/('Weekly Tracker'!$E$2:$E$766=$A1266)/('Weekly Tracker'!$F$2:$F$766&lt;&gt;""),'Weekly Tracker'!$G$2:$G$766),"")</f>
        <v/>
      </c>
      <c r="H1266" s="9">
        <f>IFERROR(LOOKUP(2,1/('Weekly Tracker'!$E$2:$E$766=$A1266)/('Weekly Tracker'!$H$2:$H$766&lt;&gt;""),'Weekly Tracker'!$H$2:$H$766),"")</f>
        <v/>
      </c>
      <c r="I1266" s="16">
        <f>IF(H1266&lt;&gt;"",LOOKUP(2,1/('Weekly Tracker'!$E$2:$E$766=$A1266)/('Weekly Tracker'!$H$2:$H$766&lt;&gt;""),'Weekly Tracker'!$I$2:$I$766),"")</f>
        <v/>
      </c>
      <c r="J1266" s="9">
        <f>IFERROR(LOOKUP(2,1/('Weekly Tracker'!$E$2:$E$766=$A1266)/('Weekly Tracker'!$J$2:$J$766&lt;&gt;""),'Weekly Tracker'!$J$2:$J$766),"")</f>
        <v/>
      </c>
      <c r="K1266" s="9">
        <f>IFERROR(LOOKUP(2,1/('Weekly Tracker'!$E$2:$E$766=$A1266)/('Weekly Tracker'!$N$2:$N$766&lt;&gt;""),'Weekly Tracker'!$N$2:$N$766),"")</f>
        <v/>
      </c>
      <c r="L1266" s="9">
        <f>IFERROR(LOOKUP(2,1/('Weekly Tracker'!$E$2:$E$766=$A1266)/('Weekly Tracker'!$O$2:$O$766&lt;&gt;""),'Weekly Tracker'!$O$2:$O$766),"")</f>
        <v/>
      </c>
    </row>
    <row r="1267">
      <c r="A1267" s="9" t="inlineStr">
        <is>
          <t>Backyalakshmi Urja</t>
        </is>
      </c>
      <c r="B1267" s="9" t="inlineStr">
        <is>
          <t>919840577250</t>
        </is>
      </c>
      <c r="C1267" s="9" t="n"/>
      <c r="D1267" s="9" t="n"/>
      <c r="E1267" s="9" t="n"/>
      <c r="F1267" s="9">
        <f>IFERROR(LOOKUP(2,1/('Weekly Tracker'!$E$2:$E$766=$A1267)/('Weekly Tracker'!$F$2:$F$766&lt;&gt;""),'Weekly Tracker'!$F$2:$F$766),"")</f>
        <v/>
      </c>
      <c r="G1267" s="16">
        <f>IF(F1267&lt;&gt;"",LOOKUP(2,1/('Weekly Tracker'!$E$2:$E$766=$A1267)/('Weekly Tracker'!$F$2:$F$766&lt;&gt;""),'Weekly Tracker'!$G$2:$G$766),"")</f>
        <v/>
      </c>
      <c r="H1267" s="9">
        <f>IFERROR(LOOKUP(2,1/('Weekly Tracker'!$E$2:$E$766=$A1267)/('Weekly Tracker'!$H$2:$H$766&lt;&gt;""),'Weekly Tracker'!$H$2:$H$766),"")</f>
        <v/>
      </c>
      <c r="I1267" s="16">
        <f>IF(H1267&lt;&gt;"",LOOKUP(2,1/('Weekly Tracker'!$E$2:$E$766=$A1267)/('Weekly Tracker'!$H$2:$H$766&lt;&gt;""),'Weekly Tracker'!$I$2:$I$766),"")</f>
        <v/>
      </c>
      <c r="J1267" s="9">
        <f>IFERROR(LOOKUP(2,1/('Weekly Tracker'!$E$2:$E$766=$A1267)/('Weekly Tracker'!$J$2:$J$766&lt;&gt;""),'Weekly Tracker'!$J$2:$J$766),"")</f>
        <v/>
      </c>
      <c r="K1267" s="9">
        <f>IFERROR(LOOKUP(2,1/('Weekly Tracker'!$E$2:$E$766=$A1267)/('Weekly Tracker'!$N$2:$N$766&lt;&gt;""),'Weekly Tracker'!$N$2:$N$766),"")</f>
        <v/>
      </c>
      <c r="L1267" s="9">
        <f>IFERROR(LOOKUP(2,1/('Weekly Tracker'!$E$2:$E$766=$A1267)/('Weekly Tracker'!$O$2:$O$766&lt;&gt;""),'Weekly Tracker'!$O$2:$O$766),"")</f>
        <v/>
      </c>
    </row>
    <row r="1268">
      <c r="A1268" s="9" t="inlineStr">
        <is>
          <t>Alagu Raja Urja</t>
        </is>
      </c>
      <c r="B1268" s="9" t="inlineStr">
        <is>
          <t>919965244248</t>
        </is>
      </c>
      <c r="C1268" s="9" t="n"/>
      <c r="D1268" s="9" t="n"/>
      <c r="E1268" s="9" t="n"/>
      <c r="F1268" s="9">
        <f>IFERROR(LOOKUP(2,1/('Weekly Tracker'!$E$2:$E$766=$A1268)/('Weekly Tracker'!$F$2:$F$766&lt;&gt;""),'Weekly Tracker'!$F$2:$F$766),"")</f>
        <v/>
      </c>
      <c r="G1268" s="16">
        <f>IF(F1268&lt;&gt;"",LOOKUP(2,1/('Weekly Tracker'!$E$2:$E$766=$A1268)/('Weekly Tracker'!$F$2:$F$766&lt;&gt;""),'Weekly Tracker'!$G$2:$G$766),"")</f>
        <v/>
      </c>
      <c r="H1268" s="9">
        <f>IFERROR(LOOKUP(2,1/('Weekly Tracker'!$E$2:$E$766=$A1268)/('Weekly Tracker'!$H$2:$H$766&lt;&gt;""),'Weekly Tracker'!$H$2:$H$766),"")</f>
        <v/>
      </c>
      <c r="I1268" s="16">
        <f>IF(H1268&lt;&gt;"",LOOKUP(2,1/('Weekly Tracker'!$E$2:$E$766=$A1268)/('Weekly Tracker'!$H$2:$H$766&lt;&gt;""),'Weekly Tracker'!$I$2:$I$766),"")</f>
        <v/>
      </c>
      <c r="J1268" s="9">
        <f>IFERROR(LOOKUP(2,1/('Weekly Tracker'!$E$2:$E$766=$A1268)/('Weekly Tracker'!$J$2:$J$766&lt;&gt;""),'Weekly Tracker'!$J$2:$J$766),"")</f>
        <v/>
      </c>
      <c r="K1268" s="9">
        <f>IFERROR(LOOKUP(2,1/('Weekly Tracker'!$E$2:$E$766=$A1268)/('Weekly Tracker'!$N$2:$N$766&lt;&gt;""),'Weekly Tracker'!$N$2:$N$766),"")</f>
        <v/>
      </c>
      <c r="L1268" s="9">
        <f>IFERROR(LOOKUP(2,1/('Weekly Tracker'!$E$2:$E$766=$A1268)/('Weekly Tracker'!$O$2:$O$766&lt;&gt;""),'Weekly Tracker'!$O$2:$O$766),"")</f>
        <v/>
      </c>
    </row>
    <row r="1269">
      <c r="A1269" s="9" t="inlineStr">
        <is>
          <t>Vijay Kundrathur Nearby</t>
        </is>
      </c>
      <c r="B1269" s="9" t="inlineStr">
        <is>
          <t>919600014083</t>
        </is>
      </c>
      <c r="C1269" s="9" t="n"/>
      <c r="D1269" s="9" t="n"/>
      <c r="E1269" s="9" t="n"/>
      <c r="F1269" s="9">
        <f>IFERROR(LOOKUP(2,1/('Weekly Tracker'!$E$2:$E$766=$A1269)/('Weekly Tracker'!$F$2:$F$766&lt;&gt;""),'Weekly Tracker'!$F$2:$F$766),"")</f>
        <v/>
      </c>
      <c r="G1269" s="16">
        <f>IF(F1269&lt;&gt;"",LOOKUP(2,1/('Weekly Tracker'!$E$2:$E$766=$A1269)/('Weekly Tracker'!$F$2:$F$766&lt;&gt;""),'Weekly Tracker'!$G$2:$G$766),"")</f>
        <v/>
      </c>
      <c r="H1269" s="9">
        <f>IFERROR(LOOKUP(2,1/('Weekly Tracker'!$E$2:$E$766=$A1269)/('Weekly Tracker'!$H$2:$H$766&lt;&gt;""),'Weekly Tracker'!$H$2:$H$766),"")</f>
        <v/>
      </c>
      <c r="I1269" s="16">
        <f>IF(H1269&lt;&gt;"",LOOKUP(2,1/('Weekly Tracker'!$E$2:$E$766=$A1269)/('Weekly Tracker'!$H$2:$H$766&lt;&gt;""),'Weekly Tracker'!$I$2:$I$766),"")</f>
        <v/>
      </c>
      <c r="J1269" s="9">
        <f>IFERROR(LOOKUP(2,1/('Weekly Tracker'!$E$2:$E$766=$A1269)/('Weekly Tracker'!$J$2:$J$766&lt;&gt;""),'Weekly Tracker'!$J$2:$J$766),"")</f>
        <v/>
      </c>
      <c r="K1269" s="9">
        <f>IFERROR(LOOKUP(2,1/('Weekly Tracker'!$E$2:$E$766=$A1269)/('Weekly Tracker'!$N$2:$N$766&lt;&gt;""),'Weekly Tracker'!$N$2:$N$766),"")</f>
        <v/>
      </c>
      <c r="L1269" s="9">
        <f>IFERROR(LOOKUP(2,1/('Weekly Tracker'!$E$2:$E$766=$A1269)/('Weekly Tracker'!$O$2:$O$766&lt;&gt;""),'Weekly Tracker'!$O$2:$O$766),"")</f>
        <v/>
      </c>
    </row>
    <row r="1270">
      <c r="A1270" s="9" t="inlineStr">
        <is>
          <t>Vinoth Gobal FB</t>
        </is>
      </c>
      <c r="B1270" s="9" t="inlineStr">
        <is>
          <t>919003450978</t>
        </is>
      </c>
      <c r="C1270" s="9" t="n"/>
      <c r="D1270" s="9" t="n"/>
      <c r="E1270" s="9" t="n"/>
      <c r="F1270" s="9">
        <f>IFERROR(LOOKUP(2,1/('Weekly Tracker'!$E$2:$E$766=$A1270)/('Weekly Tracker'!$F$2:$F$766&lt;&gt;""),'Weekly Tracker'!$F$2:$F$766),"")</f>
        <v/>
      </c>
      <c r="G1270" s="16">
        <f>IF(F1270&lt;&gt;"",LOOKUP(2,1/('Weekly Tracker'!$E$2:$E$766=$A1270)/('Weekly Tracker'!$F$2:$F$766&lt;&gt;""),'Weekly Tracker'!$G$2:$G$766),"")</f>
        <v/>
      </c>
      <c r="H1270" s="9">
        <f>IFERROR(LOOKUP(2,1/('Weekly Tracker'!$E$2:$E$766=$A1270)/('Weekly Tracker'!$H$2:$H$766&lt;&gt;""),'Weekly Tracker'!$H$2:$H$766),"")</f>
        <v/>
      </c>
      <c r="I1270" s="16">
        <f>IF(H1270&lt;&gt;"",LOOKUP(2,1/('Weekly Tracker'!$E$2:$E$766=$A1270)/('Weekly Tracker'!$H$2:$H$766&lt;&gt;""),'Weekly Tracker'!$I$2:$I$766),"")</f>
        <v/>
      </c>
      <c r="J1270" s="9">
        <f>IFERROR(LOOKUP(2,1/('Weekly Tracker'!$E$2:$E$766=$A1270)/('Weekly Tracker'!$J$2:$J$766&lt;&gt;""),'Weekly Tracker'!$J$2:$J$766),"")</f>
        <v/>
      </c>
      <c r="K1270" s="9">
        <f>IFERROR(LOOKUP(2,1/('Weekly Tracker'!$E$2:$E$766=$A1270)/('Weekly Tracker'!$N$2:$N$766&lt;&gt;""),'Weekly Tracker'!$N$2:$N$766),"")</f>
        <v/>
      </c>
      <c r="L1270" s="9">
        <f>IFERROR(LOOKUP(2,1/('Weekly Tracker'!$E$2:$E$766=$A1270)/('Weekly Tracker'!$O$2:$O$766&lt;&gt;""),'Weekly Tracker'!$O$2:$O$766),"")</f>
        <v/>
      </c>
    </row>
    <row r="1271">
      <c r="A1271" s="9" t="inlineStr">
        <is>
          <t>Arunraja raja Mech</t>
        </is>
      </c>
      <c r="B1271" s="9" t="inlineStr">
        <is>
          <t>918939998193</t>
        </is>
      </c>
      <c r="C1271" s="9" t="n"/>
      <c r="D1271" s="9" t="n"/>
      <c r="E1271" s="9" t="n"/>
      <c r="F1271" s="9">
        <f>IFERROR(LOOKUP(2,1/('Weekly Tracker'!$E$2:$E$766=$A1271)/('Weekly Tracker'!$F$2:$F$766&lt;&gt;""),'Weekly Tracker'!$F$2:$F$766),"")</f>
        <v/>
      </c>
      <c r="G1271" s="16">
        <f>IF(F1271&lt;&gt;"",LOOKUP(2,1/('Weekly Tracker'!$E$2:$E$766=$A1271)/('Weekly Tracker'!$F$2:$F$766&lt;&gt;""),'Weekly Tracker'!$G$2:$G$766),"")</f>
        <v/>
      </c>
      <c r="H1271" s="9">
        <f>IFERROR(LOOKUP(2,1/('Weekly Tracker'!$E$2:$E$766=$A1271)/('Weekly Tracker'!$H$2:$H$766&lt;&gt;""),'Weekly Tracker'!$H$2:$H$766),"")</f>
        <v/>
      </c>
      <c r="I1271" s="16">
        <f>IF(H1271&lt;&gt;"",LOOKUP(2,1/('Weekly Tracker'!$E$2:$E$766=$A1271)/('Weekly Tracker'!$H$2:$H$766&lt;&gt;""),'Weekly Tracker'!$I$2:$I$766),"")</f>
        <v/>
      </c>
      <c r="J1271" s="9">
        <f>IFERROR(LOOKUP(2,1/('Weekly Tracker'!$E$2:$E$766=$A1271)/('Weekly Tracker'!$J$2:$J$766&lt;&gt;""),'Weekly Tracker'!$J$2:$J$766),"")</f>
        <v/>
      </c>
      <c r="K1271" s="9">
        <f>IFERROR(LOOKUP(2,1/('Weekly Tracker'!$E$2:$E$766=$A1271)/('Weekly Tracker'!$N$2:$N$766&lt;&gt;""),'Weekly Tracker'!$N$2:$N$766),"")</f>
        <v/>
      </c>
      <c r="L1271" s="9">
        <f>IFERROR(LOOKUP(2,1/('Weekly Tracker'!$E$2:$E$766=$A1271)/('Weekly Tracker'!$O$2:$O$766&lt;&gt;""),'Weekly Tracker'!$O$2:$O$766),"")</f>
        <v/>
      </c>
    </row>
    <row r="1272">
      <c r="A1272" s="9" t="inlineStr">
        <is>
          <t>Anto Aravind FB</t>
        </is>
      </c>
      <c r="B1272" s="9" t="inlineStr">
        <is>
          <t>9095061378</t>
        </is>
      </c>
      <c r="C1272" s="9" t="n"/>
      <c r="D1272" s="9" t="n"/>
      <c r="E1272" s="9" t="n"/>
      <c r="F1272" s="9">
        <f>IFERROR(LOOKUP(2,1/('Weekly Tracker'!$E$2:$E$766=$A1272)/('Weekly Tracker'!$F$2:$F$766&lt;&gt;""),'Weekly Tracker'!$F$2:$F$766),"")</f>
        <v/>
      </c>
      <c r="G1272" s="16">
        <f>IF(F1272&lt;&gt;"",LOOKUP(2,1/('Weekly Tracker'!$E$2:$E$766=$A1272)/('Weekly Tracker'!$F$2:$F$766&lt;&gt;""),'Weekly Tracker'!$G$2:$G$766),"")</f>
        <v/>
      </c>
      <c r="H1272" s="9">
        <f>IFERROR(LOOKUP(2,1/('Weekly Tracker'!$E$2:$E$766=$A1272)/('Weekly Tracker'!$H$2:$H$766&lt;&gt;""),'Weekly Tracker'!$H$2:$H$766),"")</f>
        <v/>
      </c>
      <c r="I1272" s="16">
        <f>IF(H1272&lt;&gt;"",LOOKUP(2,1/('Weekly Tracker'!$E$2:$E$766=$A1272)/('Weekly Tracker'!$H$2:$H$766&lt;&gt;""),'Weekly Tracker'!$I$2:$I$766),"")</f>
        <v/>
      </c>
      <c r="J1272" s="9">
        <f>IFERROR(LOOKUP(2,1/('Weekly Tracker'!$E$2:$E$766=$A1272)/('Weekly Tracker'!$J$2:$J$766&lt;&gt;""),'Weekly Tracker'!$J$2:$J$766),"")</f>
        <v/>
      </c>
      <c r="K1272" s="9">
        <f>IFERROR(LOOKUP(2,1/('Weekly Tracker'!$E$2:$E$766=$A1272)/('Weekly Tracker'!$N$2:$N$766&lt;&gt;""),'Weekly Tracker'!$N$2:$N$766),"")</f>
        <v/>
      </c>
      <c r="L1272" s="9">
        <f>IFERROR(LOOKUP(2,1/('Weekly Tracker'!$E$2:$E$766=$A1272)/('Weekly Tracker'!$O$2:$O$766&lt;&gt;""),'Weekly Tracker'!$O$2:$O$766),"")</f>
        <v/>
      </c>
    </row>
    <row r="1273">
      <c r="A1273" s="9" t="inlineStr">
        <is>
          <t>Nagaraj Plumber</t>
        </is>
      </c>
      <c r="B1273" s="9" t="inlineStr">
        <is>
          <t>9094263322</t>
        </is>
      </c>
      <c r="C1273" s="9" t="n"/>
      <c r="D1273" s="9" t="n"/>
      <c r="E1273" s="9" t="n"/>
      <c r="F1273" s="9">
        <f>IFERROR(LOOKUP(2,1/('Weekly Tracker'!$E$2:$E$766=$A1273)/('Weekly Tracker'!$F$2:$F$766&lt;&gt;""),'Weekly Tracker'!$F$2:$F$766),"")</f>
        <v/>
      </c>
      <c r="G1273" s="16">
        <f>IF(F1273&lt;&gt;"",LOOKUP(2,1/('Weekly Tracker'!$E$2:$E$766=$A1273)/('Weekly Tracker'!$F$2:$F$766&lt;&gt;""),'Weekly Tracker'!$G$2:$G$766),"")</f>
        <v/>
      </c>
      <c r="H1273" s="9">
        <f>IFERROR(LOOKUP(2,1/('Weekly Tracker'!$E$2:$E$766=$A1273)/('Weekly Tracker'!$H$2:$H$766&lt;&gt;""),'Weekly Tracker'!$H$2:$H$766),"")</f>
        <v/>
      </c>
      <c r="I1273" s="16">
        <f>IF(H1273&lt;&gt;"",LOOKUP(2,1/('Weekly Tracker'!$E$2:$E$766=$A1273)/('Weekly Tracker'!$H$2:$H$766&lt;&gt;""),'Weekly Tracker'!$I$2:$I$766),"")</f>
        <v/>
      </c>
      <c r="J1273" s="9">
        <f>IFERROR(LOOKUP(2,1/('Weekly Tracker'!$E$2:$E$766=$A1273)/('Weekly Tracker'!$J$2:$J$766&lt;&gt;""),'Weekly Tracker'!$J$2:$J$766),"")</f>
        <v/>
      </c>
      <c r="K1273" s="9">
        <f>IFERROR(LOOKUP(2,1/('Weekly Tracker'!$E$2:$E$766=$A1273)/('Weekly Tracker'!$N$2:$N$766&lt;&gt;""),'Weekly Tracker'!$N$2:$N$766),"")</f>
        <v/>
      </c>
      <c r="L1273" s="9">
        <f>IFERROR(LOOKUP(2,1/('Weekly Tracker'!$E$2:$E$766=$A1273)/('Weekly Tracker'!$O$2:$O$766&lt;&gt;""),'Weekly Tracker'!$O$2:$O$766),"")</f>
        <v/>
      </c>
    </row>
    <row r="1274">
      <c r="A1274" s="9" t="inlineStr">
        <is>
          <t>Gangadharan GS Grp Ucen</t>
        </is>
      </c>
      <c r="B1274" s="9" t="inlineStr">
        <is>
          <t>919976253384</t>
        </is>
      </c>
      <c r="C1274" s="9" t="n"/>
      <c r="D1274" s="9" t="n"/>
      <c r="E1274" s="9" t="n"/>
      <c r="F1274" s="9">
        <f>IFERROR(LOOKUP(2,1/('Weekly Tracker'!$E$2:$E$766=$A1274)/('Weekly Tracker'!$F$2:$F$766&lt;&gt;""),'Weekly Tracker'!$F$2:$F$766),"")</f>
        <v/>
      </c>
      <c r="G1274" s="16">
        <f>IF(F1274&lt;&gt;"",LOOKUP(2,1/('Weekly Tracker'!$E$2:$E$766=$A1274)/('Weekly Tracker'!$F$2:$F$766&lt;&gt;""),'Weekly Tracker'!$G$2:$G$766),"")</f>
        <v/>
      </c>
      <c r="H1274" s="9">
        <f>IFERROR(LOOKUP(2,1/('Weekly Tracker'!$E$2:$E$766=$A1274)/('Weekly Tracker'!$H$2:$H$766&lt;&gt;""),'Weekly Tracker'!$H$2:$H$766),"")</f>
        <v/>
      </c>
      <c r="I1274" s="16">
        <f>IF(H1274&lt;&gt;"",LOOKUP(2,1/('Weekly Tracker'!$E$2:$E$766=$A1274)/('Weekly Tracker'!$H$2:$H$766&lt;&gt;""),'Weekly Tracker'!$I$2:$I$766),"")</f>
        <v/>
      </c>
      <c r="J1274" s="9">
        <f>IFERROR(LOOKUP(2,1/('Weekly Tracker'!$E$2:$E$766=$A1274)/('Weekly Tracker'!$J$2:$J$766&lt;&gt;""),'Weekly Tracker'!$J$2:$J$766),"")</f>
        <v/>
      </c>
      <c r="K1274" s="9">
        <f>IFERROR(LOOKUP(2,1/('Weekly Tracker'!$E$2:$E$766=$A1274)/('Weekly Tracker'!$N$2:$N$766&lt;&gt;""),'Weekly Tracker'!$N$2:$N$766),"")</f>
        <v/>
      </c>
      <c r="L1274" s="9">
        <f>IFERROR(LOOKUP(2,1/('Weekly Tracker'!$E$2:$E$766=$A1274)/('Weekly Tracker'!$O$2:$O$766&lt;&gt;""),'Weekly Tracker'!$O$2:$O$766),"")</f>
        <v/>
      </c>
    </row>
    <row r="1275">
      <c r="A1275" s="9" t="inlineStr">
        <is>
          <t>KaviArasu Verz</t>
        </is>
      </c>
      <c r="B1275" s="9" t="inlineStr">
        <is>
          <t>8883475059</t>
        </is>
      </c>
      <c r="C1275" s="9" t="n"/>
      <c r="D1275" s="9" t="n"/>
      <c r="E1275" s="9" t="n"/>
      <c r="F1275" s="9">
        <f>IFERROR(LOOKUP(2,1/('Weekly Tracker'!$E$2:$E$766=$A1275)/('Weekly Tracker'!$F$2:$F$766&lt;&gt;""),'Weekly Tracker'!$F$2:$F$766),"")</f>
        <v/>
      </c>
      <c r="G1275" s="16">
        <f>IF(F1275&lt;&gt;"",LOOKUP(2,1/('Weekly Tracker'!$E$2:$E$766=$A1275)/('Weekly Tracker'!$F$2:$F$766&lt;&gt;""),'Weekly Tracker'!$G$2:$G$766),"")</f>
        <v/>
      </c>
      <c r="H1275" s="9">
        <f>IFERROR(LOOKUP(2,1/('Weekly Tracker'!$E$2:$E$766=$A1275)/('Weekly Tracker'!$H$2:$H$766&lt;&gt;""),'Weekly Tracker'!$H$2:$H$766),"")</f>
        <v/>
      </c>
      <c r="I1275" s="16">
        <f>IF(H1275&lt;&gt;"",LOOKUP(2,1/('Weekly Tracker'!$E$2:$E$766=$A1275)/('Weekly Tracker'!$H$2:$H$766&lt;&gt;""),'Weekly Tracker'!$I$2:$I$766),"")</f>
        <v/>
      </c>
      <c r="J1275" s="9">
        <f>IFERROR(LOOKUP(2,1/('Weekly Tracker'!$E$2:$E$766=$A1275)/('Weekly Tracker'!$J$2:$J$766&lt;&gt;""),'Weekly Tracker'!$J$2:$J$766),"")</f>
        <v/>
      </c>
      <c r="K1275" s="9">
        <f>IFERROR(LOOKUP(2,1/('Weekly Tracker'!$E$2:$E$766=$A1275)/('Weekly Tracker'!$N$2:$N$766&lt;&gt;""),'Weekly Tracker'!$N$2:$N$766),"")</f>
        <v/>
      </c>
      <c r="L1275" s="9">
        <f>IFERROR(LOOKUP(2,1/('Weekly Tracker'!$E$2:$E$766=$A1275)/('Weekly Tracker'!$O$2:$O$766&lt;&gt;""),'Weekly Tracker'!$O$2:$O$766),"")</f>
        <v/>
      </c>
    </row>
    <row r="1276">
      <c r="A1276" s="9" t="inlineStr">
        <is>
          <t>Saran Kumar Urja</t>
        </is>
      </c>
      <c r="B1276" s="9" t="inlineStr">
        <is>
          <t>918072636573</t>
        </is>
      </c>
      <c r="C1276" s="9" t="n"/>
      <c r="D1276" s="9" t="n"/>
      <c r="E1276" s="9" t="n"/>
      <c r="F1276" s="9">
        <f>IFERROR(LOOKUP(2,1/('Weekly Tracker'!$E$2:$E$766=$A1276)/('Weekly Tracker'!$F$2:$F$766&lt;&gt;""),'Weekly Tracker'!$F$2:$F$766),"")</f>
        <v/>
      </c>
      <c r="G1276" s="16">
        <f>IF(F1276&lt;&gt;"",LOOKUP(2,1/('Weekly Tracker'!$E$2:$E$766=$A1276)/('Weekly Tracker'!$F$2:$F$766&lt;&gt;""),'Weekly Tracker'!$G$2:$G$766),"")</f>
        <v/>
      </c>
      <c r="H1276" s="9">
        <f>IFERROR(LOOKUP(2,1/('Weekly Tracker'!$E$2:$E$766=$A1276)/('Weekly Tracker'!$H$2:$H$766&lt;&gt;""),'Weekly Tracker'!$H$2:$H$766),"")</f>
        <v/>
      </c>
      <c r="I1276" s="16">
        <f>IF(H1276&lt;&gt;"",LOOKUP(2,1/('Weekly Tracker'!$E$2:$E$766=$A1276)/('Weekly Tracker'!$H$2:$H$766&lt;&gt;""),'Weekly Tracker'!$I$2:$I$766),"")</f>
        <v/>
      </c>
      <c r="J1276" s="9">
        <f>IFERROR(LOOKUP(2,1/('Weekly Tracker'!$E$2:$E$766=$A1276)/('Weekly Tracker'!$J$2:$J$766&lt;&gt;""),'Weekly Tracker'!$J$2:$J$766),"")</f>
        <v/>
      </c>
      <c r="K1276" s="9">
        <f>IFERROR(LOOKUP(2,1/('Weekly Tracker'!$E$2:$E$766=$A1276)/('Weekly Tracker'!$N$2:$N$766&lt;&gt;""),'Weekly Tracker'!$N$2:$N$766),"")</f>
        <v/>
      </c>
      <c r="L1276" s="9">
        <f>IFERROR(LOOKUP(2,1/('Weekly Tracker'!$E$2:$E$766=$A1276)/('Weekly Tracker'!$O$2:$O$766&lt;&gt;""),'Weekly Tracker'!$O$2:$O$766),"")</f>
        <v/>
      </c>
    </row>
    <row r="1277">
      <c r="A1277" s="9" t="inlineStr">
        <is>
          <t>Ashwin Pradeep FB</t>
        </is>
      </c>
      <c r="B1277" s="9" t="inlineStr">
        <is>
          <t>919626354080</t>
        </is>
      </c>
      <c r="C1277" s="9" t="n"/>
      <c r="D1277" s="9" t="n"/>
      <c r="E1277" s="9" t="n"/>
      <c r="F1277" s="9">
        <f>IFERROR(LOOKUP(2,1/('Weekly Tracker'!$E$2:$E$766=$A1277)/('Weekly Tracker'!$F$2:$F$766&lt;&gt;""),'Weekly Tracker'!$F$2:$F$766),"")</f>
        <v/>
      </c>
      <c r="G1277" s="16">
        <f>IF(F1277&lt;&gt;"",LOOKUP(2,1/('Weekly Tracker'!$E$2:$E$766=$A1277)/('Weekly Tracker'!$F$2:$F$766&lt;&gt;""),'Weekly Tracker'!$G$2:$G$766),"")</f>
        <v/>
      </c>
      <c r="H1277" s="9">
        <f>IFERROR(LOOKUP(2,1/('Weekly Tracker'!$E$2:$E$766=$A1277)/('Weekly Tracker'!$H$2:$H$766&lt;&gt;""),'Weekly Tracker'!$H$2:$H$766),"")</f>
        <v/>
      </c>
      <c r="I1277" s="16">
        <f>IF(H1277&lt;&gt;"",LOOKUP(2,1/('Weekly Tracker'!$E$2:$E$766=$A1277)/('Weekly Tracker'!$H$2:$H$766&lt;&gt;""),'Weekly Tracker'!$I$2:$I$766),"")</f>
        <v/>
      </c>
      <c r="J1277" s="9">
        <f>IFERROR(LOOKUP(2,1/('Weekly Tracker'!$E$2:$E$766=$A1277)/('Weekly Tracker'!$J$2:$J$766&lt;&gt;""),'Weekly Tracker'!$J$2:$J$766),"")</f>
        <v/>
      </c>
      <c r="K1277" s="9">
        <f>IFERROR(LOOKUP(2,1/('Weekly Tracker'!$E$2:$E$766=$A1277)/('Weekly Tracker'!$N$2:$N$766&lt;&gt;""),'Weekly Tracker'!$N$2:$N$766),"")</f>
        <v/>
      </c>
      <c r="L1277" s="9">
        <f>IFERROR(LOOKUP(2,1/('Weekly Tracker'!$E$2:$E$766=$A1277)/('Weekly Tracker'!$O$2:$O$766&lt;&gt;""),'Weekly Tracker'!$O$2:$O$766),"")</f>
        <v/>
      </c>
    </row>
    <row r="1278">
      <c r="A1278" s="9" t="inlineStr">
        <is>
          <t>Gavrav Awatade Infy</t>
        </is>
      </c>
      <c r="B1278" s="9" t="inlineStr">
        <is>
          <t>8459131516</t>
        </is>
      </c>
      <c r="C1278" s="9" t="n"/>
      <c r="D1278" s="9" t="n"/>
      <c r="E1278" s="9" t="n"/>
      <c r="F1278" s="9">
        <f>IFERROR(LOOKUP(2,1/('Weekly Tracker'!$E$2:$E$766=$A1278)/('Weekly Tracker'!$F$2:$F$766&lt;&gt;""),'Weekly Tracker'!$F$2:$F$766),"")</f>
        <v/>
      </c>
      <c r="G1278" s="16">
        <f>IF(F1278&lt;&gt;"",LOOKUP(2,1/('Weekly Tracker'!$E$2:$E$766=$A1278)/('Weekly Tracker'!$F$2:$F$766&lt;&gt;""),'Weekly Tracker'!$G$2:$G$766),"")</f>
        <v/>
      </c>
      <c r="H1278" s="9">
        <f>IFERROR(LOOKUP(2,1/('Weekly Tracker'!$E$2:$E$766=$A1278)/('Weekly Tracker'!$H$2:$H$766&lt;&gt;""),'Weekly Tracker'!$H$2:$H$766),"")</f>
        <v/>
      </c>
      <c r="I1278" s="16">
        <f>IF(H1278&lt;&gt;"",LOOKUP(2,1/('Weekly Tracker'!$E$2:$E$766=$A1278)/('Weekly Tracker'!$H$2:$H$766&lt;&gt;""),'Weekly Tracker'!$I$2:$I$766),"")</f>
        <v/>
      </c>
      <c r="J1278" s="9">
        <f>IFERROR(LOOKUP(2,1/('Weekly Tracker'!$E$2:$E$766=$A1278)/('Weekly Tracker'!$J$2:$J$766&lt;&gt;""),'Weekly Tracker'!$J$2:$J$766),"")</f>
        <v/>
      </c>
      <c r="K1278" s="9">
        <f>IFERROR(LOOKUP(2,1/('Weekly Tracker'!$E$2:$E$766=$A1278)/('Weekly Tracker'!$N$2:$N$766&lt;&gt;""),'Weekly Tracker'!$N$2:$N$766),"")</f>
        <v/>
      </c>
      <c r="L1278" s="9">
        <f>IFERROR(LOOKUP(2,1/('Weekly Tracker'!$E$2:$E$766=$A1278)/('Weekly Tracker'!$O$2:$O$766&lt;&gt;""),'Weekly Tracker'!$O$2:$O$766),"")</f>
        <v/>
      </c>
    </row>
    <row r="1279">
      <c r="A1279" s="9" t="inlineStr">
        <is>
          <t>Boobathi Kumar Infy</t>
        </is>
      </c>
      <c r="B1279" s="9" t="inlineStr">
        <is>
          <t>+91 87541 14753</t>
        </is>
      </c>
      <c r="C1279" s="9" t="n"/>
      <c r="D1279" s="9" t="n"/>
      <c r="E1279" s="9" t="n"/>
      <c r="F1279" s="9">
        <f>IFERROR(LOOKUP(2,1/('Weekly Tracker'!$E$2:$E$766=$A1279)/('Weekly Tracker'!$F$2:$F$766&lt;&gt;""),'Weekly Tracker'!$F$2:$F$766),"")</f>
        <v/>
      </c>
      <c r="G1279" s="16">
        <f>IF(F1279&lt;&gt;"",LOOKUP(2,1/('Weekly Tracker'!$E$2:$E$766=$A1279)/('Weekly Tracker'!$F$2:$F$766&lt;&gt;""),'Weekly Tracker'!$G$2:$G$766),"")</f>
        <v/>
      </c>
      <c r="H1279" s="9">
        <f>IFERROR(LOOKUP(2,1/('Weekly Tracker'!$E$2:$E$766=$A1279)/('Weekly Tracker'!$H$2:$H$766&lt;&gt;""),'Weekly Tracker'!$H$2:$H$766),"")</f>
        <v/>
      </c>
      <c r="I1279" s="16">
        <f>IF(H1279&lt;&gt;"",LOOKUP(2,1/('Weekly Tracker'!$E$2:$E$766=$A1279)/('Weekly Tracker'!$H$2:$H$766&lt;&gt;""),'Weekly Tracker'!$I$2:$I$766),"")</f>
        <v/>
      </c>
      <c r="J1279" s="9">
        <f>IFERROR(LOOKUP(2,1/('Weekly Tracker'!$E$2:$E$766=$A1279)/('Weekly Tracker'!$J$2:$J$766&lt;&gt;""),'Weekly Tracker'!$J$2:$J$766),"")</f>
        <v/>
      </c>
      <c r="K1279" s="9">
        <f>IFERROR(LOOKUP(2,1/('Weekly Tracker'!$E$2:$E$766=$A1279)/('Weekly Tracker'!$N$2:$N$766&lt;&gt;""),'Weekly Tracker'!$N$2:$N$766),"")</f>
        <v/>
      </c>
      <c r="L1279" s="9">
        <f>IFERROR(LOOKUP(2,1/('Weekly Tracker'!$E$2:$E$766=$A1279)/('Weekly Tracker'!$O$2:$O$766&lt;&gt;""),'Weekly Tracker'!$O$2:$O$766),"")</f>
        <v/>
      </c>
    </row>
    <row r="1280">
      <c r="A1280" s="9" t="inlineStr">
        <is>
          <t>Manikandan Kadayam</t>
        </is>
      </c>
      <c r="B1280" s="9" t="inlineStr">
        <is>
          <t>918056007052, 919092747525</t>
        </is>
      </c>
      <c r="C1280" s="9" t="n"/>
      <c r="D1280" s="9" t="n"/>
      <c r="E1280" s="9" t="n"/>
      <c r="F1280" s="9">
        <f>IFERROR(LOOKUP(2,1/('Weekly Tracker'!$E$2:$E$766=$A1280)/('Weekly Tracker'!$F$2:$F$766&lt;&gt;""),'Weekly Tracker'!$F$2:$F$766),"")</f>
        <v/>
      </c>
      <c r="G1280" s="16">
        <f>IF(F1280&lt;&gt;"",LOOKUP(2,1/('Weekly Tracker'!$E$2:$E$766=$A1280)/('Weekly Tracker'!$F$2:$F$766&lt;&gt;""),'Weekly Tracker'!$G$2:$G$766),"")</f>
        <v/>
      </c>
      <c r="H1280" s="9">
        <f>IFERROR(LOOKUP(2,1/('Weekly Tracker'!$E$2:$E$766=$A1280)/('Weekly Tracker'!$H$2:$H$766&lt;&gt;""),'Weekly Tracker'!$H$2:$H$766),"")</f>
        <v/>
      </c>
      <c r="I1280" s="16">
        <f>IF(H1280&lt;&gt;"",LOOKUP(2,1/('Weekly Tracker'!$E$2:$E$766=$A1280)/('Weekly Tracker'!$H$2:$H$766&lt;&gt;""),'Weekly Tracker'!$I$2:$I$766),"")</f>
        <v/>
      </c>
      <c r="J1280" s="9">
        <f>IFERROR(LOOKUP(2,1/('Weekly Tracker'!$E$2:$E$766=$A1280)/('Weekly Tracker'!$J$2:$J$766&lt;&gt;""),'Weekly Tracker'!$J$2:$J$766),"")</f>
        <v/>
      </c>
      <c r="K1280" s="9">
        <f>IFERROR(LOOKUP(2,1/('Weekly Tracker'!$E$2:$E$766=$A1280)/('Weekly Tracker'!$N$2:$N$766&lt;&gt;""),'Weekly Tracker'!$N$2:$N$766),"")</f>
        <v/>
      </c>
      <c r="L1280" s="9">
        <f>IFERROR(LOOKUP(2,1/('Weekly Tracker'!$E$2:$E$766=$A1280)/('Weekly Tracker'!$O$2:$O$766&lt;&gt;""),'Weekly Tracker'!$O$2:$O$766),"")</f>
        <v/>
      </c>
    </row>
    <row r="1281">
      <c r="A1281" s="9" t="inlineStr">
        <is>
          <t>Suresh Kanan FB</t>
        </is>
      </c>
      <c r="B1281" s="9" t="inlineStr">
        <is>
          <t>+91 94898 01803</t>
        </is>
      </c>
      <c r="C1281" s="9" t="n"/>
      <c r="D1281" s="9" t="n"/>
      <c r="E1281" s="9" t="n"/>
      <c r="F1281" s="9">
        <f>IFERROR(LOOKUP(2,1/('Weekly Tracker'!$E$2:$E$766=$A1281)/('Weekly Tracker'!$F$2:$F$766&lt;&gt;""),'Weekly Tracker'!$F$2:$F$766),"")</f>
        <v/>
      </c>
      <c r="G1281" s="16">
        <f>IF(F1281&lt;&gt;"",LOOKUP(2,1/('Weekly Tracker'!$E$2:$E$766=$A1281)/('Weekly Tracker'!$F$2:$F$766&lt;&gt;""),'Weekly Tracker'!$G$2:$G$766),"")</f>
        <v/>
      </c>
      <c r="H1281" s="9">
        <f>IFERROR(LOOKUP(2,1/('Weekly Tracker'!$E$2:$E$766=$A1281)/('Weekly Tracker'!$H$2:$H$766&lt;&gt;""),'Weekly Tracker'!$H$2:$H$766),"")</f>
        <v/>
      </c>
      <c r="I1281" s="16">
        <f>IF(H1281&lt;&gt;"",LOOKUP(2,1/('Weekly Tracker'!$E$2:$E$766=$A1281)/('Weekly Tracker'!$H$2:$H$766&lt;&gt;""),'Weekly Tracker'!$I$2:$I$766),"")</f>
        <v/>
      </c>
      <c r="J1281" s="9">
        <f>IFERROR(LOOKUP(2,1/('Weekly Tracker'!$E$2:$E$766=$A1281)/('Weekly Tracker'!$J$2:$J$766&lt;&gt;""),'Weekly Tracker'!$J$2:$J$766),"")</f>
        <v/>
      </c>
      <c r="K1281" s="9">
        <f>IFERROR(LOOKUP(2,1/('Weekly Tracker'!$E$2:$E$766=$A1281)/('Weekly Tracker'!$N$2:$N$766&lt;&gt;""),'Weekly Tracker'!$N$2:$N$766),"")</f>
        <v/>
      </c>
      <c r="L1281" s="9">
        <f>IFERROR(LOOKUP(2,1/('Weekly Tracker'!$E$2:$E$766=$A1281)/('Weekly Tracker'!$O$2:$O$766&lt;&gt;""),'Weekly Tracker'!$O$2:$O$766),"")</f>
        <v/>
      </c>
    </row>
    <row r="1282">
      <c r="A1282" s="9" t="inlineStr">
        <is>
          <t>Nithis Roi FB</t>
        </is>
      </c>
      <c r="B1282" s="9" t="inlineStr">
        <is>
          <t>7356415772</t>
        </is>
      </c>
      <c r="C1282" s="9" t="n"/>
      <c r="D1282" s="9" t="n"/>
      <c r="E1282" s="9" t="n"/>
      <c r="F1282" s="9">
        <f>IFERROR(LOOKUP(2,1/('Weekly Tracker'!$E$2:$E$766=$A1282)/('Weekly Tracker'!$F$2:$F$766&lt;&gt;""),'Weekly Tracker'!$F$2:$F$766),"")</f>
        <v/>
      </c>
      <c r="G1282" s="16">
        <f>IF(F1282&lt;&gt;"",LOOKUP(2,1/('Weekly Tracker'!$E$2:$E$766=$A1282)/('Weekly Tracker'!$F$2:$F$766&lt;&gt;""),'Weekly Tracker'!$G$2:$G$766),"")</f>
        <v/>
      </c>
      <c r="H1282" s="9">
        <f>IFERROR(LOOKUP(2,1/('Weekly Tracker'!$E$2:$E$766=$A1282)/('Weekly Tracker'!$H$2:$H$766&lt;&gt;""),'Weekly Tracker'!$H$2:$H$766),"")</f>
        <v/>
      </c>
      <c r="I1282" s="16">
        <f>IF(H1282&lt;&gt;"",LOOKUP(2,1/('Weekly Tracker'!$E$2:$E$766=$A1282)/('Weekly Tracker'!$H$2:$H$766&lt;&gt;""),'Weekly Tracker'!$I$2:$I$766),"")</f>
        <v/>
      </c>
      <c r="J1282" s="9">
        <f>IFERROR(LOOKUP(2,1/('Weekly Tracker'!$E$2:$E$766=$A1282)/('Weekly Tracker'!$J$2:$J$766&lt;&gt;""),'Weekly Tracker'!$J$2:$J$766),"")</f>
        <v/>
      </c>
      <c r="K1282" s="9">
        <f>IFERROR(LOOKUP(2,1/('Weekly Tracker'!$E$2:$E$766=$A1282)/('Weekly Tracker'!$N$2:$N$766&lt;&gt;""),'Weekly Tracker'!$N$2:$N$766),"")</f>
        <v/>
      </c>
      <c r="L1282" s="9">
        <f>IFERROR(LOOKUP(2,1/('Weekly Tracker'!$E$2:$E$766=$A1282)/('Weekly Tracker'!$O$2:$O$766&lt;&gt;""),'Weekly Tracker'!$O$2:$O$766),"")</f>
        <v/>
      </c>
    </row>
    <row r="1283">
      <c r="A1283" s="9" t="inlineStr">
        <is>
          <t>Suren Grp</t>
        </is>
      </c>
      <c r="B1283" s="9" t="inlineStr">
        <is>
          <t>919080832134</t>
        </is>
      </c>
      <c r="C1283" s="9" t="n"/>
      <c r="D1283" s="9" t="n"/>
      <c r="E1283" s="9" t="n"/>
      <c r="F1283" s="9">
        <f>IFERROR(LOOKUP(2,1/('Weekly Tracker'!$E$2:$E$766=$A1283)/('Weekly Tracker'!$F$2:$F$766&lt;&gt;""),'Weekly Tracker'!$F$2:$F$766),"")</f>
        <v/>
      </c>
      <c r="G1283" s="16">
        <f>IF(F1283&lt;&gt;"",LOOKUP(2,1/('Weekly Tracker'!$E$2:$E$766=$A1283)/('Weekly Tracker'!$F$2:$F$766&lt;&gt;""),'Weekly Tracker'!$G$2:$G$766),"")</f>
        <v/>
      </c>
      <c r="H1283" s="9">
        <f>IFERROR(LOOKUP(2,1/('Weekly Tracker'!$E$2:$E$766=$A1283)/('Weekly Tracker'!$H$2:$H$766&lt;&gt;""),'Weekly Tracker'!$H$2:$H$766),"")</f>
        <v/>
      </c>
      <c r="I1283" s="16">
        <f>IF(H1283&lt;&gt;"",LOOKUP(2,1/('Weekly Tracker'!$E$2:$E$766=$A1283)/('Weekly Tracker'!$H$2:$H$766&lt;&gt;""),'Weekly Tracker'!$I$2:$I$766),"")</f>
        <v/>
      </c>
      <c r="J1283" s="9">
        <f>IFERROR(LOOKUP(2,1/('Weekly Tracker'!$E$2:$E$766=$A1283)/('Weekly Tracker'!$J$2:$J$766&lt;&gt;""),'Weekly Tracker'!$J$2:$J$766),"")</f>
        <v/>
      </c>
      <c r="K1283" s="9">
        <f>IFERROR(LOOKUP(2,1/('Weekly Tracker'!$E$2:$E$766=$A1283)/('Weekly Tracker'!$N$2:$N$766&lt;&gt;""),'Weekly Tracker'!$N$2:$N$766),"")</f>
        <v/>
      </c>
      <c r="L1283" s="9">
        <f>IFERROR(LOOKUP(2,1/('Weekly Tracker'!$E$2:$E$766=$A1283)/('Weekly Tracker'!$O$2:$O$766&lt;&gt;""),'Weekly Tracker'!$O$2:$O$766),"")</f>
        <v/>
      </c>
    </row>
    <row r="1284">
      <c r="A1284" s="9" t="inlineStr">
        <is>
          <t>AravindSamy Urja</t>
        </is>
      </c>
      <c r="B1284" s="9" t="inlineStr">
        <is>
          <t>917708880196</t>
        </is>
      </c>
      <c r="C1284" s="9" t="n"/>
      <c r="D1284" s="9" t="n"/>
      <c r="E1284" s="9" t="n"/>
      <c r="F1284" s="9">
        <f>IFERROR(LOOKUP(2,1/('Weekly Tracker'!$E$2:$E$766=$A1284)/('Weekly Tracker'!$F$2:$F$766&lt;&gt;""),'Weekly Tracker'!$F$2:$F$766),"")</f>
        <v/>
      </c>
      <c r="G1284" s="16">
        <f>IF(F1284&lt;&gt;"",LOOKUP(2,1/('Weekly Tracker'!$E$2:$E$766=$A1284)/('Weekly Tracker'!$F$2:$F$766&lt;&gt;""),'Weekly Tracker'!$G$2:$G$766),"")</f>
        <v/>
      </c>
      <c r="H1284" s="9">
        <f>IFERROR(LOOKUP(2,1/('Weekly Tracker'!$E$2:$E$766=$A1284)/('Weekly Tracker'!$H$2:$H$766&lt;&gt;""),'Weekly Tracker'!$H$2:$H$766),"")</f>
        <v/>
      </c>
      <c r="I1284" s="16">
        <f>IF(H1284&lt;&gt;"",LOOKUP(2,1/('Weekly Tracker'!$E$2:$E$766=$A1284)/('Weekly Tracker'!$H$2:$H$766&lt;&gt;""),'Weekly Tracker'!$I$2:$I$766),"")</f>
        <v/>
      </c>
      <c r="J1284" s="9">
        <f>IFERROR(LOOKUP(2,1/('Weekly Tracker'!$E$2:$E$766=$A1284)/('Weekly Tracker'!$J$2:$J$766&lt;&gt;""),'Weekly Tracker'!$J$2:$J$766),"")</f>
        <v/>
      </c>
      <c r="K1284" s="9">
        <f>IFERROR(LOOKUP(2,1/('Weekly Tracker'!$E$2:$E$766=$A1284)/('Weekly Tracker'!$N$2:$N$766&lt;&gt;""),'Weekly Tracker'!$N$2:$N$766),"")</f>
        <v/>
      </c>
      <c r="L1284" s="9">
        <f>IFERROR(LOOKUP(2,1/('Weekly Tracker'!$E$2:$E$766=$A1284)/('Weekly Tracker'!$O$2:$O$766&lt;&gt;""),'Weekly Tracker'!$O$2:$O$766),"")</f>
        <v/>
      </c>
    </row>
    <row r="1285">
      <c r="A1285" s="9" t="inlineStr">
        <is>
          <t>Dharun Grp Ucen</t>
        </is>
      </c>
      <c r="B1285" s="9" t="inlineStr">
        <is>
          <t>918122419493</t>
        </is>
      </c>
      <c r="C1285" s="9" t="n"/>
      <c r="D1285" s="9" t="n"/>
      <c r="E1285" s="9" t="n"/>
      <c r="F1285" s="9">
        <f>IFERROR(LOOKUP(2,1/('Weekly Tracker'!$E$2:$E$766=$A1285)/('Weekly Tracker'!$F$2:$F$766&lt;&gt;""),'Weekly Tracker'!$F$2:$F$766),"")</f>
        <v/>
      </c>
      <c r="G1285" s="16">
        <f>IF(F1285&lt;&gt;"",LOOKUP(2,1/('Weekly Tracker'!$E$2:$E$766=$A1285)/('Weekly Tracker'!$F$2:$F$766&lt;&gt;""),'Weekly Tracker'!$G$2:$G$766),"")</f>
        <v/>
      </c>
      <c r="H1285" s="9">
        <f>IFERROR(LOOKUP(2,1/('Weekly Tracker'!$E$2:$E$766=$A1285)/('Weekly Tracker'!$H$2:$H$766&lt;&gt;""),'Weekly Tracker'!$H$2:$H$766),"")</f>
        <v/>
      </c>
      <c r="I1285" s="16">
        <f>IF(H1285&lt;&gt;"",LOOKUP(2,1/('Weekly Tracker'!$E$2:$E$766=$A1285)/('Weekly Tracker'!$H$2:$H$766&lt;&gt;""),'Weekly Tracker'!$I$2:$I$766),"")</f>
        <v/>
      </c>
      <c r="J1285" s="9">
        <f>IFERROR(LOOKUP(2,1/('Weekly Tracker'!$E$2:$E$766=$A1285)/('Weekly Tracker'!$J$2:$J$766&lt;&gt;""),'Weekly Tracker'!$J$2:$J$766),"")</f>
        <v/>
      </c>
      <c r="K1285" s="9">
        <f>IFERROR(LOOKUP(2,1/('Weekly Tracker'!$E$2:$E$766=$A1285)/('Weekly Tracker'!$N$2:$N$766&lt;&gt;""),'Weekly Tracker'!$N$2:$N$766),"")</f>
        <v/>
      </c>
      <c r="L1285" s="9">
        <f>IFERROR(LOOKUP(2,1/('Weekly Tracker'!$E$2:$E$766=$A1285)/('Weekly Tracker'!$O$2:$O$766&lt;&gt;""),'Weekly Tracker'!$O$2:$O$766),"")</f>
        <v/>
      </c>
    </row>
    <row r="1286">
      <c r="A1286" s="9" t="inlineStr">
        <is>
          <t>Arun Veda Ranish FB</t>
        </is>
      </c>
      <c r="B1286" s="9" t="inlineStr">
        <is>
          <t>8015186582</t>
        </is>
      </c>
      <c r="C1286" s="9" t="n"/>
      <c r="D1286" s="9" t="n"/>
      <c r="E1286" s="9" t="n"/>
      <c r="F1286" s="9">
        <f>IFERROR(LOOKUP(2,1/('Weekly Tracker'!$E$2:$E$766=$A1286)/('Weekly Tracker'!$F$2:$F$766&lt;&gt;""),'Weekly Tracker'!$F$2:$F$766),"")</f>
        <v/>
      </c>
      <c r="G1286" s="16">
        <f>IF(F1286&lt;&gt;"",LOOKUP(2,1/('Weekly Tracker'!$E$2:$E$766=$A1286)/('Weekly Tracker'!$F$2:$F$766&lt;&gt;""),'Weekly Tracker'!$G$2:$G$766),"")</f>
        <v/>
      </c>
      <c r="H1286" s="9">
        <f>IFERROR(LOOKUP(2,1/('Weekly Tracker'!$E$2:$E$766=$A1286)/('Weekly Tracker'!$H$2:$H$766&lt;&gt;""),'Weekly Tracker'!$H$2:$H$766),"")</f>
        <v/>
      </c>
      <c r="I1286" s="16">
        <f>IF(H1286&lt;&gt;"",LOOKUP(2,1/('Weekly Tracker'!$E$2:$E$766=$A1286)/('Weekly Tracker'!$H$2:$H$766&lt;&gt;""),'Weekly Tracker'!$I$2:$I$766),"")</f>
        <v/>
      </c>
      <c r="J1286" s="9">
        <f>IFERROR(LOOKUP(2,1/('Weekly Tracker'!$E$2:$E$766=$A1286)/('Weekly Tracker'!$J$2:$J$766&lt;&gt;""),'Weekly Tracker'!$J$2:$J$766),"")</f>
        <v/>
      </c>
      <c r="K1286" s="9">
        <f>IFERROR(LOOKUP(2,1/('Weekly Tracker'!$E$2:$E$766=$A1286)/('Weekly Tracker'!$N$2:$N$766&lt;&gt;""),'Weekly Tracker'!$N$2:$N$766),"")</f>
        <v/>
      </c>
      <c r="L1286" s="9">
        <f>IFERROR(LOOKUP(2,1/('Weekly Tracker'!$E$2:$E$766=$A1286)/('Weekly Tracker'!$O$2:$O$766&lt;&gt;""),'Weekly Tracker'!$O$2:$O$766),"")</f>
        <v/>
      </c>
    </row>
    <row r="1287">
      <c r="A1287" s="9" t="inlineStr">
        <is>
          <t>Muthu kumar Scl Kprm</t>
        </is>
      </c>
      <c r="B1287" s="9" t="inlineStr">
        <is>
          <t>919597908449</t>
        </is>
      </c>
      <c r="C1287" s="9" t="n"/>
      <c r="D1287" s="9" t="n"/>
      <c r="E1287" s="9" t="n"/>
      <c r="F1287" s="9">
        <f>IFERROR(LOOKUP(2,1/('Weekly Tracker'!$E$2:$E$766=$A1287)/('Weekly Tracker'!$F$2:$F$766&lt;&gt;""),'Weekly Tracker'!$F$2:$F$766),"")</f>
        <v/>
      </c>
      <c r="G1287" s="16">
        <f>IF(F1287&lt;&gt;"",LOOKUP(2,1/('Weekly Tracker'!$E$2:$E$766=$A1287)/('Weekly Tracker'!$F$2:$F$766&lt;&gt;""),'Weekly Tracker'!$G$2:$G$766),"")</f>
        <v/>
      </c>
      <c r="H1287" s="9">
        <f>IFERROR(LOOKUP(2,1/('Weekly Tracker'!$E$2:$E$766=$A1287)/('Weekly Tracker'!$H$2:$H$766&lt;&gt;""),'Weekly Tracker'!$H$2:$H$766),"")</f>
        <v/>
      </c>
      <c r="I1287" s="16">
        <f>IF(H1287&lt;&gt;"",LOOKUP(2,1/('Weekly Tracker'!$E$2:$E$766=$A1287)/('Weekly Tracker'!$H$2:$H$766&lt;&gt;""),'Weekly Tracker'!$I$2:$I$766),"")</f>
        <v/>
      </c>
      <c r="J1287" s="9">
        <f>IFERROR(LOOKUP(2,1/('Weekly Tracker'!$E$2:$E$766=$A1287)/('Weekly Tracker'!$J$2:$J$766&lt;&gt;""),'Weekly Tracker'!$J$2:$J$766),"")</f>
        <v/>
      </c>
      <c r="K1287" s="9">
        <f>IFERROR(LOOKUP(2,1/('Weekly Tracker'!$E$2:$E$766=$A1287)/('Weekly Tracker'!$N$2:$N$766&lt;&gt;""),'Weekly Tracker'!$N$2:$N$766),"")</f>
        <v/>
      </c>
      <c r="L1287" s="9">
        <f>IFERROR(LOOKUP(2,1/('Weekly Tracker'!$E$2:$E$766=$A1287)/('Weekly Tracker'!$O$2:$O$766&lt;&gt;""),'Weekly Tracker'!$O$2:$O$766),"")</f>
        <v/>
      </c>
    </row>
    <row r="1288">
      <c r="A1288" s="9" t="inlineStr">
        <is>
          <t>Priya HR Urja</t>
        </is>
      </c>
      <c r="B1288" s="9" t="inlineStr">
        <is>
          <t>919994140279</t>
        </is>
      </c>
      <c r="C1288" s="9" t="n"/>
      <c r="D1288" s="9" t="n"/>
      <c r="E1288" s="9" t="n"/>
      <c r="F1288" s="9">
        <f>IFERROR(LOOKUP(2,1/('Weekly Tracker'!$E$2:$E$766=$A1288)/('Weekly Tracker'!$F$2:$F$766&lt;&gt;""),'Weekly Tracker'!$F$2:$F$766),"")</f>
        <v/>
      </c>
      <c r="G1288" s="16">
        <f>IF(F1288&lt;&gt;"",LOOKUP(2,1/('Weekly Tracker'!$E$2:$E$766=$A1288)/('Weekly Tracker'!$F$2:$F$766&lt;&gt;""),'Weekly Tracker'!$G$2:$G$766),"")</f>
        <v/>
      </c>
      <c r="H1288" s="9">
        <f>IFERROR(LOOKUP(2,1/('Weekly Tracker'!$E$2:$E$766=$A1288)/('Weekly Tracker'!$H$2:$H$766&lt;&gt;""),'Weekly Tracker'!$H$2:$H$766),"")</f>
        <v/>
      </c>
      <c r="I1288" s="16">
        <f>IF(H1288&lt;&gt;"",LOOKUP(2,1/('Weekly Tracker'!$E$2:$E$766=$A1288)/('Weekly Tracker'!$H$2:$H$766&lt;&gt;""),'Weekly Tracker'!$I$2:$I$766),"")</f>
        <v/>
      </c>
      <c r="J1288" s="9">
        <f>IFERROR(LOOKUP(2,1/('Weekly Tracker'!$E$2:$E$766=$A1288)/('Weekly Tracker'!$J$2:$J$766&lt;&gt;""),'Weekly Tracker'!$J$2:$J$766),"")</f>
        <v/>
      </c>
      <c r="K1288" s="9">
        <f>IFERROR(LOOKUP(2,1/('Weekly Tracker'!$E$2:$E$766=$A1288)/('Weekly Tracker'!$N$2:$N$766&lt;&gt;""),'Weekly Tracker'!$N$2:$N$766),"")</f>
        <v/>
      </c>
      <c r="L1288" s="9">
        <f>IFERROR(LOOKUP(2,1/('Weekly Tracker'!$E$2:$E$766=$A1288)/('Weekly Tracker'!$O$2:$O$766&lt;&gt;""),'Weekly Tracker'!$O$2:$O$766),"")</f>
        <v/>
      </c>
    </row>
    <row r="1289">
      <c r="A1289" s="9" t="inlineStr">
        <is>
          <t>Ramesh Siva Insta</t>
        </is>
      </c>
      <c r="B1289" s="9" t="inlineStr">
        <is>
          <t>917558175360</t>
        </is>
      </c>
      <c r="C1289" s="9" t="n"/>
      <c r="D1289" s="9" t="n"/>
      <c r="E1289" s="9" t="n"/>
      <c r="F1289" s="9">
        <f>IFERROR(LOOKUP(2,1/('Weekly Tracker'!$E$2:$E$766=$A1289)/('Weekly Tracker'!$F$2:$F$766&lt;&gt;""),'Weekly Tracker'!$F$2:$F$766),"")</f>
        <v/>
      </c>
      <c r="G1289" s="16">
        <f>IF(F1289&lt;&gt;"",LOOKUP(2,1/('Weekly Tracker'!$E$2:$E$766=$A1289)/('Weekly Tracker'!$F$2:$F$766&lt;&gt;""),'Weekly Tracker'!$G$2:$G$766),"")</f>
        <v/>
      </c>
      <c r="H1289" s="9">
        <f>IFERROR(LOOKUP(2,1/('Weekly Tracker'!$E$2:$E$766=$A1289)/('Weekly Tracker'!$H$2:$H$766&lt;&gt;""),'Weekly Tracker'!$H$2:$H$766),"")</f>
        <v/>
      </c>
      <c r="I1289" s="16">
        <f>IF(H1289&lt;&gt;"",LOOKUP(2,1/('Weekly Tracker'!$E$2:$E$766=$A1289)/('Weekly Tracker'!$H$2:$H$766&lt;&gt;""),'Weekly Tracker'!$I$2:$I$766),"")</f>
        <v/>
      </c>
      <c r="J1289" s="9">
        <f>IFERROR(LOOKUP(2,1/('Weekly Tracker'!$E$2:$E$766=$A1289)/('Weekly Tracker'!$J$2:$J$766&lt;&gt;""),'Weekly Tracker'!$J$2:$J$766),"")</f>
        <v/>
      </c>
      <c r="K1289" s="9">
        <f>IFERROR(LOOKUP(2,1/('Weekly Tracker'!$E$2:$E$766=$A1289)/('Weekly Tracker'!$N$2:$N$766&lt;&gt;""),'Weekly Tracker'!$N$2:$N$766),"")</f>
        <v/>
      </c>
      <c r="L1289" s="9">
        <f>IFERROR(LOOKUP(2,1/('Weekly Tracker'!$E$2:$E$766=$A1289)/('Weekly Tracker'!$O$2:$O$766&lt;&gt;""),'Weekly Tracker'!$O$2:$O$766),"")</f>
        <v/>
      </c>
    </row>
    <row r="1290">
      <c r="A1290" s="9" t="inlineStr">
        <is>
          <t>Ganesh Muthu FB</t>
        </is>
      </c>
      <c r="B1290" s="9" t="inlineStr">
        <is>
          <t>918870970146</t>
        </is>
      </c>
      <c r="C1290" s="9" t="n"/>
      <c r="D1290" s="9" t="n"/>
      <c r="E1290" s="9" t="n"/>
      <c r="F1290" s="9">
        <f>IFERROR(LOOKUP(2,1/('Weekly Tracker'!$E$2:$E$766=$A1290)/('Weekly Tracker'!$F$2:$F$766&lt;&gt;""),'Weekly Tracker'!$F$2:$F$766),"")</f>
        <v/>
      </c>
      <c r="G1290" s="16">
        <f>IF(F1290&lt;&gt;"",LOOKUP(2,1/('Weekly Tracker'!$E$2:$E$766=$A1290)/('Weekly Tracker'!$F$2:$F$766&lt;&gt;""),'Weekly Tracker'!$G$2:$G$766),"")</f>
        <v/>
      </c>
      <c r="H1290" s="9">
        <f>IFERROR(LOOKUP(2,1/('Weekly Tracker'!$E$2:$E$766=$A1290)/('Weekly Tracker'!$H$2:$H$766&lt;&gt;""),'Weekly Tracker'!$H$2:$H$766),"")</f>
        <v/>
      </c>
      <c r="I1290" s="16">
        <f>IF(H1290&lt;&gt;"",LOOKUP(2,1/('Weekly Tracker'!$E$2:$E$766=$A1290)/('Weekly Tracker'!$H$2:$H$766&lt;&gt;""),'Weekly Tracker'!$I$2:$I$766),"")</f>
        <v/>
      </c>
      <c r="J1290" s="9">
        <f>IFERROR(LOOKUP(2,1/('Weekly Tracker'!$E$2:$E$766=$A1290)/('Weekly Tracker'!$J$2:$J$766&lt;&gt;""),'Weekly Tracker'!$J$2:$J$766),"")</f>
        <v/>
      </c>
      <c r="K1290" s="9">
        <f>IFERROR(LOOKUP(2,1/('Weekly Tracker'!$E$2:$E$766=$A1290)/('Weekly Tracker'!$N$2:$N$766&lt;&gt;""),'Weekly Tracker'!$N$2:$N$766),"")</f>
        <v/>
      </c>
      <c r="L1290" s="9">
        <f>IFERROR(LOOKUP(2,1/('Weekly Tracker'!$E$2:$E$766=$A1290)/('Weekly Tracker'!$O$2:$O$766&lt;&gt;""),'Weekly Tracker'!$O$2:$O$766),"")</f>
        <v/>
      </c>
    </row>
    <row r="1291">
      <c r="A1291" s="9" t="inlineStr">
        <is>
          <t>Gopinath Qa</t>
        </is>
      </c>
      <c r="B1291" s="9" t="inlineStr">
        <is>
          <t>9841255185</t>
        </is>
      </c>
      <c r="C1291" s="9" t="n"/>
      <c r="D1291" s="9" t="n"/>
      <c r="E1291" s="9" t="n"/>
      <c r="F1291" s="9">
        <f>IFERROR(LOOKUP(2,1/('Weekly Tracker'!$E$2:$E$766=$A1291)/('Weekly Tracker'!$F$2:$F$766&lt;&gt;""),'Weekly Tracker'!$F$2:$F$766),"")</f>
        <v/>
      </c>
      <c r="G1291" s="16">
        <f>IF(F1291&lt;&gt;"",LOOKUP(2,1/('Weekly Tracker'!$E$2:$E$766=$A1291)/('Weekly Tracker'!$F$2:$F$766&lt;&gt;""),'Weekly Tracker'!$G$2:$G$766),"")</f>
        <v/>
      </c>
      <c r="H1291" s="9">
        <f>IFERROR(LOOKUP(2,1/('Weekly Tracker'!$E$2:$E$766=$A1291)/('Weekly Tracker'!$H$2:$H$766&lt;&gt;""),'Weekly Tracker'!$H$2:$H$766),"")</f>
        <v/>
      </c>
      <c r="I1291" s="16">
        <f>IF(H1291&lt;&gt;"",LOOKUP(2,1/('Weekly Tracker'!$E$2:$E$766=$A1291)/('Weekly Tracker'!$H$2:$H$766&lt;&gt;""),'Weekly Tracker'!$I$2:$I$766),"")</f>
        <v/>
      </c>
      <c r="J1291" s="9">
        <f>IFERROR(LOOKUP(2,1/('Weekly Tracker'!$E$2:$E$766=$A1291)/('Weekly Tracker'!$J$2:$J$766&lt;&gt;""),'Weekly Tracker'!$J$2:$J$766),"")</f>
        <v/>
      </c>
      <c r="K1291" s="9">
        <f>IFERROR(LOOKUP(2,1/('Weekly Tracker'!$E$2:$E$766=$A1291)/('Weekly Tracker'!$N$2:$N$766&lt;&gt;""),'Weekly Tracker'!$N$2:$N$766),"")</f>
        <v/>
      </c>
      <c r="L1291" s="9">
        <f>IFERROR(LOOKUP(2,1/('Weekly Tracker'!$E$2:$E$766=$A1291)/('Weekly Tracker'!$O$2:$O$766&lt;&gt;""),'Weekly Tracker'!$O$2:$O$766),"")</f>
        <v/>
      </c>
    </row>
    <row r="1292">
      <c r="A1292" s="9" t="inlineStr">
        <is>
          <t>Anand Mech FB</t>
        </is>
      </c>
      <c r="B1292" s="9" t="inlineStr">
        <is>
          <t>918610563453, 9488678304</t>
        </is>
      </c>
      <c r="C1292" s="9" t="n"/>
      <c r="D1292" s="9" t="n"/>
      <c r="E1292" s="9" t="n"/>
      <c r="F1292" s="9">
        <f>IFERROR(LOOKUP(2,1/('Weekly Tracker'!$E$2:$E$766=$A1292)/('Weekly Tracker'!$F$2:$F$766&lt;&gt;""),'Weekly Tracker'!$F$2:$F$766),"")</f>
        <v/>
      </c>
      <c r="G1292" s="16">
        <f>IF(F1292&lt;&gt;"",LOOKUP(2,1/('Weekly Tracker'!$E$2:$E$766=$A1292)/('Weekly Tracker'!$F$2:$F$766&lt;&gt;""),'Weekly Tracker'!$G$2:$G$766),"")</f>
        <v/>
      </c>
      <c r="H1292" s="9">
        <f>IFERROR(LOOKUP(2,1/('Weekly Tracker'!$E$2:$E$766=$A1292)/('Weekly Tracker'!$H$2:$H$766&lt;&gt;""),'Weekly Tracker'!$H$2:$H$766),"")</f>
        <v/>
      </c>
      <c r="I1292" s="16">
        <f>IF(H1292&lt;&gt;"",LOOKUP(2,1/('Weekly Tracker'!$E$2:$E$766=$A1292)/('Weekly Tracker'!$H$2:$H$766&lt;&gt;""),'Weekly Tracker'!$I$2:$I$766),"")</f>
        <v/>
      </c>
      <c r="J1292" s="9">
        <f>IFERROR(LOOKUP(2,1/('Weekly Tracker'!$E$2:$E$766=$A1292)/('Weekly Tracker'!$J$2:$J$766&lt;&gt;""),'Weekly Tracker'!$J$2:$J$766),"")</f>
        <v/>
      </c>
      <c r="K1292" s="9">
        <f>IFERROR(LOOKUP(2,1/('Weekly Tracker'!$E$2:$E$766=$A1292)/('Weekly Tracker'!$N$2:$N$766&lt;&gt;""),'Weekly Tracker'!$N$2:$N$766),"")</f>
        <v/>
      </c>
      <c r="L1292" s="9">
        <f>IFERROR(LOOKUP(2,1/('Weekly Tracker'!$E$2:$E$766=$A1292)/('Weekly Tracker'!$O$2:$O$766&lt;&gt;""),'Weekly Tracker'!$O$2:$O$766),"")</f>
        <v/>
      </c>
    </row>
    <row r="1293">
      <c r="A1293" s="9" t="inlineStr">
        <is>
          <t>Vaḻikāṭṭiyāṉa</t>
        </is>
      </c>
      <c r="B1293" s="9" t="inlineStr">
        <is>
          <t>9789060922</t>
        </is>
      </c>
      <c r="C1293" s="9" t="n"/>
      <c r="D1293" s="9" t="n"/>
      <c r="E1293" s="9" t="n"/>
      <c r="F1293" s="9">
        <f>IFERROR(LOOKUP(2,1/('Weekly Tracker'!$E$2:$E$766=$A1293)/('Weekly Tracker'!$F$2:$F$766&lt;&gt;""),'Weekly Tracker'!$F$2:$F$766),"")</f>
        <v/>
      </c>
      <c r="G1293" s="16">
        <f>IF(F1293&lt;&gt;"",LOOKUP(2,1/('Weekly Tracker'!$E$2:$E$766=$A1293)/('Weekly Tracker'!$F$2:$F$766&lt;&gt;""),'Weekly Tracker'!$G$2:$G$766),"")</f>
        <v/>
      </c>
      <c r="H1293" s="9">
        <f>IFERROR(LOOKUP(2,1/('Weekly Tracker'!$E$2:$E$766=$A1293)/('Weekly Tracker'!$H$2:$H$766&lt;&gt;""),'Weekly Tracker'!$H$2:$H$766),"")</f>
        <v/>
      </c>
      <c r="I1293" s="16">
        <f>IF(H1293&lt;&gt;"",LOOKUP(2,1/('Weekly Tracker'!$E$2:$E$766=$A1293)/('Weekly Tracker'!$H$2:$H$766&lt;&gt;""),'Weekly Tracker'!$I$2:$I$766),"")</f>
        <v/>
      </c>
      <c r="J1293" s="9">
        <f>IFERROR(LOOKUP(2,1/('Weekly Tracker'!$E$2:$E$766=$A1293)/('Weekly Tracker'!$J$2:$J$766&lt;&gt;""),'Weekly Tracker'!$J$2:$J$766),"")</f>
        <v/>
      </c>
      <c r="K1293" s="9">
        <f>IFERROR(LOOKUP(2,1/('Weekly Tracker'!$E$2:$E$766=$A1293)/('Weekly Tracker'!$N$2:$N$766&lt;&gt;""),'Weekly Tracker'!$N$2:$N$766),"")</f>
        <v/>
      </c>
      <c r="L1293" s="9">
        <f>IFERROR(LOOKUP(2,1/('Weekly Tracker'!$E$2:$E$766=$A1293)/('Weekly Tracker'!$O$2:$O$766&lt;&gt;""),'Weekly Tracker'!$O$2:$O$766),"")</f>
        <v/>
      </c>
    </row>
    <row r="1294">
      <c r="A1294" s="9" t="inlineStr">
        <is>
          <t>Saibu Siddiq FB</t>
        </is>
      </c>
      <c r="B1294" s="9" t="inlineStr">
        <is>
          <t>9751326048</t>
        </is>
      </c>
      <c r="C1294" s="9" t="n"/>
      <c r="D1294" s="9" t="n"/>
      <c r="E1294" s="9" t="n"/>
      <c r="F1294" s="9">
        <f>IFERROR(LOOKUP(2,1/('Weekly Tracker'!$E$2:$E$766=$A1294)/('Weekly Tracker'!$F$2:$F$766&lt;&gt;""),'Weekly Tracker'!$F$2:$F$766),"")</f>
        <v/>
      </c>
      <c r="G1294" s="16">
        <f>IF(F1294&lt;&gt;"",LOOKUP(2,1/('Weekly Tracker'!$E$2:$E$766=$A1294)/('Weekly Tracker'!$F$2:$F$766&lt;&gt;""),'Weekly Tracker'!$G$2:$G$766),"")</f>
        <v/>
      </c>
      <c r="H1294" s="9">
        <f>IFERROR(LOOKUP(2,1/('Weekly Tracker'!$E$2:$E$766=$A1294)/('Weekly Tracker'!$H$2:$H$766&lt;&gt;""),'Weekly Tracker'!$H$2:$H$766),"")</f>
        <v/>
      </c>
      <c r="I1294" s="16">
        <f>IF(H1294&lt;&gt;"",LOOKUP(2,1/('Weekly Tracker'!$E$2:$E$766=$A1294)/('Weekly Tracker'!$H$2:$H$766&lt;&gt;""),'Weekly Tracker'!$I$2:$I$766),"")</f>
        <v/>
      </c>
      <c r="J1294" s="9">
        <f>IFERROR(LOOKUP(2,1/('Weekly Tracker'!$E$2:$E$766=$A1294)/('Weekly Tracker'!$J$2:$J$766&lt;&gt;""),'Weekly Tracker'!$J$2:$J$766),"")</f>
        <v/>
      </c>
      <c r="K1294" s="9">
        <f>IFERROR(LOOKUP(2,1/('Weekly Tracker'!$E$2:$E$766=$A1294)/('Weekly Tracker'!$N$2:$N$766&lt;&gt;""),'Weekly Tracker'!$N$2:$N$766),"")</f>
        <v/>
      </c>
      <c r="L1294" s="9">
        <f>IFERROR(LOOKUP(2,1/('Weekly Tracker'!$E$2:$E$766=$A1294)/('Weekly Tracker'!$O$2:$O$766&lt;&gt;""),'Weekly Tracker'!$O$2:$O$766),"")</f>
        <v/>
      </c>
    </row>
    <row r="1295">
      <c r="A1295" s="9" t="inlineStr">
        <is>
          <t>Sathiesh 1styr</t>
        </is>
      </c>
      <c r="B1295" s="9" t="inlineStr">
        <is>
          <t>919791514094, 919786923394</t>
        </is>
      </c>
      <c r="C1295" s="9" t="n"/>
      <c r="D1295" s="9" t="n"/>
      <c r="E1295" s="9" t="n"/>
      <c r="F1295" s="9">
        <f>IFERROR(LOOKUP(2,1/('Weekly Tracker'!$E$2:$E$766=$A1295)/('Weekly Tracker'!$F$2:$F$766&lt;&gt;""),'Weekly Tracker'!$F$2:$F$766),"")</f>
        <v/>
      </c>
      <c r="G1295" s="16">
        <f>IF(F1295&lt;&gt;"",LOOKUP(2,1/('Weekly Tracker'!$E$2:$E$766=$A1295)/('Weekly Tracker'!$F$2:$F$766&lt;&gt;""),'Weekly Tracker'!$G$2:$G$766),"")</f>
        <v/>
      </c>
      <c r="H1295" s="9">
        <f>IFERROR(LOOKUP(2,1/('Weekly Tracker'!$E$2:$E$766=$A1295)/('Weekly Tracker'!$H$2:$H$766&lt;&gt;""),'Weekly Tracker'!$H$2:$H$766),"")</f>
        <v/>
      </c>
      <c r="I1295" s="16">
        <f>IF(H1295&lt;&gt;"",LOOKUP(2,1/('Weekly Tracker'!$E$2:$E$766=$A1295)/('Weekly Tracker'!$H$2:$H$766&lt;&gt;""),'Weekly Tracker'!$I$2:$I$766),"")</f>
        <v/>
      </c>
      <c r="J1295" s="9">
        <f>IFERROR(LOOKUP(2,1/('Weekly Tracker'!$E$2:$E$766=$A1295)/('Weekly Tracker'!$J$2:$J$766&lt;&gt;""),'Weekly Tracker'!$J$2:$J$766),"")</f>
        <v/>
      </c>
      <c r="K1295" s="9">
        <f>IFERROR(LOOKUP(2,1/('Weekly Tracker'!$E$2:$E$766=$A1295)/('Weekly Tracker'!$N$2:$N$766&lt;&gt;""),'Weekly Tracker'!$N$2:$N$766),"")</f>
        <v/>
      </c>
      <c r="L1295" s="9">
        <f>IFERROR(LOOKUP(2,1/('Weekly Tracker'!$E$2:$E$766=$A1295)/('Weekly Tracker'!$O$2:$O$766&lt;&gt;""),'Weekly Tracker'!$O$2:$O$766),"")</f>
        <v/>
      </c>
    </row>
    <row r="1296">
      <c r="A1296" s="9" t="inlineStr">
        <is>
          <t>Mahendran Murugan Scl</t>
        </is>
      </c>
      <c r="B1296" s="9" t="inlineStr">
        <is>
          <t>919731656906</t>
        </is>
      </c>
      <c r="C1296" s="9" t="n"/>
      <c r="D1296" s="9" t="n"/>
      <c r="E1296" s="9" t="n"/>
      <c r="F1296" s="9">
        <f>IFERROR(LOOKUP(2,1/('Weekly Tracker'!$E$2:$E$766=$A1296)/('Weekly Tracker'!$F$2:$F$766&lt;&gt;""),'Weekly Tracker'!$F$2:$F$766),"")</f>
        <v/>
      </c>
      <c r="G1296" s="16">
        <f>IF(F1296&lt;&gt;"",LOOKUP(2,1/('Weekly Tracker'!$E$2:$E$766=$A1296)/('Weekly Tracker'!$F$2:$F$766&lt;&gt;""),'Weekly Tracker'!$G$2:$G$766),"")</f>
        <v/>
      </c>
      <c r="H1296" s="9">
        <f>IFERROR(LOOKUP(2,1/('Weekly Tracker'!$E$2:$E$766=$A1296)/('Weekly Tracker'!$H$2:$H$766&lt;&gt;""),'Weekly Tracker'!$H$2:$H$766),"")</f>
        <v/>
      </c>
      <c r="I1296" s="16">
        <f>IF(H1296&lt;&gt;"",LOOKUP(2,1/('Weekly Tracker'!$E$2:$E$766=$A1296)/('Weekly Tracker'!$H$2:$H$766&lt;&gt;""),'Weekly Tracker'!$I$2:$I$766),"")</f>
        <v/>
      </c>
      <c r="J1296" s="9">
        <f>IFERROR(LOOKUP(2,1/('Weekly Tracker'!$E$2:$E$766=$A1296)/('Weekly Tracker'!$J$2:$J$766&lt;&gt;""),'Weekly Tracker'!$J$2:$J$766),"")</f>
        <v/>
      </c>
      <c r="K1296" s="9">
        <f>IFERROR(LOOKUP(2,1/('Weekly Tracker'!$E$2:$E$766=$A1296)/('Weekly Tracker'!$N$2:$N$766&lt;&gt;""),'Weekly Tracker'!$N$2:$N$766),"")</f>
        <v/>
      </c>
      <c r="L1296" s="9">
        <f>IFERROR(LOOKUP(2,1/('Weekly Tracker'!$E$2:$E$766=$A1296)/('Weekly Tracker'!$O$2:$O$766&lt;&gt;""),'Weekly Tracker'!$O$2:$O$766),"")</f>
        <v/>
      </c>
    </row>
    <row r="1297">
      <c r="A1297" s="9" t="inlineStr">
        <is>
          <t>Subramanianbala Grp Ucen</t>
        </is>
      </c>
      <c r="B1297" s="9" t="inlineStr">
        <is>
          <t>917402673823</t>
        </is>
      </c>
      <c r="C1297" s="9" t="n"/>
      <c r="D1297" s="9" t="n"/>
      <c r="E1297" s="9" t="n"/>
      <c r="F1297" s="9">
        <f>IFERROR(LOOKUP(2,1/('Weekly Tracker'!$E$2:$E$766=$A1297)/('Weekly Tracker'!$F$2:$F$766&lt;&gt;""),'Weekly Tracker'!$F$2:$F$766),"")</f>
        <v/>
      </c>
      <c r="G1297" s="16">
        <f>IF(F1297&lt;&gt;"",LOOKUP(2,1/('Weekly Tracker'!$E$2:$E$766=$A1297)/('Weekly Tracker'!$F$2:$F$766&lt;&gt;""),'Weekly Tracker'!$G$2:$G$766),"")</f>
        <v/>
      </c>
      <c r="H1297" s="9">
        <f>IFERROR(LOOKUP(2,1/('Weekly Tracker'!$E$2:$E$766=$A1297)/('Weekly Tracker'!$H$2:$H$766&lt;&gt;""),'Weekly Tracker'!$H$2:$H$766),"")</f>
        <v/>
      </c>
      <c r="I1297" s="16">
        <f>IF(H1297&lt;&gt;"",LOOKUP(2,1/('Weekly Tracker'!$E$2:$E$766=$A1297)/('Weekly Tracker'!$H$2:$H$766&lt;&gt;""),'Weekly Tracker'!$I$2:$I$766),"")</f>
        <v/>
      </c>
      <c r="J1297" s="9">
        <f>IFERROR(LOOKUP(2,1/('Weekly Tracker'!$E$2:$E$766=$A1297)/('Weekly Tracker'!$J$2:$J$766&lt;&gt;""),'Weekly Tracker'!$J$2:$J$766),"")</f>
        <v/>
      </c>
      <c r="K1297" s="9">
        <f>IFERROR(LOOKUP(2,1/('Weekly Tracker'!$E$2:$E$766=$A1297)/('Weekly Tracker'!$N$2:$N$766&lt;&gt;""),'Weekly Tracker'!$N$2:$N$766),"")</f>
        <v/>
      </c>
      <c r="L1297" s="9">
        <f>IFERROR(LOOKUP(2,1/('Weekly Tracker'!$E$2:$E$766=$A1297)/('Weekly Tracker'!$O$2:$O$766&lt;&gt;""),'Weekly Tracker'!$O$2:$O$766),"")</f>
        <v/>
      </c>
    </row>
    <row r="1298">
      <c r="A1298" s="9" t="inlineStr">
        <is>
          <t>Rajkumar urjan</t>
        </is>
      </c>
      <c r="B1298" s="9" t="inlineStr">
        <is>
          <t>919789719662</t>
        </is>
      </c>
      <c r="C1298" s="9" t="n"/>
      <c r="D1298" s="9" t="n"/>
      <c r="E1298" s="9" t="n"/>
      <c r="F1298" s="9">
        <f>IFERROR(LOOKUP(2,1/('Weekly Tracker'!$E$2:$E$766=$A1298)/('Weekly Tracker'!$F$2:$F$766&lt;&gt;""),'Weekly Tracker'!$F$2:$F$766),"")</f>
        <v/>
      </c>
      <c r="G1298" s="16">
        <f>IF(F1298&lt;&gt;"",LOOKUP(2,1/('Weekly Tracker'!$E$2:$E$766=$A1298)/('Weekly Tracker'!$F$2:$F$766&lt;&gt;""),'Weekly Tracker'!$G$2:$G$766),"")</f>
        <v/>
      </c>
      <c r="H1298" s="9">
        <f>IFERROR(LOOKUP(2,1/('Weekly Tracker'!$E$2:$E$766=$A1298)/('Weekly Tracker'!$H$2:$H$766&lt;&gt;""),'Weekly Tracker'!$H$2:$H$766),"")</f>
        <v/>
      </c>
      <c r="I1298" s="16">
        <f>IF(H1298&lt;&gt;"",LOOKUP(2,1/('Weekly Tracker'!$E$2:$E$766=$A1298)/('Weekly Tracker'!$H$2:$H$766&lt;&gt;""),'Weekly Tracker'!$I$2:$I$766),"")</f>
        <v/>
      </c>
      <c r="J1298" s="9">
        <f>IFERROR(LOOKUP(2,1/('Weekly Tracker'!$E$2:$E$766=$A1298)/('Weekly Tracker'!$J$2:$J$766&lt;&gt;""),'Weekly Tracker'!$J$2:$J$766),"")</f>
        <v/>
      </c>
      <c r="K1298" s="9">
        <f>IFERROR(LOOKUP(2,1/('Weekly Tracker'!$E$2:$E$766=$A1298)/('Weekly Tracker'!$N$2:$N$766&lt;&gt;""),'Weekly Tracker'!$N$2:$N$766),"")</f>
        <v/>
      </c>
      <c r="L1298" s="9">
        <f>IFERROR(LOOKUP(2,1/('Weekly Tracker'!$E$2:$E$766=$A1298)/('Weekly Tracker'!$O$2:$O$766&lt;&gt;""),'Weekly Tracker'!$O$2:$O$766),"")</f>
        <v/>
      </c>
    </row>
    <row r="1299">
      <c r="A1299" s="9" t="inlineStr">
        <is>
          <t>Jagan WFP</t>
        </is>
      </c>
      <c r="B1299" s="9" t="inlineStr">
        <is>
          <t>919095256379</t>
        </is>
      </c>
      <c r="C1299" s="9" t="n"/>
      <c r="D1299" s="9" t="n"/>
      <c r="E1299" s="9" t="n"/>
      <c r="F1299" s="9">
        <f>IFERROR(LOOKUP(2,1/('Weekly Tracker'!$E$2:$E$766=$A1299)/('Weekly Tracker'!$F$2:$F$766&lt;&gt;""),'Weekly Tracker'!$F$2:$F$766),"")</f>
        <v/>
      </c>
      <c r="G1299" s="16">
        <f>IF(F1299&lt;&gt;"",LOOKUP(2,1/('Weekly Tracker'!$E$2:$E$766=$A1299)/('Weekly Tracker'!$F$2:$F$766&lt;&gt;""),'Weekly Tracker'!$G$2:$G$766),"")</f>
        <v/>
      </c>
      <c r="H1299" s="9">
        <f>IFERROR(LOOKUP(2,1/('Weekly Tracker'!$E$2:$E$766=$A1299)/('Weekly Tracker'!$H$2:$H$766&lt;&gt;""),'Weekly Tracker'!$H$2:$H$766),"")</f>
        <v/>
      </c>
      <c r="I1299" s="16">
        <f>IF(H1299&lt;&gt;"",LOOKUP(2,1/('Weekly Tracker'!$E$2:$E$766=$A1299)/('Weekly Tracker'!$H$2:$H$766&lt;&gt;""),'Weekly Tracker'!$I$2:$I$766),"")</f>
        <v/>
      </c>
      <c r="J1299" s="9">
        <f>IFERROR(LOOKUP(2,1/('Weekly Tracker'!$E$2:$E$766=$A1299)/('Weekly Tracker'!$J$2:$J$766&lt;&gt;""),'Weekly Tracker'!$J$2:$J$766),"")</f>
        <v/>
      </c>
      <c r="K1299" s="9">
        <f>IFERROR(LOOKUP(2,1/('Weekly Tracker'!$E$2:$E$766=$A1299)/('Weekly Tracker'!$N$2:$N$766&lt;&gt;""),'Weekly Tracker'!$N$2:$N$766),"")</f>
        <v/>
      </c>
      <c r="L1299" s="9">
        <f>IFERROR(LOOKUP(2,1/('Weekly Tracker'!$E$2:$E$766=$A1299)/('Weekly Tracker'!$O$2:$O$766&lt;&gt;""),'Weekly Tracker'!$O$2:$O$766),"")</f>
        <v/>
      </c>
    </row>
    <row r="1300">
      <c r="A1300" s="9" t="inlineStr">
        <is>
          <t>Pavithran FB</t>
        </is>
      </c>
      <c r="B1300" s="9" t="inlineStr">
        <is>
          <t>918870096159</t>
        </is>
      </c>
      <c r="C1300" s="9" t="n"/>
      <c r="D1300" s="9" t="n"/>
      <c r="E1300" s="9" t="n"/>
      <c r="F1300" s="9">
        <f>IFERROR(LOOKUP(2,1/('Weekly Tracker'!$E$2:$E$766=$A1300)/('Weekly Tracker'!$F$2:$F$766&lt;&gt;""),'Weekly Tracker'!$F$2:$F$766),"")</f>
        <v/>
      </c>
      <c r="G1300" s="16">
        <f>IF(F1300&lt;&gt;"",LOOKUP(2,1/('Weekly Tracker'!$E$2:$E$766=$A1300)/('Weekly Tracker'!$F$2:$F$766&lt;&gt;""),'Weekly Tracker'!$G$2:$G$766),"")</f>
        <v/>
      </c>
      <c r="H1300" s="9">
        <f>IFERROR(LOOKUP(2,1/('Weekly Tracker'!$E$2:$E$766=$A1300)/('Weekly Tracker'!$H$2:$H$766&lt;&gt;""),'Weekly Tracker'!$H$2:$H$766),"")</f>
        <v/>
      </c>
      <c r="I1300" s="16">
        <f>IF(H1300&lt;&gt;"",LOOKUP(2,1/('Weekly Tracker'!$E$2:$E$766=$A1300)/('Weekly Tracker'!$H$2:$H$766&lt;&gt;""),'Weekly Tracker'!$I$2:$I$766),"")</f>
        <v/>
      </c>
      <c r="J1300" s="9">
        <f>IFERROR(LOOKUP(2,1/('Weekly Tracker'!$E$2:$E$766=$A1300)/('Weekly Tracker'!$J$2:$J$766&lt;&gt;""),'Weekly Tracker'!$J$2:$J$766),"")</f>
        <v/>
      </c>
      <c r="K1300" s="9">
        <f>IFERROR(LOOKUP(2,1/('Weekly Tracker'!$E$2:$E$766=$A1300)/('Weekly Tracker'!$N$2:$N$766&lt;&gt;""),'Weekly Tracker'!$N$2:$N$766),"")</f>
        <v/>
      </c>
      <c r="L1300" s="9">
        <f>IFERROR(LOOKUP(2,1/('Weekly Tracker'!$E$2:$E$766=$A1300)/('Weekly Tracker'!$O$2:$O$766&lt;&gt;""),'Weekly Tracker'!$O$2:$O$766),"")</f>
        <v/>
      </c>
    </row>
    <row r="1301">
      <c r="A1301" s="9" t="inlineStr">
        <is>
          <t>lingesh Civil</t>
        </is>
      </c>
      <c r="B1301" s="9" t="inlineStr">
        <is>
          <t>919597273565</t>
        </is>
      </c>
      <c r="C1301" s="9" t="n"/>
      <c r="D1301" s="9" t="n"/>
      <c r="E1301" s="9" t="inlineStr">
        <is>
          <t>Tamil Nadu, India</t>
        </is>
      </c>
      <c r="F1301" s="9">
        <f>IFERROR(LOOKUP(2,1/('Weekly Tracker'!$E$2:$E$766=$A1301)/('Weekly Tracker'!$F$2:$F$766&lt;&gt;""),'Weekly Tracker'!$F$2:$F$766),"")</f>
        <v/>
      </c>
      <c r="G1301" s="16">
        <f>IF(F1301&lt;&gt;"",LOOKUP(2,1/('Weekly Tracker'!$E$2:$E$766=$A1301)/('Weekly Tracker'!$F$2:$F$766&lt;&gt;""),'Weekly Tracker'!$G$2:$G$766),"")</f>
        <v/>
      </c>
      <c r="H1301" s="9">
        <f>IFERROR(LOOKUP(2,1/('Weekly Tracker'!$E$2:$E$766=$A1301)/('Weekly Tracker'!$H$2:$H$766&lt;&gt;""),'Weekly Tracker'!$H$2:$H$766),"")</f>
        <v/>
      </c>
      <c r="I1301" s="16">
        <f>IF(H1301&lt;&gt;"",LOOKUP(2,1/('Weekly Tracker'!$E$2:$E$766=$A1301)/('Weekly Tracker'!$H$2:$H$766&lt;&gt;""),'Weekly Tracker'!$I$2:$I$766),"")</f>
        <v/>
      </c>
      <c r="J1301" s="9">
        <f>IFERROR(LOOKUP(2,1/('Weekly Tracker'!$E$2:$E$766=$A1301)/('Weekly Tracker'!$J$2:$J$766&lt;&gt;""),'Weekly Tracker'!$J$2:$J$766),"")</f>
        <v/>
      </c>
      <c r="K1301" s="9">
        <f>IFERROR(LOOKUP(2,1/('Weekly Tracker'!$E$2:$E$766=$A1301)/('Weekly Tracker'!$N$2:$N$766&lt;&gt;""),'Weekly Tracker'!$N$2:$N$766),"")</f>
        <v/>
      </c>
      <c r="L1301" s="9">
        <f>IFERROR(LOOKUP(2,1/('Weekly Tracker'!$E$2:$E$766=$A1301)/('Weekly Tracker'!$O$2:$O$766&lt;&gt;""),'Weekly Tracker'!$O$2:$O$766),"")</f>
        <v/>
      </c>
    </row>
    <row r="1302">
      <c r="A1302" s="9" t="inlineStr">
        <is>
          <t>Nishanth Owner</t>
        </is>
      </c>
      <c r="B1302" s="9" t="inlineStr">
        <is>
          <t>918925458796</t>
        </is>
      </c>
      <c r="C1302" s="9" t="n"/>
      <c r="D1302" s="9" t="n"/>
      <c r="E1302" s="9" t="n"/>
      <c r="F1302" s="9">
        <f>IFERROR(LOOKUP(2,1/('Weekly Tracker'!$E$2:$E$766=$A1302)/('Weekly Tracker'!$F$2:$F$766&lt;&gt;""),'Weekly Tracker'!$F$2:$F$766),"")</f>
        <v/>
      </c>
      <c r="G1302" s="16">
        <f>IF(F1302&lt;&gt;"",LOOKUP(2,1/('Weekly Tracker'!$E$2:$E$766=$A1302)/('Weekly Tracker'!$F$2:$F$766&lt;&gt;""),'Weekly Tracker'!$G$2:$G$766),"")</f>
        <v/>
      </c>
      <c r="H1302" s="9">
        <f>IFERROR(LOOKUP(2,1/('Weekly Tracker'!$E$2:$E$766=$A1302)/('Weekly Tracker'!$H$2:$H$766&lt;&gt;""),'Weekly Tracker'!$H$2:$H$766),"")</f>
        <v/>
      </c>
      <c r="I1302" s="16">
        <f>IF(H1302&lt;&gt;"",LOOKUP(2,1/('Weekly Tracker'!$E$2:$E$766=$A1302)/('Weekly Tracker'!$H$2:$H$766&lt;&gt;""),'Weekly Tracker'!$I$2:$I$766),"")</f>
        <v/>
      </c>
      <c r="J1302" s="9">
        <f>IFERROR(LOOKUP(2,1/('Weekly Tracker'!$E$2:$E$766=$A1302)/('Weekly Tracker'!$J$2:$J$766&lt;&gt;""),'Weekly Tracker'!$J$2:$J$766),"")</f>
        <v/>
      </c>
      <c r="K1302" s="9">
        <f>IFERROR(LOOKUP(2,1/('Weekly Tracker'!$E$2:$E$766=$A1302)/('Weekly Tracker'!$N$2:$N$766&lt;&gt;""),'Weekly Tracker'!$N$2:$N$766),"")</f>
        <v/>
      </c>
      <c r="L1302" s="9">
        <f>IFERROR(LOOKUP(2,1/('Weekly Tracker'!$E$2:$E$766=$A1302)/('Weekly Tracker'!$O$2:$O$766&lt;&gt;""),'Weekly Tracker'!$O$2:$O$766),"")</f>
        <v/>
      </c>
    </row>
    <row r="1303">
      <c r="A1303" s="9" t="inlineStr">
        <is>
          <t>Kumar Junior Grp</t>
        </is>
      </c>
      <c r="B1303" s="9" t="inlineStr">
        <is>
          <t>919445805699</t>
        </is>
      </c>
      <c r="C1303" s="9" t="n"/>
      <c r="D1303" s="9" t="n"/>
      <c r="E1303" s="9" t="n"/>
      <c r="F1303" s="9">
        <f>IFERROR(LOOKUP(2,1/('Weekly Tracker'!$E$2:$E$766=$A1303)/('Weekly Tracker'!$F$2:$F$766&lt;&gt;""),'Weekly Tracker'!$F$2:$F$766),"")</f>
        <v/>
      </c>
      <c r="G1303" s="16">
        <f>IF(F1303&lt;&gt;"",LOOKUP(2,1/('Weekly Tracker'!$E$2:$E$766=$A1303)/('Weekly Tracker'!$F$2:$F$766&lt;&gt;""),'Weekly Tracker'!$G$2:$G$766),"")</f>
        <v/>
      </c>
      <c r="H1303" s="9">
        <f>IFERROR(LOOKUP(2,1/('Weekly Tracker'!$E$2:$E$766=$A1303)/('Weekly Tracker'!$H$2:$H$766&lt;&gt;""),'Weekly Tracker'!$H$2:$H$766),"")</f>
        <v/>
      </c>
      <c r="I1303" s="16">
        <f>IF(H1303&lt;&gt;"",LOOKUP(2,1/('Weekly Tracker'!$E$2:$E$766=$A1303)/('Weekly Tracker'!$H$2:$H$766&lt;&gt;""),'Weekly Tracker'!$I$2:$I$766),"")</f>
        <v/>
      </c>
      <c r="J1303" s="9">
        <f>IFERROR(LOOKUP(2,1/('Weekly Tracker'!$E$2:$E$766=$A1303)/('Weekly Tracker'!$J$2:$J$766&lt;&gt;""),'Weekly Tracker'!$J$2:$J$766),"")</f>
        <v/>
      </c>
      <c r="K1303" s="9">
        <f>IFERROR(LOOKUP(2,1/('Weekly Tracker'!$E$2:$E$766=$A1303)/('Weekly Tracker'!$N$2:$N$766&lt;&gt;""),'Weekly Tracker'!$N$2:$N$766),"")</f>
        <v/>
      </c>
      <c r="L1303" s="9">
        <f>IFERROR(LOOKUP(2,1/('Weekly Tracker'!$E$2:$E$766=$A1303)/('Weekly Tracker'!$O$2:$O$766&lt;&gt;""),'Weekly Tracker'!$O$2:$O$766),"")</f>
        <v/>
      </c>
    </row>
    <row r="1304">
      <c r="A1304" s="9" t="inlineStr">
        <is>
          <t>Arun Kumar Kalari OMR</t>
        </is>
      </c>
      <c r="B1304" s="9" t="inlineStr">
        <is>
          <t>9080682178</t>
        </is>
      </c>
      <c r="C1304" s="9" t="n"/>
      <c r="D1304" s="9" t="n"/>
      <c r="E1304" s="9" t="n"/>
      <c r="F1304" s="9">
        <f>IFERROR(LOOKUP(2,1/('Weekly Tracker'!$E$2:$E$766=$A1304)/('Weekly Tracker'!$F$2:$F$766&lt;&gt;""),'Weekly Tracker'!$F$2:$F$766),"")</f>
        <v/>
      </c>
      <c r="G1304" s="16">
        <f>IF(F1304&lt;&gt;"",LOOKUP(2,1/('Weekly Tracker'!$E$2:$E$766=$A1304)/('Weekly Tracker'!$F$2:$F$766&lt;&gt;""),'Weekly Tracker'!$G$2:$G$766),"")</f>
        <v/>
      </c>
      <c r="H1304" s="9">
        <f>IFERROR(LOOKUP(2,1/('Weekly Tracker'!$E$2:$E$766=$A1304)/('Weekly Tracker'!$H$2:$H$766&lt;&gt;""),'Weekly Tracker'!$H$2:$H$766),"")</f>
        <v/>
      </c>
      <c r="I1304" s="16">
        <f>IF(H1304&lt;&gt;"",LOOKUP(2,1/('Weekly Tracker'!$E$2:$E$766=$A1304)/('Weekly Tracker'!$H$2:$H$766&lt;&gt;""),'Weekly Tracker'!$I$2:$I$766),"")</f>
        <v/>
      </c>
      <c r="J1304" s="9">
        <f>IFERROR(LOOKUP(2,1/('Weekly Tracker'!$E$2:$E$766=$A1304)/('Weekly Tracker'!$J$2:$J$766&lt;&gt;""),'Weekly Tracker'!$J$2:$J$766),"")</f>
        <v/>
      </c>
      <c r="K1304" s="9">
        <f>IFERROR(LOOKUP(2,1/('Weekly Tracker'!$E$2:$E$766=$A1304)/('Weekly Tracker'!$N$2:$N$766&lt;&gt;""),'Weekly Tracker'!$N$2:$N$766),"")</f>
        <v/>
      </c>
      <c r="L1304" s="9">
        <f>IFERROR(LOOKUP(2,1/('Weekly Tracker'!$E$2:$E$766=$A1304)/('Weekly Tracker'!$O$2:$O$766&lt;&gt;""),'Weekly Tracker'!$O$2:$O$766),"")</f>
        <v/>
      </c>
    </row>
    <row r="1305">
      <c r="A1305" s="9" t="inlineStr">
        <is>
          <t>Poongavanam HDFC</t>
        </is>
      </c>
      <c r="B1305" s="9" t="inlineStr">
        <is>
          <t>9003212037</t>
        </is>
      </c>
      <c r="C1305" s="9" t="n"/>
      <c r="D1305" s="9" t="n"/>
      <c r="E1305" s="9" t="n"/>
      <c r="F1305" s="9">
        <f>IFERROR(LOOKUP(2,1/('Weekly Tracker'!$E$2:$E$766=$A1305)/('Weekly Tracker'!$F$2:$F$766&lt;&gt;""),'Weekly Tracker'!$F$2:$F$766),"")</f>
        <v/>
      </c>
      <c r="G1305" s="16">
        <f>IF(F1305&lt;&gt;"",LOOKUP(2,1/('Weekly Tracker'!$E$2:$E$766=$A1305)/('Weekly Tracker'!$F$2:$F$766&lt;&gt;""),'Weekly Tracker'!$G$2:$G$766),"")</f>
        <v/>
      </c>
      <c r="H1305" s="9">
        <f>IFERROR(LOOKUP(2,1/('Weekly Tracker'!$E$2:$E$766=$A1305)/('Weekly Tracker'!$H$2:$H$766&lt;&gt;""),'Weekly Tracker'!$H$2:$H$766),"")</f>
        <v/>
      </c>
      <c r="I1305" s="16">
        <f>IF(H1305&lt;&gt;"",LOOKUP(2,1/('Weekly Tracker'!$E$2:$E$766=$A1305)/('Weekly Tracker'!$H$2:$H$766&lt;&gt;""),'Weekly Tracker'!$I$2:$I$766),"")</f>
        <v/>
      </c>
      <c r="J1305" s="9">
        <f>IFERROR(LOOKUP(2,1/('Weekly Tracker'!$E$2:$E$766=$A1305)/('Weekly Tracker'!$J$2:$J$766&lt;&gt;""),'Weekly Tracker'!$J$2:$J$766),"")</f>
        <v/>
      </c>
      <c r="K1305" s="9">
        <f>IFERROR(LOOKUP(2,1/('Weekly Tracker'!$E$2:$E$766=$A1305)/('Weekly Tracker'!$N$2:$N$766&lt;&gt;""),'Weekly Tracker'!$N$2:$N$766),"")</f>
        <v/>
      </c>
      <c r="L1305" s="9">
        <f>IFERROR(LOOKUP(2,1/('Weekly Tracker'!$E$2:$E$766=$A1305)/('Weekly Tracker'!$O$2:$O$766&lt;&gt;""),'Weekly Tracker'!$O$2:$O$766),"")</f>
        <v/>
      </c>
    </row>
    <row r="1306">
      <c r="A1306" s="9" t="inlineStr">
        <is>
          <t>Ashwin Kumar LOA</t>
        </is>
      </c>
      <c r="B1306" s="9" t="inlineStr">
        <is>
          <t>919884086595</t>
        </is>
      </c>
      <c r="C1306" s="9" t="n"/>
      <c r="D1306" s="9" t="n"/>
      <c r="E1306" s="9" t="n"/>
      <c r="F1306" s="9">
        <f>IFERROR(LOOKUP(2,1/('Weekly Tracker'!$E$2:$E$766=$A1306)/('Weekly Tracker'!$F$2:$F$766&lt;&gt;""),'Weekly Tracker'!$F$2:$F$766),"")</f>
        <v/>
      </c>
      <c r="G1306" s="16">
        <f>IF(F1306&lt;&gt;"",LOOKUP(2,1/('Weekly Tracker'!$E$2:$E$766=$A1306)/('Weekly Tracker'!$F$2:$F$766&lt;&gt;""),'Weekly Tracker'!$G$2:$G$766),"")</f>
        <v/>
      </c>
      <c r="H1306" s="9">
        <f>IFERROR(LOOKUP(2,1/('Weekly Tracker'!$E$2:$E$766=$A1306)/('Weekly Tracker'!$H$2:$H$766&lt;&gt;""),'Weekly Tracker'!$H$2:$H$766),"")</f>
        <v/>
      </c>
      <c r="I1306" s="16">
        <f>IF(H1306&lt;&gt;"",LOOKUP(2,1/('Weekly Tracker'!$E$2:$E$766=$A1306)/('Weekly Tracker'!$H$2:$H$766&lt;&gt;""),'Weekly Tracker'!$I$2:$I$766),"")</f>
        <v/>
      </c>
      <c r="J1306" s="9">
        <f>IFERROR(LOOKUP(2,1/('Weekly Tracker'!$E$2:$E$766=$A1306)/('Weekly Tracker'!$J$2:$J$766&lt;&gt;""),'Weekly Tracker'!$J$2:$J$766),"")</f>
        <v/>
      </c>
      <c r="K1306" s="9">
        <f>IFERROR(LOOKUP(2,1/('Weekly Tracker'!$E$2:$E$766=$A1306)/('Weekly Tracker'!$N$2:$N$766&lt;&gt;""),'Weekly Tracker'!$N$2:$N$766),"")</f>
        <v/>
      </c>
      <c r="L1306" s="9">
        <f>IFERROR(LOOKUP(2,1/('Weekly Tracker'!$E$2:$E$766=$A1306)/('Weekly Tracker'!$O$2:$O$766&lt;&gt;""),'Weekly Tracker'!$O$2:$O$766),"")</f>
        <v/>
      </c>
    </row>
    <row r="1307">
      <c r="A1307" s="9" t="inlineStr">
        <is>
          <t>Sidco Ruben Grp Ucen</t>
        </is>
      </c>
      <c r="B1307" s="9" t="inlineStr">
        <is>
          <t>918807552138</t>
        </is>
      </c>
      <c r="C1307" s="9" t="n"/>
      <c r="D1307" s="9" t="n"/>
      <c r="E1307" s="9" t="n"/>
      <c r="F1307" s="9">
        <f>IFERROR(LOOKUP(2,1/('Weekly Tracker'!$E$2:$E$766=$A1307)/('Weekly Tracker'!$F$2:$F$766&lt;&gt;""),'Weekly Tracker'!$F$2:$F$766),"")</f>
        <v/>
      </c>
      <c r="G1307" s="16">
        <f>IF(F1307&lt;&gt;"",LOOKUP(2,1/('Weekly Tracker'!$E$2:$E$766=$A1307)/('Weekly Tracker'!$F$2:$F$766&lt;&gt;""),'Weekly Tracker'!$G$2:$G$766),"")</f>
        <v/>
      </c>
      <c r="H1307" s="9">
        <f>IFERROR(LOOKUP(2,1/('Weekly Tracker'!$E$2:$E$766=$A1307)/('Weekly Tracker'!$H$2:$H$766&lt;&gt;""),'Weekly Tracker'!$H$2:$H$766),"")</f>
        <v/>
      </c>
      <c r="I1307" s="16">
        <f>IF(H1307&lt;&gt;"",LOOKUP(2,1/('Weekly Tracker'!$E$2:$E$766=$A1307)/('Weekly Tracker'!$H$2:$H$766&lt;&gt;""),'Weekly Tracker'!$I$2:$I$766),"")</f>
        <v/>
      </c>
      <c r="J1307" s="9">
        <f>IFERROR(LOOKUP(2,1/('Weekly Tracker'!$E$2:$E$766=$A1307)/('Weekly Tracker'!$J$2:$J$766&lt;&gt;""),'Weekly Tracker'!$J$2:$J$766),"")</f>
        <v/>
      </c>
      <c r="K1307" s="9">
        <f>IFERROR(LOOKUP(2,1/('Weekly Tracker'!$E$2:$E$766=$A1307)/('Weekly Tracker'!$N$2:$N$766&lt;&gt;""),'Weekly Tracker'!$N$2:$N$766),"")</f>
        <v/>
      </c>
      <c r="L1307" s="9">
        <f>IFERROR(LOOKUP(2,1/('Weekly Tracker'!$E$2:$E$766=$A1307)/('Weekly Tracker'!$O$2:$O$766&lt;&gt;""),'Weekly Tracker'!$O$2:$O$766),"")</f>
        <v/>
      </c>
    </row>
    <row r="1308">
      <c r="A1308" s="9" t="inlineStr">
        <is>
          <t>Mirhashim Ali Urja</t>
        </is>
      </c>
      <c r="B1308" s="9" t="inlineStr">
        <is>
          <t>9094901718</t>
        </is>
      </c>
      <c r="C1308" s="9" t="n"/>
      <c r="D1308" s="9" t="n"/>
      <c r="E1308" s="9" t="n"/>
      <c r="F1308" s="9">
        <f>IFERROR(LOOKUP(2,1/('Weekly Tracker'!$E$2:$E$766=$A1308)/('Weekly Tracker'!$F$2:$F$766&lt;&gt;""),'Weekly Tracker'!$F$2:$F$766),"")</f>
        <v/>
      </c>
      <c r="G1308" s="16">
        <f>IF(F1308&lt;&gt;"",LOOKUP(2,1/('Weekly Tracker'!$E$2:$E$766=$A1308)/('Weekly Tracker'!$F$2:$F$766&lt;&gt;""),'Weekly Tracker'!$G$2:$G$766),"")</f>
        <v/>
      </c>
      <c r="H1308" s="9">
        <f>IFERROR(LOOKUP(2,1/('Weekly Tracker'!$E$2:$E$766=$A1308)/('Weekly Tracker'!$H$2:$H$766&lt;&gt;""),'Weekly Tracker'!$H$2:$H$766),"")</f>
        <v/>
      </c>
      <c r="I1308" s="16">
        <f>IF(H1308&lt;&gt;"",LOOKUP(2,1/('Weekly Tracker'!$E$2:$E$766=$A1308)/('Weekly Tracker'!$H$2:$H$766&lt;&gt;""),'Weekly Tracker'!$I$2:$I$766),"")</f>
        <v/>
      </c>
      <c r="J1308" s="9">
        <f>IFERROR(LOOKUP(2,1/('Weekly Tracker'!$E$2:$E$766=$A1308)/('Weekly Tracker'!$J$2:$J$766&lt;&gt;""),'Weekly Tracker'!$J$2:$J$766),"")</f>
        <v/>
      </c>
      <c r="K1308" s="9">
        <f>IFERROR(LOOKUP(2,1/('Weekly Tracker'!$E$2:$E$766=$A1308)/('Weekly Tracker'!$N$2:$N$766&lt;&gt;""),'Weekly Tracker'!$N$2:$N$766),"")</f>
        <v/>
      </c>
      <c r="L1308" s="9">
        <f>IFERROR(LOOKUP(2,1/('Weekly Tracker'!$E$2:$E$766=$A1308)/('Weekly Tracker'!$O$2:$O$766&lt;&gt;""),'Weekly Tracker'!$O$2:$O$766),"")</f>
        <v/>
      </c>
    </row>
    <row r="1309">
      <c r="A1309" s="9" t="inlineStr">
        <is>
          <t>MOHAMED USSAK SUHAIL FB</t>
        </is>
      </c>
      <c r="B1309" s="9" t="inlineStr">
        <is>
          <t>918870743951</t>
        </is>
      </c>
      <c r="C1309" s="9" t="n"/>
      <c r="D1309" s="9" t="n"/>
      <c r="E1309" s="9" t="n"/>
      <c r="F1309" s="9">
        <f>IFERROR(LOOKUP(2,1/('Weekly Tracker'!$E$2:$E$766=$A1309)/('Weekly Tracker'!$F$2:$F$766&lt;&gt;""),'Weekly Tracker'!$F$2:$F$766),"")</f>
        <v/>
      </c>
      <c r="G1309" s="16">
        <f>IF(F1309&lt;&gt;"",LOOKUP(2,1/('Weekly Tracker'!$E$2:$E$766=$A1309)/('Weekly Tracker'!$F$2:$F$766&lt;&gt;""),'Weekly Tracker'!$G$2:$G$766),"")</f>
        <v/>
      </c>
      <c r="H1309" s="9">
        <f>IFERROR(LOOKUP(2,1/('Weekly Tracker'!$E$2:$E$766=$A1309)/('Weekly Tracker'!$H$2:$H$766&lt;&gt;""),'Weekly Tracker'!$H$2:$H$766),"")</f>
        <v/>
      </c>
      <c r="I1309" s="16">
        <f>IF(H1309&lt;&gt;"",LOOKUP(2,1/('Weekly Tracker'!$E$2:$E$766=$A1309)/('Weekly Tracker'!$H$2:$H$766&lt;&gt;""),'Weekly Tracker'!$I$2:$I$766),"")</f>
        <v/>
      </c>
      <c r="J1309" s="9">
        <f>IFERROR(LOOKUP(2,1/('Weekly Tracker'!$E$2:$E$766=$A1309)/('Weekly Tracker'!$J$2:$J$766&lt;&gt;""),'Weekly Tracker'!$J$2:$J$766),"")</f>
        <v/>
      </c>
      <c r="K1309" s="9">
        <f>IFERROR(LOOKUP(2,1/('Weekly Tracker'!$E$2:$E$766=$A1309)/('Weekly Tracker'!$N$2:$N$766&lt;&gt;""),'Weekly Tracker'!$N$2:$N$766),"")</f>
        <v/>
      </c>
      <c r="L1309" s="9">
        <f>IFERROR(LOOKUP(2,1/('Weekly Tracker'!$E$2:$E$766=$A1309)/('Weekly Tracker'!$O$2:$O$766&lt;&gt;""),'Weekly Tracker'!$O$2:$O$766),"")</f>
        <v/>
      </c>
    </row>
    <row r="1310">
      <c r="A1310" s="9" t="inlineStr">
        <is>
          <t>Kalyan TG</t>
        </is>
      </c>
      <c r="B1310" s="9" t="inlineStr">
        <is>
          <t>8012388132</t>
        </is>
      </c>
      <c r="C1310" s="9" t="n"/>
      <c r="D1310" s="9" t="n"/>
      <c r="E1310" s="9" t="n"/>
      <c r="F1310" s="9">
        <f>IFERROR(LOOKUP(2,1/('Weekly Tracker'!$E$2:$E$766=$A1310)/('Weekly Tracker'!$F$2:$F$766&lt;&gt;""),'Weekly Tracker'!$F$2:$F$766),"")</f>
        <v/>
      </c>
      <c r="G1310" s="16">
        <f>IF(F1310&lt;&gt;"",LOOKUP(2,1/('Weekly Tracker'!$E$2:$E$766=$A1310)/('Weekly Tracker'!$F$2:$F$766&lt;&gt;""),'Weekly Tracker'!$G$2:$G$766),"")</f>
        <v/>
      </c>
      <c r="H1310" s="9">
        <f>IFERROR(LOOKUP(2,1/('Weekly Tracker'!$E$2:$E$766=$A1310)/('Weekly Tracker'!$H$2:$H$766&lt;&gt;""),'Weekly Tracker'!$H$2:$H$766),"")</f>
        <v/>
      </c>
      <c r="I1310" s="16">
        <f>IF(H1310&lt;&gt;"",LOOKUP(2,1/('Weekly Tracker'!$E$2:$E$766=$A1310)/('Weekly Tracker'!$H$2:$H$766&lt;&gt;""),'Weekly Tracker'!$I$2:$I$766),"")</f>
        <v/>
      </c>
      <c r="J1310" s="9">
        <f>IFERROR(LOOKUP(2,1/('Weekly Tracker'!$E$2:$E$766=$A1310)/('Weekly Tracker'!$J$2:$J$766&lt;&gt;""),'Weekly Tracker'!$J$2:$J$766),"")</f>
        <v/>
      </c>
      <c r="K1310" s="9">
        <f>IFERROR(LOOKUP(2,1/('Weekly Tracker'!$E$2:$E$766=$A1310)/('Weekly Tracker'!$N$2:$N$766&lt;&gt;""),'Weekly Tracker'!$N$2:$N$766),"")</f>
        <v/>
      </c>
      <c r="L1310" s="9">
        <f>IFERROR(LOOKUP(2,1/('Weekly Tracker'!$E$2:$E$766=$A1310)/('Weekly Tracker'!$O$2:$O$766&lt;&gt;""),'Weekly Tracker'!$O$2:$O$766),"")</f>
        <v/>
      </c>
    </row>
    <row r="1311">
      <c r="A1311" s="9" t="inlineStr">
        <is>
          <t>Sayali Patil Infy</t>
        </is>
      </c>
      <c r="B1311" s="9" t="inlineStr">
        <is>
          <t>8983859108</t>
        </is>
      </c>
      <c r="C1311" s="9" t="n"/>
      <c r="D1311" s="9" t="n"/>
      <c r="E1311" s="9" t="n"/>
      <c r="F1311" s="9">
        <f>IFERROR(LOOKUP(2,1/('Weekly Tracker'!$E$2:$E$766=$A1311)/('Weekly Tracker'!$F$2:$F$766&lt;&gt;""),'Weekly Tracker'!$F$2:$F$766),"")</f>
        <v/>
      </c>
      <c r="G1311" s="16">
        <f>IF(F1311&lt;&gt;"",LOOKUP(2,1/('Weekly Tracker'!$E$2:$E$766=$A1311)/('Weekly Tracker'!$F$2:$F$766&lt;&gt;""),'Weekly Tracker'!$G$2:$G$766),"")</f>
        <v/>
      </c>
      <c r="H1311" s="9">
        <f>IFERROR(LOOKUP(2,1/('Weekly Tracker'!$E$2:$E$766=$A1311)/('Weekly Tracker'!$H$2:$H$766&lt;&gt;""),'Weekly Tracker'!$H$2:$H$766),"")</f>
        <v/>
      </c>
      <c r="I1311" s="16">
        <f>IF(H1311&lt;&gt;"",LOOKUP(2,1/('Weekly Tracker'!$E$2:$E$766=$A1311)/('Weekly Tracker'!$H$2:$H$766&lt;&gt;""),'Weekly Tracker'!$I$2:$I$766),"")</f>
        <v/>
      </c>
      <c r="J1311" s="9">
        <f>IFERROR(LOOKUP(2,1/('Weekly Tracker'!$E$2:$E$766=$A1311)/('Weekly Tracker'!$J$2:$J$766&lt;&gt;""),'Weekly Tracker'!$J$2:$J$766),"")</f>
        <v/>
      </c>
      <c r="K1311" s="9">
        <f>IFERROR(LOOKUP(2,1/('Weekly Tracker'!$E$2:$E$766=$A1311)/('Weekly Tracker'!$N$2:$N$766&lt;&gt;""),'Weekly Tracker'!$N$2:$N$766),"")</f>
        <v/>
      </c>
      <c r="L1311" s="9">
        <f>IFERROR(LOOKUP(2,1/('Weekly Tracker'!$E$2:$E$766=$A1311)/('Weekly Tracker'!$O$2:$O$766&lt;&gt;""),'Weekly Tracker'!$O$2:$O$766),"")</f>
        <v/>
      </c>
    </row>
    <row r="1312">
      <c r="A1312" s="9" t="inlineStr">
        <is>
          <t>Sharan Thailand</t>
        </is>
      </c>
      <c r="B1312" s="9" t="inlineStr">
        <is>
          <t>9585810070</t>
        </is>
      </c>
      <c r="C1312" s="9" t="n"/>
      <c r="D1312" s="9" t="n"/>
      <c r="E1312" s="9" t="n"/>
      <c r="F1312" s="9">
        <f>IFERROR(LOOKUP(2,1/('Weekly Tracker'!$E$2:$E$766=$A1312)/('Weekly Tracker'!$F$2:$F$766&lt;&gt;""),'Weekly Tracker'!$F$2:$F$766),"")</f>
        <v/>
      </c>
      <c r="G1312" s="16">
        <f>IF(F1312&lt;&gt;"",LOOKUP(2,1/('Weekly Tracker'!$E$2:$E$766=$A1312)/('Weekly Tracker'!$F$2:$F$766&lt;&gt;""),'Weekly Tracker'!$G$2:$G$766),"")</f>
        <v/>
      </c>
      <c r="H1312" s="9">
        <f>IFERROR(LOOKUP(2,1/('Weekly Tracker'!$E$2:$E$766=$A1312)/('Weekly Tracker'!$H$2:$H$766&lt;&gt;""),'Weekly Tracker'!$H$2:$H$766),"")</f>
        <v/>
      </c>
      <c r="I1312" s="16">
        <f>IF(H1312&lt;&gt;"",LOOKUP(2,1/('Weekly Tracker'!$E$2:$E$766=$A1312)/('Weekly Tracker'!$H$2:$H$766&lt;&gt;""),'Weekly Tracker'!$I$2:$I$766),"")</f>
        <v/>
      </c>
      <c r="J1312" s="9">
        <f>IFERROR(LOOKUP(2,1/('Weekly Tracker'!$E$2:$E$766=$A1312)/('Weekly Tracker'!$J$2:$J$766&lt;&gt;""),'Weekly Tracker'!$J$2:$J$766),"")</f>
        <v/>
      </c>
      <c r="K1312" s="9">
        <f>IFERROR(LOOKUP(2,1/('Weekly Tracker'!$E$2:$E$766=$A1312)/('Weekly Tracker'!$N$2:$N$766&lt;&gt;""),'Weekly Tracker'!$N$2:$N$766),"")</f>
        <v/>
      </c>
      <c r="L1312" s="9">
        <f>IFERROR(LOOKUP(2,1/('Weekly Tracker'!$E$2:$E$766=$A1312)/('Weekly Tracker'!$O$2:$O$766&lt;&gt;""),'Weekly Tracker'!$O$2:$O$766),"")</f>
        <v/>
      </c>
    </row>
    <row r="1313">
      <c r="A1313" s="9" t="inlineStr">
        <is>
          <t>Diassusairaj Insta</t>
        </is>
      </c>
      <c r="B1313" s="9" t="inlineStr">
        <is>
          <t>918838167993</t>
        </is>
      </c>
      <c r="C1313" s="9" t="n"/>
      <c r="D1313" s="9" t="n"/>
      <c r="E1313" s="9" t="n"/>
      <c r="F1313" s="9">
        <f>IFERROR(LOOKUP(2,1/('Weekly Tracker'!$E$2:$E$766=$A1313)/('Weekly Tracker'!$F$2:$F$766&lt;&gt;""),'Weekly Tracker'!$F$2:$F$766),"")</f>
        <v/>
      </c>
      <c r="G1313" s="16">
        <f>IF(F1313&lt;&gt;"",LOOKUP(2,1/('Weekly Tracker'!$E$2:$E$766=$A1313)/('Weekly Tracker'!$F$2:$F$766&lt;&gt;""),'Weekly Tracker'!$G$2:$G$766),"")</f>
        <v/>
      </c>
      <c r="H1313" s="9">
        <f>IFERROR(LOOKUP(2,1/('Weekly Tracker'!$E$2:$E$766=$A1313)/('Weekly Tracker'!$H$2:$H$766&lt;&gt;""),'Weekly Tracker'!$H$2:$H$766),"")</f>
        <v/>
      </c>
      <c r="I1313" s="16">
        <f>IF(H1313&lt;&gt;"",LOOKUP(2,1/('Weekly Tracker'!$E$2:$E$766=$A1313)/('Weekly Tracker'!$H$2:$H$766&lt;&gt;""),'Weekly Tracker'!$I$2:$I$766),"")</f>
        <v/>
      </c>
      <c r="J1313" s="9">
        <f>IFERROR(LOOKUP(2,1/('Weekly Tracker'!$E$2:$E$766=$A1313)/('Weekly Tracker'!$J$2:$J$766&lt;&gt;""),'Weekly Tracker'!$J$2:$J$766),"")</f>
        <v/>
      </c>
      <c r="K1313" s="9">
        <f>IFERROR(LOOKUP(2,1/('Weekly Tracker'!$E$2:$E$766=$A1313)/('Weekly Tracker'!$N$2:$N$766&lt;&gt;""),'Weekly Tracker'!$N$2:$N$766),"")</f>
        <v/>
      </c>
      <c r="L1313" s="9">
        <f>IFERROR(LOOKUP(2,1/('Weekly Tracker'!$E$2:$E$766=$A1313)/('Weekly Tracker'!$O$2:$O$766&lt;&gt;""),'Weekly Tracker'!$O$2:$O$766),"")</f>
        <v/>
      </c>
    </row>
    <row r="1314">
      <c r="A1314" s="9" t="inlineStr">
        <is>
          <t>Saravanan muthu Verz</t>
        </is>
      </c>
      <c r="B1314" s="9" t="inlineStr">
        <is>
          <t>9600158369</t>
        </is>
      </c>
      <c r="C1314" s="9" t="n"/>
      <c r="D1314" s="9" t="n"/>
      <c r="E1314" s="9" t="n"/>
      <c r="F1314" s="9">
        <f>IFERROR(LOOKUP(2,1/('Weekly Tracker'!$E$2:$E$766=$A1314)/('Weekly Tracker'!$F$2:$F$766&lt;&gt;""),'Weekly Tracker'!$F$2:$F$766),"")</f>
        <v/>
      </c>
      <c r="G1314" s="16">
        <f>IF(F1314&lt;&gt;"",LOOKUP(2,1/('Weekly Tracker'!$E$2:$E$766=$A1314)/('Weekly Tracker'!$F$2:$F$766&lt;&gt;""),'Weekly Tracker'!$G$2:$G$766),"")</f>
        <v/>
      </c>
      <c r="H1314" s="9">
        <f>IFERROR(LOOKUP(2,1/('Weekly Tracker'!$E$2:$E$766=$A1314)/('Weekly Tracker'!$H$2:$H$766&lt;&gt;""),'Weekly Tracker'!$H$2:$H$766),"")</f>
        <v/>
      </c>
      <c r="I1314" s="16">
        <f>IF(H1314&lt;&gt;"",LOOKUP(2,1/('Weekly Tracker'!$E$2:$E$766=$A1314)/('Weekly Tracker'!$H$2:$H$766&lt;&gt;""),'Weekly Tracker'!$I$2:$I$766),"")</f>
        <v/>
      </c>
      <c r="J1314" s="9">
        <f>IFERROR(LOOKUP(2,1/('Weekly Tracker'!$E$2:$E$766=$A1314)/('Weekly Tracker'!$J$2:$J$766&lt;&gt;""),'Weekly Tracker'!$J$2:$J$766),"")</f>
        <v/>
      </c>
      <c r="K1314" s="9">
        <f>IFERROR(LOOKUP(2,1/('Weekly Tracker'!$E$2:$E$766=$A1314)/('Weekly Tracker'!$N$2:$N$766&lt;&gt;""),'Weekly Tracker'!$N$2:$N$766),"")</f>
        <v/>
      </c>
      <c r="L1314" s="9">
        <f>IFERROR(LOOKUP(2,1/('Weekly Tracker'!$E$2:$E$766=$A1314)/('Weekly Tracker'!$O$2:$O$766&lt;&gt;""),'Weekly Tracker'!$O$2:$O$766),"")</f>
        <v/>
      </c>
    </row>
    <row r="1315">
      <c r="A1315" s="9" t="inlineStr">
        <is>
          <t>Karthick G FB</t>
        </is>
      </c>
      <c r="B1315" s="9" t="inlineStr">
        <is>
          <t>9080577515</t>
        </is>
      </c>
      <c r="C1315" s="9" t="n"/>
      <c r="D1315" s="9" t="n"/>
      <c r="E1315" s="9" t="n"/>
      <c r="F1315" s="9">
        <f>IFERROR(LOOKUP(2,1/('Weekly Tracker'!$E$2:$E$766=$A1315)/('Weekly Tracker'!$F$2:$F$766&lt;&gt;""),'Weekly Tracker'!$F$2:$F$766),"")</f>
        <v/>
      </c>
      <c r="G1315" s="16">
        <f>IF(F1315&lt;&gt;"",LOOKUP(2,1/('Weekly Tracker'!$E$2:$E$766=$A1315)/('Weekly Tracker'!$F$2:$F$766&lt;&gt;""),'Weekly Tracker'!$G$2:$G$766),"")</f>
        <v/>
      </c>
      <c r="H1315" s="9">
        <f>IFERROR(LOOKUP(2,1/('Weekly Tracker'!$E$2:$E$766=$A1315)/('Weekly Tracker'!$H$2:$H$766&lt;&gt;""),'Weekly Tracker'!$H$2:$H$766),"")</f>
        <v/>
      </c>
      <c r="I1315" s="16">
        <f>IF(H1315&lt;&gt;"",LOOKUP(2,1/('Weekly Tracker'!$E$2:$E$766=$A1315)/('Weekly Tracker'!$H$2:$H$766&lt;&gt;""),'Weekly Tracker'!$I$2:$I$766),"")</f>
        <v/>
      </c>
      <c r="J1315" s="9">
        <f>IFERROR(LOOKUP(2,1/('Weekly Tracker'!$E$2:$E$766=$A1315)/('Weekly Tracker'!$J$2:$J$766&lt;&gt;""),'Weekly Tracker'!$J$2:$J$766),"")</f>
        <v/>
      </c>
      <c r="K1315" s="9">
        <f>IFERROR(LOOKUP(2,1/('Weekly Tracker'!$E$2:$E$766=$A1315)/('Weekly Tracker'!$N$2:$N$766&lt;&gt;""),'Weekly Tracker'!$N$2:$N$766),"")</f>
        <v/>
      </c>
      <c r="L1315" s="9">
        <f>IFERROR(LOOKUP(2,1/('Weekly Tracker'!$E$2:$E$766=$A1315)/('Weekly Tracker'!$O$2:$O$766&lt;&gt;""),'Weekly Tracker'!$O$2:$O$766),"")</f>
        <v/>
      </c>
    </row>
    <row r="1316">
      <c r="A1316" s="9" t="inlineStr">
        <is>
          <t>Rajesh Ext Urja</t>
        </is>
      </c>
      <c r="B1316" s="9" t="inlineStr">
        <is>
          <t>918220852590</t>
        </is>
      </c>
      <c r="C1316" s="9" t="n"/>
      <c r="D1316" s="9" t="n"/>
      <c r="E1316" s="9" t="n"/>
      <c r="F1316" s="9">
        <f>IFERROR(LOOKUP(2,1/('Weekly Tracker'!$E$2:$E$766=$A1316)/('Weekly Tracker'!$F$2:$F$766&lt;&gt;""),'Weekly Tracker'!$F$2:$F$766),"")</f>
        <v/>
      </c>
      <c r="G1316" s="16">
        <f>IF(F1316&lt;&gt;"",LOOKUP(2,1/('Weekly Tracker'!$E$2:$E$766=$A1316)/('Weekly Tracker'!$F$2:$F$766&lt;&gt;""),'Weekly Tracker'!$G$2:$G$766),"")</f>
        <v/>
      </c>
      <c r="H1316" s="9">
        <f>IFERROR(LOOKUP(2,1/('Weekly Tracker'!$E$2:$E$766=$A1316)/('Weekly Tracker'!$H$2:$H$766&lt;&gt;""),'Weekly Tracker'!$H$2:$H$766),"")</f>
        <v/>
      </c>
      <c r="I1316" s="16">
        <f>IF(H1316&lt;&gt;"",LOOKUP(2,1/('Weekly Tracker'!$E$2:$E$766=$A1316)/('Weekly Tracker'!$H$2:$H$766&lt;&gt;""),'Weekly Tracker'!$I$2:$I$766),"")</f>
        <v/>
      </c>
      <c r="J1316" s="9">
        <f>IFERROR(LOOKUP(2,1/('Weekly Tracker'!$E$2:$E$766=$A1316)/('Weekly Tracker'!$J$2:$J$766&lt;&gt;""),'Weekly Tracker'!$J$2:$J$766),"")</f>
        <v/>
      </c>
      <c r="K1316" s="9">
        <f>IFERROR(LOOKUP(2,1/('Weekly Tracker'!$E$2:$E$766=$A1316)/('Weekly Tracker'!$N$2:$N$766&lt;&gt;""),'Weekly Tracker'!$N$2:$N$766),"")</f>
        <v/>
      </c>
      <c r="L1316" s="9">
        <f>IFERROR(LOOKUP(2,1/('Weekly Tracker'!$E$2:$E$766=$A1316)/('Weekly Tracker'!$O$2:$O$766&lt;&gt;""),'Weekly Tracker'!$O$2:$O$766),"")</f>
        <v/>
      </c>
    </row>
    <row r="1317">
      <c r="A1317" s="9" t="inlineStr">
        <is>
          <t>Halith Ismail Sank Scl</t>
        </is>
      </c>
      <c r="B1317" s="9" t="inlineStr">
        <is>
          <t>919629884322</t>
        </is>
      </c>
      <c r="C1317" s="9" t="n"/>
      <c r="D1317" s="9" t="n"/>
      <c r="E1317" s="9" t="n"/>
      <c r="F1317" s="9">
        <f>IFERROR(LOOKUP(2,1/('Weekly Tracker'!$E$2:$E$766=$A1317)/('Weekly Tracker'!$F$2:$F$766&lt;&gt;""),'Weekly Tracker'!$F$2:$F$766),"")</f>
        <v/>
      </c>
      <c r="G1317" s="16">
        <f>IF(F1317&lt;&gt;"",LOOKUP(2,1/('Weekly Tracker'!$E$2:$E$766=$A1317)/('Weekly Tracker'!$F$2:$F$766&lt;&gt;""),'Weekly Tracker'!$G$2:$G$766),"")</f>
        <v/>
      </c>
      <c r="H1317" s="9">
        <f>IFERROR(LOOKUP(2,1/('Weekly Tracker'!$E$2:$E$766=$A1317)/('Weekly Tracker'!$H$2:$H$766&lt;&gt;""),'Weekly Tracker'!$H$2:$H$766),"")</f>
        <v/>
      </c>
      <c r="I1317" s="16">
        <f>IF(H1317&lt;&gt;"",LOOKUP(2,1/('Weekly Tracker'!$E$2:$E$766=$A1317)/('Weekly Tracker'!$H$2:$H$766&lt;&gt;""),'Weekly Tracker'!$I$2:$I$766),"")</f>
        <v/>
      </c>
      <c r="J1317" s="9">
        <f>IFERROR(LOOKUP(2,1/('Weekly Tracker'!$E$2:$E$766=$A1317)/('Weekly Tracker'!$J$2:$J$766&lt;&gt;""),'Weekly Tracker'!$J$2:$J$766),"")</f>
        <v/>
      </c>
      <c r="K1317" s="9">
        <f>IFERROR(LOOKUP(2,1/('Weekly Tracker'!$E$2:$E$766=$A1317)/('Weekly Tracker'!$N$2:$N$766&lt;&gt;""),'Weekly Tracker'!$N$2:$N$766),"")</f>
        <v/>
      </c>
      <c r="L1317" s="9">
        <f>IFERROR(LOOKUP(2,1/('Weekly Tracker'!$E$2:$E$766=$A1317)/('Weekly Tracker'!$O$2:$O$766&lt;&gt;""),'Weekly Tracker'!$O$2:$O$766),"")</f>
        <v/>
      </c>
    </row>
    <row r="1318">
      <c r="A1318" s="9" t="inlineStr">
        <is>
          <t>Priyanka Infy</t>
        </is>
      </c>
      <c r="B1318" s="9" t="inlineStr">
        <is>
          <t>918125912778</t>
        </is>
      </c>
      <c r="C1318" s="9" t="n"/>
      <c r="D1318" s="9" t="n"/>
      <c r="E1318" s="9" t="n"/>
      <c r="F1318" s="9">
        <f>IFERROR(LOOKUP(2,1/('Weekly Tracker'!$E$2:$E$766=$A1318)/('Weekly Tracker'!$F$2:$F$766&lt;&gt;""),'Weekly Tracker'!$F$2:$F$766),"")</f>
        <v/>
      </c>
      <c r="G1318" s="16">
        <f>IF(F1318&lt;&gt;"",LOOKUP(2,1/('Weekly Tracker'!$E$2:$E$766=$A1318)/('Weekly Tracker'!$F$2:$F$766&lt;&gt;""),'Weekly Tracker'!$G$2:$G$766),"")</f>
        <v/>
      </c>
      <c r="H1318" s="9">
        <f>IFERROR(LOOKUP(2,1/('Weekly Tracker'!$E$2:$E$766=$A1318)/('Weekly Tracker'!$H$2:$H$766&lt;&gt;""),'Weekly Tracker'!$H$2:$H$766),"")</f>
        <v/>
      </c>
      <c r="I1318" s="16">
        <f>IF(H1318&lt;&gt;"",LOOKUP(2,1/('Weekly Tracker'!$E$2:$E$766=$A1318)/('Weekly Tracker'!$H$2:$H$766&lt;&gt;""),'Weekly Tracker'!$I$2:$I$766),"")</f>
        <v/>
      </c>
      <c r="J1318" s="9">
        <f>IFERROR(LOOKUP(2,1/('Weekly Tracker'!$E$2:$E$766=$A1318)/('Weekly Tracker'!$J$2:$J$766&lt;&gt;""),'Weekly Tracker'!$J$2:$J$766),"")</f>
        <v/>
      </c>
      <c r="K1318" s="9">
        <f>IFERROR(LOOKUP(2,1/('Weekly Tracker'!$E$2:$E$766=$A1318)/('Weekly Tracker'!$N$2:$N$766&lt;&gt;""),'Weekly Tracker'!$N$2:$N$766),"")</f>
        <v/>
      </c>
      <c r="L1318" s="9">
        <f>IFERROR(LOOKUP(2,1/('Weekly Tracker'!$E$2:$E$766=$A1318)/('Weekly Tracker'!$O$2:$O$766&lt;&gt;""),'Weekly Tracker'!$O$2:$O$766),"")</f>
        <v/>
      </c>
    </row>
    <row r="1319">
      <c r="A1319" s="9" t="inlineStr">
        <is>
          <t>Jana MMS</t>
        </is>
      </c>
      <c r="B1319" s="9" t="inlineStr">
        <is>
          <t>917305904323</t>
        </is>
      </c>
      <c r="C1319" s="9" t="n"/>
      <c r="D1319" s="9" t="n"/>
      <c r="E1319" s="9" t="n"/>
      <c r="F1319" s="9">
        <f>IFERROR(LOOKUP(2,1/('Weekly Tracker'!$E$2:$E$766=$A1319)/('Weekly Tracker'!$F$2:$F$766&lt;&gt;""),'Weekly Tracker'!$F$2:$F$766),"")</f>
        <v/>
      </c>
      <c r="G1319" s="16">
        <f>IF(F1319&lt;&gt;"",LOOKUP(2,1/('Weekly Tracker'!$E$2:$E$766=$A1319)/('Weekly Tracker'!$F$2:$F$766&lt;&gt;""),'Weekly Tracker'!$G$2:$G$766),"")</f>
        <v/>
      </c>
      <c r="H1319" s="9">
        <f>IFERROR(LOOKUP(2,1/('Weekly Tracker'!$E$2:$E$766=$A1319)/('Weekly Tracker'!$H$2:$H$766&lt;&gt;""),'Weekly Tracker'!$H$2:$H$766),"")</f>
        <v/>
      </c>
      <c r="I1319" s="16">
        <f>IF(H1319&lt;&gt;"",LOOKUP(2,1/('Weekly Tracker'!$E$2:$E$766=$A1319)/('Weekly Tracker'!$H$2:$H$766&lt;&gt;""),'Weekly Tracker'!$I$2:$I$766),"")</f>
        <v/>
      </c>
      <c r="J1319" s="9">
        <f>IFERROR(LOOKUP(2,1/('Weekly Tracker'!$E$2:$E$766=$A1319)/('Weekly Tracker'!$J$2:$J$766&lt;&gt;""),'Weekly Tracker'!$J$2:$J$766),"")</f>
        <v/>
      </c>
      <c r="K1319" s="9">
        <f>IFERROR(LOOKUP(2,1/('Weekly Tracker'!$E$2:$E$766=$A1319)/('Weekly Tracker'!$N$2:$N$766&lt;&gt;""),'Weekly Tracker'!$N$2:$N$766),"")</f>
        <v/>
      </c>
      <c r="L1319" s="9">
        <f>IFERROR(LOOKUP(2,1/('Weekly Tracker'!$E$2:$E$766=$A1319)/('Weekly Tracker'!$O$2:$O$766&lt;&gt;""),'Weekly Tracker'!$O$2:$O$766),"")</f>
        <v/>
      </c>
    </row>
    <row r="1320">
      <c r="A1320" s="9" t="inlineStr">
        <is>
          <t>Infosys-ccd</t>
        </is>
      </c>
      <c r="B1320" s="9" t="inlineStr">
        <is>
          <t>+91 80 3355 4639</t>
        </is>
      </c>
      <c r="C1320" s="9" t="n"/>
      <c r="D1320" s="9" t="n"/>
      <c r="E1320" s="9" t="n"/>
      <c r="F1320" s="9">
        <f>IFERROR(LOOKUP(2,1/('Weekly Tracker'!$E$2:$E$766=$A1320)/('Weekly Tracker'!$F$2:$F$766&lt;&gt;""),'Weekly Tracker'!$F$2:$F$766),"")</f>
        <v/>
      </c>
      <c r="G1320" s="16">
        <f>IF(F1320&lt;&gt;"",LOOKUP(2,1/('Weekly Tracker'!$E$2:$E$766=$A1320)/('Weekly Tracker'!$F$2:$F$766&lt;&gt;""),'Weekly Tracker'!$G$2:$G$766),"")</f>
        <v/>
      </c>
      <c r="H1320" s="9">
        <f>IFERROR(LOOKUP(2,1/('Weekly Tracker'!$E$2:$E$766=$A1320)/('Weekly Tracker'!$H$2:$H$766&lt;&gt;""),'Weekly Tracker'!$H$2:$H$766),"")</f>
        <v/>
      </c>
      <c r="I1320" s="16">
        <f>IF(H1320&lt;&gt;"",LOOKUP(2,1/('Weekly Tracker'!$E$2:$E$766=$A1320)/('Weekly Tracker'!$H$2:$H$766&lt;&gt;""),'Weekly Tracker'!$I$2:$I$766),"")</f>
        <v/>
      </c>
      <c r="J1320" s="9">
        <f>IFERROR(LOOKUP(2,1/('Weekly Tracker'!$E$2:$E$766=$A1320)/('Weekly Tracker'!$J$2:$J$766&lt;&gt;""),'Weekly Tracker'!$J$2:$J$766),"")</f>
        <v/>
      </c>
      <c r="K1320" s="9">
        <f>IFERROR(LOOKUP(2,1/('Weekly Tracker'!$E$2:$E$766=$A1320)/('Weekly Tracker'!$N$2:$N$766&lt;&gt;""),'Weekly Tracker'!$N$2:$N$766),"")</f>
        <v/>
      </c>
      <c r="L1320" s="9">
        <f>IFERROR(LOOKUP(2,1/('Weekly Tracker'!$E$2:$E$766=$A1320)/('Weekly Tracker'!$O$2:$O$766&lt;&gt;""),'Weekly Tracker'!$O$2:$O$766),"")</f>
        <v/>
      </c>
    </row>
    <row r="1321">
      <c r="A1321" s="9" t="inlineStr">
        <is>
          <t>Kavin Tools Urja</t>
        </is>
      </c>
      <c r="B1321" s="9" t="inlineStr">
        <is>
          <t>919962777511</t>
        </is>
      </c>
      <c r="C1321" s="9" t="n"/>
      <c r="D1321" s="9" t="n"/>
      <c r="E1321" s="9" t="n"/>
      <c r="F1321" s="9">
        <f>IFERROR(LOOKUP(2,1/('Weekly Tracker'!$E$2:$E$766=$A1321)/('Weekly Tracker'!$F$2:$F$766&lt;&gt;""),'Weekly Tracker'!$F$2:$F$766),"")</f>
        <v/>
      </c>
      <c r="G1321" s="16">
        <f>IF(F1321&lt;&gt;"",LOOKUP(2,1/('Weekly Tracker'!$E$2:$E$766=$A1321)/('Weekly Tracker'!$F$2:$F$766&lt;&gt;""),'Weekly Tracker'!$G$2:$G$766),"")</f>
        <v/>
      </c>
      <c r="H1321" s="9">
        <f>IFERROR(LOOKUP(2,1/('Weekly Tracker'!$E$2:$E$766=$A1321)/('Weekly Tracker'!$H$2:$H$766&lt;&gt;""),'Weekly Tracker'!$H$2:$H$766),"")</f>
        <v/>
      </c>
      <c r="I1321" s="16">
        <f>IF(H1321&lt;&gt;"",LOOKUP(2,1/('Weekly Tracker'!$E$2:$E$766=$A1321)/('Weekly Tracker'!$H$2:$H$766&lt;&gt;""),'Weekly Tracker'!$I$2:$I$766),"")</f>
        <v/>
      </c>
      <c r="J1321" s="9">
        <f>IFERROR(LOOKUP(2,1/('Weekly Tracker'!$E$2:$E$766=$A1321)/('Weekly Tracker'!$J$2:$J$766&lt;&gt;""),'Weekly Tracker'!$J$2:$J$766),"")</f>
        <v/>
      </c>
      <c r="K1321" s="9">
        <f>IFERROR(LOOKUP(2,1/('Weekly Tracker'!$E$2:$E$766=$A1321)/('Weekly Tracker'!$N$2:$N$766&lt;&gt;""),'Weekly Tracker'!$N$2:$N$766),"")</f>
        <v/>
      </c>
      <c r="L1321" s="9">
        <f>IFERROR(LOOKUP(2,1/('Weekly Tracker'!$E$2:$E$766=$A1321)/('Weekly Tracker'!$O$2:$O$766&lt;&gt;""),'Weekly Tracker'!$O$2:$O$766),"")</f>
        <v/>
      </c>
    </row>
    <row r="1322">
      <c r="A1322" s="9" t="inlineStr">
        <is>
          <t>Pragatheesh Urja</t>
        </is>
      </c>
      <c r="B1322" s="9" t="inlineStr">
        <is>
          <t>919445523589</t>
        </is>
      </c>
      <c r="C1322" s="9" t="n"/>
      <c r="D1322" s="9" t="n"/>
      <c r="E1322" s="9" t="n"/>
      <c r="F1322" s="9">
        <f>IFERROR(LOOKUP(2,1/('Weekly Tracker'!$E$2:$E$766=$A1322)/('Weekly Tracker'!$F$2:$F$766&lt;&gt;""),'Weekly Tracker'!$F$2:$F$766),"")</f>
        <v/>
      </c>
      <c r="G1322" s="16">
        <f>IF(F1322&lt;&gt;"",LOOKUP(2,1/('Weekly Tracker'!$E$2:$E$766=$A1322)/('Weekly Tracker'!$F$2:$F$766&lt;&gt;""),'Weekly Tracker'!$G$2:$G$766),"")</f>
        <v/>
      </c>
      <c r="H1322" s="9">
        <f>IFERROR(LOOKUP(2,1/('Weekly Tracker'!$E$2:$E$766=$A1322)/('Weekly Tracker'!$H$2:$H$766&lt;&gt;""),'Weekly Tracker'!$H$2:$H$766),"")</f>
        <v/>
      </c>
      <c r="I1322" s="16">
        <f>IF(H1322&lt;&gt;"",LOOKUP(2,1/('Weekly Tracker'!$E$2:$E$766=$A1322)/('Weekly Tracker'!$H$2:$H$766&lt;&gt;""),'Weekly Tracker'!$I$2:$I$766),"")</f>
        <v/>
      </c>
      <c r="J1322" s="9">
        <f>IFERROR(LOOKUP(2,1/('Weekly Tracker'!$E$2:$E$766=$A1322)/('Weekly Tracker'!$J$2:$J$766&lt;&gt;""),'Weekly Tracker'!$J$2:$J$766),"")</f>
        <v/>
      </c>
      <c r="K1322" s="9">
        <f>IFERROR(LOOKUP(2,1/('Weekly Tracker'!$E$2:$E$766=$A1322)/('Weekly Tracker'!$N$2:$N$766&lt;&gt;""),'Weekly Tracker'!$N$2:$N$766),"")</f>
        <v/>
      </c>
      <c r="L1322" s="9">
        <f>IFERROR(LOOKUP(2,1/('Weekly Tracker'!$E$2:$E$766=$A1322)/('Weekly Tracker'!$O$2:$O$766&lt;&gt;""),'Weekly Tracker'!$O$2:$O$766),"")</f>
        <v/>
      </c>
    </row>
    <row r="1323">
      <c r="A1323" s="9" t="inlineStr">
        <is>
          <t>Hanial B Daniel Mech</t>
        </is>
      </c>
      <c r="B1323" s="9" t="inlineStr">
        <is>
          <t>919791979921</t>
        </is>
      </c>
      <c r="C1323" s="9" t="n"/>
      <c r="D1323" s="9" t="n"/>
      <c r="E1323" s="9" t="n"/>
      <c r="F1323" s="9">
        <f>IFERROR(LOOKUP(2,1/('Weekly Tracker'!$E$2:$E$766=$A1323)/('Weekly Tracker'!$F$2:$F$766&lt;&gt;""),'Weekly Tracker'!$F$2:$F$766),"")</f>
        <v/>
      </c>
      <c r="G1323" s="16">
        <f>IF(F1323&lt;&gt;"",LOOKUP(2,1/('Weekly Tracker'!$E$2:$E$766=$A1323)/('Weekly Tracker'!$F$2:$F$766&lt;&gt;""),'Weekly Tracker'!$G$2:$G$766),"")</f>
        <v/>
      </c>
      <c r="H1323" s="9">
        <f>IFERROR(LOOKUP(2,1/('Weekly Tracker'!$E$2:$E$766=$A1323)/('Weekly Tracker'!$H$2:$H$766&lt;&gt;""),'Weekly Tracker'!$H$2:$H$766),"")</f>
        <v/>
      </c>
      <c r="I1323" s="16">
        <f>IF(H1323&lt;&gt;"",LOOKUP(2,1/('Weekly Tracker'!$E$2:$E$766=$A1323)/('Weekly Tracker'!$H$2:$H$766&lt;&gt;""),'Weekly Tracker'!$I$2:$I$766),"")</f>
        <v/>
      </c>
      <c r="J1323" s="9">
        <f>IFERROR(LOOKUP(2,1/('Weekly Tracker'!$E$2:$E$766=$A1323)/('Weekly Tracker'!$J$2:$J$766&lt;&gt;""),'Weekly Tracker'!$J$2:$J$766),"")</f>
        <v/>
      </c>
      <c r="K1323" s="9">
        <f>IFERROR(LOOKUP(2,1/('Weekly Tracker'!$E$2:$E$766=$A1323)/('Weekly Tracker'!$N$2:$N$766&lt;&gt;""),'Weekly Tracker'!$N$2:$N$766),"")</f>
        <v/>
      </c>
      <c r="L1323" s="9">
        <f>IFERROR(LOOKUP(2,1/('Weekly Tracker'!$E$2:$E$766=$A1323)/('Weekly Tracker'!$O$2:$O$766&lt;&gt;""),'Weekly Tracker'!$O$2:$O$766),"")</f>
        <v/>
      </c>
    </row>
    <row r="1324">
      <c r="A1324" s="9" t="inlineStr">
        <is>
          <t>Nanban Auto Bai-kdnl</t>
        </is>
      </c>
      <c r="B1324" s="9" t="inlineStr">
        <is>
          <t>7845145148</t>
        </is>
      </c>
      <c r="C1324" s="9" t="n"/>
      <c r="D1324" s="9" t="n"/>
      <c r="E1324" s="9" t="n"/>
      <c r="F1324" s="9">
        <f>IFERROR(LOOKUP(2,1/('Weekly Tracker'!$E$2:$E$766=$A1324)/('Weekly Tracker'!$F$2:$F$766&lt;&gt;""),'Weekly Tracker'!$F$2:$F$766),"")</f>
        <v/>
      </c>
      <c r="G1324" s="16">
        <f>IF(F1324&lt;&gt;"",LOOKUP(2,1/('Weekly Tracker'!$E$2:$E$766=$A1324)/('Weekly Tracker'!$F$2:$F$766&lt;&gt;""),'Weekly Tracker'!$G$2:$G$766),"")</f>
        <v/>
      </c>
      <c r="H1324" s="9">
        <f>IFERROR(LOOKUP(2,1/('Weekly Tracker'!$E$2:$E$766=$A1324)/('Weekly Tracker'!$H$2:$H$766&lt;&gt;""),'Weekly Tracker'!$H$2:$H$766),"")</f>
        <v/>
      </c>
      <c r="I1324" s="16">
        <f>IF(H1324&lt;&gt;"",LOOKUP(2,1/('Weekly Tracker'!$E$2:$E$766=$A1324)/('Weekly Tracker'!$H$2:$H$766&lt;&gt;""),'Weekly Tracker'!$I$2:$I$766),"")</f>
        <v/>
      </c>
      <c r="J1324" s="9">
        <f>IFERROR(LOOKUP(2,1/('Weekly Tracker'!$E$2:$E$766=$A1324)/('Weekly Tracker'!$J$2:$J$766&lt;&gt;""),'Weekly Tracker'!$J$2:$J$766),"")</f>
        <v/>
      </c>
      <c r="K1324" s="9">
        <f>IFERROR(LOOKUP(2,1/('Weekly Tracker'!$E$2:$E$766=$A1324)/('Weekly Tracker'!$N$2:$N$766&lt;&gt;""),'Weekly Tracker'!$N$2:$N$766),"")</f>
        <v/>
      </c>
      <c r="L1324" s="9">
        <f>IFERROR(LOOKUP(2,1/('Weekly Tracker'!$E$2:$E$766=$A1324)/('Weekly Tracker'!$O$2:$O$766&lt;&gt;""),'Weekly Tracker'!$O$2:$O$766),"")</f>
        <v/>
      </c>
    </row>
    <row r="1325">
      <c r="A1325" s="9" t="inlineStr">
        <is>
          <t>Vigneshwaran FB</t>
        </is>
      </c>
      <c r="B1325" s="9" t="inlineStr">
        <is>
          <t>918248299783</t>
        </is>
      </c>
      <c r="C1325" s="9" t="n"/>
      <c r="D1325" s="9" t="n"/>
      <c r="E1325" s="9" t="n"/>
      <c r="F1325" s="9">
        <f>IFERROR(LOOKUP(2,1/('Weekly Tracker'!$E$2:$E$766=$A1325)/('Weekly Tracker'!$F$2:$F$766&lt;&gt;""),'Weekly Tracker'!$F$2:$F$766),"")</f>
        <v/>
      </c>
      <c r="G1325" s="16">
        <f>IF(F1325&lt;&gt;"",LOOKUP(2,1/('Weekly Tracker'!$E$2:$E$766=$A1325)/('Weekly Tracker'!$F$2:$F$766&lt;&gt;""),'Weekly Tracker'!$G$2:$G$766),"")</f>
        <v/>
      </c>
      <c r="H1325" s="9">
        <f>IFERROR(LOOKUP(2,1/('Weekly Tracker'!$E$2:$E$766=$A1325)/('Weekly Tracker'!$H$2:$H$766&lt;&gt;""),'Weekly Tracker'!$H$2:$H$766),"")</f>
        <v/>
      </c>
      <c r="I1325" s="16">
        <f>IF(H1325&lt;&gt;"",LOOKUP(2,1/('Weekly Tracker'!$E$2:$E$766=$A1325)/('Weekly Tracker'!$H$2:$H$766&lt;&gt;""),'Weekly Tracker'!$I$2:$I$766),"")</f>
        <v/>
      </c>
      <c r="J1325" s="9">
        <f>IFERROR(LOOKUP(2,1/('Weekly Tracker'!$E$2:$E$766=$A1325)/('Weekly Tracker'!$J$2:$J$766&lt;&gt;""),'Weekly Tracker'!$J$2:$J$766),"")</f>
        <v/>
      </c>
      <c r="K1325" s="9">
        <f>IFERROR(LOOKUP(2,1/('Weekly Tracker'!$E$2:$E$766=$A1325)/('Weekly Tracker'!$N$2:$N$766&lt;&gt;""),'Weekly Tracker'!$N$2:$N$766),"")</f>
        <v/>
      </c>
      <c r="L1325" s="9">
        <f>IFERROR(LOOKUP(2,1/('Weekly Tracker'!$E$2:$E$766=$A1325)/('Weekly Tracker'!$O$2:$O$766&lt;&gt;""),'Weekly Tracker'!$O$2:$O$766),"")</f>
        <v/>
      </c>
    </row>
    <row r="1326">
      <c r="A1326" s="9" t="inlineStr">
        <is>
          <t>Sri Hari Raja FB</t>
        </is>
      </c>
      <c r="B1326" s="9" t="inlineStr">
        <is>
          <t>88700 36045</t>
        </is>
      </c>
      <c r="C1326" s="9" t="n"/>
      <c r="D1326" s="9" t="n"/>
      <c r="E1326" s="9" t="n"/>
      <c r="F1326" s="9">
        <f>IFERROR(LOOKUP(2,1/('Weekly Tracker'!$E$2:$E$766=$A1326)/('Weekly Tracker'!$F$2:$F$766&lt;&gt;""),'Weekly Tracker'!$F$2:$F$766),"")</f>
        <v/>
      </c>
      <c r="G1326" s="16">
        <f>IF(F1326&lt;&gt;"",LOOKUP(2,1/('Weekly Tracker'!$E$2:$E$766=$A1326)/('Weekly Tracker'!$F$2:$F$766&lt;&gt;""),'Weekly Tracker'!$G$2:$G$766),"")</f>
        <v/>
      </c>
      <c r="H1326" s="9">
        <f>IFERROR(LOOKUP(2,1/('Weekly Tracker'!$E$2:$E$766=$A1326)/('Weekly Tracker'!$H$2:$H$766&lt;&gt;""),'Weekly Tracker'!$H$2:$H$766),"")</f>
        <v/>
      </c>
      <c r="I1326" s="16">
        <f>IF(H1326&lt;&gt;"",LOOKUP(2,1/('Weekly Tracker'!$E$2:$E$766=$A1326)/('Weekly Tracker'!$H$2:$H$766&lt;&gt;""),'Weekly Tracker'!$I$2:$I$766),"")</f>
        <v/>
      </c>
      <c r="J1326" s="9">
        <f>IFERROR(LOOKUP(2,1/('Weekly Tracker'!$E$2:$E$766=$A1326)/('Weekly Tracker'!$J$2:$J$766&lt;&gt;""),'Weekly Tracker'!$J$2:$J$766),"")</f>
        <v/>
      </c>
      <c r="K1326" s="9">
        <f>IFERROR(LOOKUP(2,1/('Weekly Tracker'!$E$2:$E$766=$A1326)/('Weekly Tracker'!$N$2:$N$766&lt;&gt;""),'Weekly Tracker'!$N$2:$N$766),"")</f>
        <v/>
      </c>
      <c r="L1326" s="9">
        <f>IFERROR(LOOKUP(2,1/('Weekly Tracker'!$E$2:$E$766=$A1326)/('Weekly Tracker'!$O$2:$O$766&lt;&gt;""),'Weekly Tracker'!$O$2:$O$766),"")</f>
        <v/>
      </c>
    </row>
    <row r="1327">
      <c r="A1327" s="9" t="inlineStr">
        <is>
          <t>Vargees Scl</t>
        </is>
      </c>
      <c r="B1327" s="9" t="inlineStr">
        <is>
          <t>8667376793</t>
        </is>
      </c>
      <c r="C1327" s="9" t="n"/>
      <c r="D1327" s="9" t="n"/>
      <c r="E1327" s="9" t="n"/>
      <c r="F1327" s="9">
        <f>IFERROR(LOOKUP(2,1/('Weekly Tracker'!$E$2:$E$766=$A1327)/('Weekly Tracker'!$F$2:$F$766&lt;&gt;""),'Weekly Tracker'!$F$2:$F$766),"")</f>
        <v/>
      </c>
      <c r="G1327" s="16">
        <f>IF(F1327&lt;&gt;"",LOOKUP(2,1/('Weekly Tracker'!$E$2:$E$766=$A1327)/('Weekly Tracker'!$F$2:$F$766&lt;&gt;""),'Weekly Tracker'!$G$2:$G$766),"")</f>
        <v/>
      </c>
      <c r="H1327" s="9">
        <f>IFERROR(LOOKUP(2,1/('Weekly Tracker'!$E$2:$E$766=$A1327)/('Weekly Tracker'!$H$2:$H$766&lt;&gt;""),'Weekly Tracker'!$H$2:$H$766),"")</f>
        <v/>
      </c>
      <c r="I1327" s="16">
        <f>IF(H1327&lt;&gt;"",LOOKUP(2,1/('Weekly Tracker'!$E$2:$E$766=$A1327)/('Weekly Tracker'!$H$2:$H$766&lt;&gt;""),'Weekly Tracker'!$I$2:$I$766),"")</f>
        <v/>
      </c>
      <c r="J1327" s="9">
        <f>IFERROR(LOOKUP(2,1/('Weekly Tracker'!$E$2:$E$766=$A1327)/('Weekly Tracker'!$J$2:$J$766&lt;&gt;""),'Weekly Tracker'!$J$2:$J$766),"")</f>
        <v/>
      </c>
      <c r="K1327" s="9">
        <f>IFERROR(LOOKUP(2,1/('Weekly Tracker'!$E$2:$E$766=$A1327)/('Weekly Tracker'!$N$2:$N$766&lt;&gt;""),'Weekly Tracker'!$N$2:$N$766),"")</f>
        <v/>
      </c>
      <c r="L1327" s="9">
        <f>IFERROR(LOOKUP(2,1/('Weekly Tracker'!$E$2:$E$766=$A1327)/('Weekly Tracker'!$O$2:$O$766&lt;&gt;""),'Weekly Tracker'!$O$2:$O$766),"")</f>
        <v/>
      </c>
    </row>
    <row r="1328">
      <c r="A1328" s="9" t="inlineStr">
        <is>
          <t>Karthikeyan GP</t>
        </is>
      </c>
      <c r="B1328" s="9" t="inlineStr">
        <is>
          <t>919663950767</t>
        </is>
      </c>
      <c r="C1328" s="9" t="n"/>
      <c r="D1328" s="9" t="n"/>
      <c r="E1328" s="9" t="n"/>
      <c r="F1328" s="9">
        <f>IFERROR(LOOKUP(2,1/('Weekly Tracker'!$E$2:$E$766=$A1328)/('Weekly Tracker'!$F$2:$F$766&lt;&gt;""),'Weekly Tracker'!$F$2:$F$766),"")</f>
        <v/>
      </c>
      <c r="G1328" s="16">
        <f>IF(F1328&lt;&gt;"",LOOKUP(2,1/('Weekly Tracker'!$E$2:$E$766=$A1328)/('Weekly Tracker'!$F$2:$F$766&lt;&gt;""),'Weekly Tracker'!$G$2:$G$766),"")</f>
        <v/>
      </c>
      <c r="H1328" s="9">
        <f>IFERROR(LOOKUP(2,1/('Weekly Tracker'!$E$2:$E$766=$A1328)/('Weekly Tracker'!$H$2:$H$766&lt;&gt;""),'Weekly Tracker'!$H$2:$H$766),"")</f>
        <v/>
      </c>
      <c r="I1328" s="16">
        <f>IF(H1328&lt;&gt;"",LOOKUP(2,1/('Weekly Tracker'!$E$2:$E$766=$A1328)/('Weekly Tracker'!$H$2:$H$766&lt;&gt;""),'Weekly Tracker'!$I$2:$I$766),"")</f>
        <v/>
      </c>
      <c r="J1328" s="9">
        <f>IFERROR(LOOKUP(2,1/('Weekly Tracker'!$E$2:$E$766=$A1328)/('Weekly Tracker'!$J$2:$J$766&lt;&gt;""),'Weekly Tracker'!$J$2:$J$766),"")</f>
        <v/>
      </c>
      <c r="K1328" s="9">
        <f>IFERROR(LOOKUP(2,1/('Weekly Tracker'!$E$2:$E$766=$A1328)/('Weekly Tracker'!$N$2:$N$766&lt;&gt;""),'Weekly Tracker'!$N$2:$N$766),"")</f>
        <v/>
      </c>
      <c r="L1328" s="9">
        <f>IFERROR(LOOKUP(2,1/('Weekly Tracker'!$E$2:$E$766=$A1328)/('Weekly Tracker'!$O$2:$O$766&lt;&gt;""),'Weekly Tracker'!$O$2:$O$766),"")</f>
        <v/>
      </c>
    </row>
    <row r="1329">
      <c r="A1329" s="9" t="inlineStr">
        <is>
          <t>Mohit Room Madipakkam</t>
        </is>
      </c>
      <c r="B1329" s="9" t="inlineStr">
        <is>
          <t>919092667281</t>
        </is>
      </c>
      <c r="C1329" s="9" t="n"/>
      <c r="D1329" s="9" t="n"/>
      <c r="E1329" s="9" t="n"/>
      <c r="F1329" s="9">
        <f>IFERROR(LOOKUP(2,1/('Weekly Tracker'!$E$2:$E$766=$A1329)/('Weekly Tracker'!$F$2:$F$766&lt;&gt;""),'Weekly Tracker'!$F$2:$F$766),"")</f>
        <v/>
      </c>
      <c r="G1329" s="16">
        <f>IF(F1329&lt;&gt;"",LOOKUP(2,1/('Weekly Tracker'!$E$2:$E$766=$A1329)/('Weekly Tracker'!$F$2:$F$766&lt;&gt;""),'Weekly Tracker'!$G$2:$G$766),"")</f>
        <v/>
      </c>
      <c r="H1329" s="9">
        <f>IFERROR(LOOKUP(2,1/('Weekly Tracker'!$E$2:$E$766=$A1329)/('Weekly Tracker'!$H$2:$H$766&lt;&gt;""),'Weekly Tracker'!$H$2:$H$766),"")</f>
        <v/>
      </c>
      <c r="I1329" s="16">
        <f>IF(H1329&lt;&gt;"",LOOKUP(2,1/('Weekly Tracker'!$E$2:$E$766=$A1329)/('Weekly Tracker'!$H$2:$H$766&lt;&gt;""),'Weekly Tracker'!$I$2:$I$766),"")</f>
        <v/>
      </c>
      <c r="J1329" s="9">
        <f>IFERROR(LOOKUP(2,1/('Weekly Tracker'!$E$2:$E$766=$A1329)/('Weekly Tracker'!$J$2:$J$766&lt;&gt;""),'Weekly Tracker'!$J$2:$J$766),"")</f>
        <v/>
      </c>
      <c r="K1329" s="9">
        <f>IFERROR(LOOKUP(2,1/('Weekly Tracker'!$E$2:$E$766=$A1329)/('Weekly Tracker'!$N$2:$N$766&lt;&gt;""),'Weekly Tracker'!$N$2:$N$766),"")</f>
        <v/>
      </c>
      <c r="L1329" s="9">
        <f>IFERROR(LOOKUP(2,1/('Weekly Tracker'!$E$2:$E$766=$A1329)/('Weekly Tracker'!$O$2:$O$766&lt;&gt;""),'Weekly Tracker'!$O$2:$O$766),"")</f>
        <v/>
      </c>
    </row>
    <row r="1330">
      <c r="A1330" s="9" t="inlineStr">
        <is>
          <t>Kasi Rajan NDLF</t>
        </is>
      </c>
      <c r="B1330" s="9" t="inlineStr">
        <is>
          <t>9750150052</t>
        </is>
      </c>
      <c r="C1330" s="9" t="n"/>
      <c r="D1330" s="9" t="n"/>
      <c r="E1330" s="9" t="n"/>
      <c r="F1330" s="9">
        <f>IFERROR(LOOKUP(2,1/('Weekly Tracker'!$E$2:$E$766=$A1330)/('Weekly Tracker'!$F$2:$F$766&lt;&gt;""),'Weekly Tracker'!$F$2:$F$766),"")</f>
        <v/>
      </c>
      <c r="G1330" s="16">
        <f>IF(F1330&lt;&gt;"",LOOKUP(2,1/('Weekly Tracker'!$E$2:$E$766=$A1330)/('Weekly Tracker'!$F$2:$F$766&lt;&gt;""),'Weekly Tracker'!$G$2:$G$766),"")</f>
        <v/>
      </c>
      <c r="H1330" s="9">
        <f>IFERROR(LOOKUP(2,1/('Weekly Tracker'!$E$2:$E$766=$A1330)/('Weekly Tracker'!$H$2:$H$766&lt;&gt;""),'Weekly Tracker'!$H$2:$H$766),"")</f>
        <v/>
      </c>
      <c r="I1330" s="16">
        <f>IF(H1330&lt;&gt;"",LOOKUP(2,1/('Weekly Tracker'!$E$2:$E$766=$A1330)/('Weekly Tracker'!$H$2:$H$766&lt;&gt;""),'Weekly Tracker'!$I$2:$I$766),"")</f>
        <v/>
      </c>
      <c r="J1330" s="9">
        <f>IFERROR(LOOKUP(2,1/('Weekly Tracker'!$E$2:$E$766=$A1330)/('Weekly Tracker'!$J$2:$J$766&lt;&gt;""),'Weekly Tracker'!$J$2:$J$766),"")</f>
        <v/>
      </c>
      <c r="K1330" s="9">
        <f>IFERROR(LOOKUP(2,1/('Weekly Tracker'!$E$2:$E$766=$A1330)/('Weekly Tracker'!$N$2:$N$766&lt;&gt;""),'Weekly Tracker'!$N$2:$N$766),"")</f>
        <v/>
      </c>
      <c r="L1330" s="9">
        <f>IFERROR(LOOKUP(2,1/('Weekly Tracker'!$E$2:$E$766=$A1330)/('Weekly Tracker'!$O$2:$O$766&lt;&gt;""),'Weekly Tracker'!$O$2:$O$766),"")</f>
        <v/>
      </c>
    </row>
    <row r="1331">
      <c r="A1331" s="9" t="inlineStr">
        <is>
          <t>Saisrujan HCL</t>
        </is>
      </c>
      <c r="B1331" s="9" t="inlineStr">
        <is>
          <t>8977962765</t>
        </is>
      </c>
      <c r="C1331" s="9" t="n"/>
      <c r="D1331" s="9" t="n"/>
      <c r="E1331" s="9" t="n"/>
      <c r="F1331" s="9">
        <f>IFERROR(LOOKUP(2,1/('Weekly Tracker'!$E$2:$E$766=$A1331)/('Weekly Tracker'!$F$2:$F$766&lt;&gt;""),'Weekly Tracker'!$F$2:$F$766),"")</f>
        <v/>
      </c>
      <c r="G1331" s="16">
        <f>IF(F1331&lt;&gt;"",LOOKUP(2,1/('Weekly Tracker'!$E$2:$E$766=$A1331)/('Weekly Tracker'!$F$2:$F$766&lt;&gt;""),'Weekly Tracker'!$G$2:$G$766),"")</f>
        <v/>
      </c>
      <c r="H1331" s="9">
        <f>IFERROR(LOOKUP(2,1/('Weekly Tracker'!$E$2:$E$766=$A1331)/('Weekly Tracker'!$H$2:$H$766&lt;&gt;""),'Weekly Tracker'!$H$2:$H$766),"")</f>
        <v/>
      </c>
      <c r="I1331" s="16">
        <f>IF(H1331&lt;&gt;"",LOOKUP(2,1/('Weekly Tracker'!$E$2:$E$766=$A1331)/('Weekly Tracker'!$H$2:$H$766&lt;&gt;""),'Weekly Tracker'!$I$2:$I$766),"")</f>
        <v/>
      </c>
      <c r="J1331" s="9">
        <f>IFERROR(LOOKUP(2,1/('Weekly Tracker'!$E$2:$E$766=$A1331)/('Weekly Tracker'!$J$2:$J$766&lt;&gt;""),'Weekly Tracker'!$J$2:$J$766),"")</f>
        <v/>
      </c>
      <c r="K1331" s="9">
        <f>IFERROR(LOOKUP(2,1/('Weekly Tracker'!$E$2:$E$766=$A1331)/('Weekly Tracker'!$N$2:$N$766&lt;&gt;""),'Weekly Tracker'!$N$2:$N$766),"")</f>
        <v/>
      </c>
      <c r="L1331" s="9">
        <f>IFERROR(LOOKUP(2,1/('Weekly Tracker'!$E$2:$E$766=$A1331)/('Weekly Tracker'!$O$2:$O$766&lt;&gt;""),'Weekly Tracker'!$O$2:$O$766),"")</f>
        <v/>
      </c>
    </row>
    <row r="1332">
      <c r="A1332" s="9" t="inlineStr">
        <is>
          <t>Sai Krishna CMDB Verz</t>
        </is>
      </c>
      <c r="B1332" s="9" t="inlineStr">
        <is>
          <t>9791078737</t>
        </is>
      </c>
      <c r="C1332" s="9" t="n"/>
      <c r="D1332" s="9" t="n"/>
      <c r="E1332" s="9" t="n"/>
      <c r="F1332" s="9">
        <f>IFERROR(LOOKUP(2,1/('Weekly Tracker'!$E$2:$E$766=$A1332)/('Weekly Tracker'!$F$2:$F$766&lt;&gt;""),'Weekly Tracker'!$F$2:$F$766),"")</f>
        <v/>
      </c>
      <c r="G1332" s="16">
        <f>IF(F1332&lt;&gt;"",LOOKUP(2,1/('Weekly Tracker'!$E$2:$E$766=$A1332)/('Weekly Tracker'!$F$2:$F$766&lt;&gt;""),'Weekly Tracker'!$G$2:$G$766),"")</f>
        <v/>
      </c>
      <c r="H1332" s="9">
        <f>IFERROR(LOOKUP(2,1/('Weekly Tracker'!$E$2:$E$766=$A1332)/('Weekly Tracker'!$H$2:$H$766&lt;&gt;""),'Weekly Tracker'!$H$2:$H$766),"")</f>
        <v/>
      </c>
      <c r="I1332" s="16">
        <f>IF(H1332&lt;&gt;"",LOOKUP(2,1/('Weekly Tracker'!$E$2:$E$766=$A1332)/('Weekly Tracker'!$H$2:$H$766&lt;&gt;""),'Weekly Tracker'!$I$2:$I$766),"")</f>
        <v/>
      </c>
      <c r="J1332" s="9">
        <f>IFERROR(LOOKUP(2,1/('Weekly Tracker'!$E$2:$E$766=$A1332)/('Weekly Tracker'!$J$2:$J$766&lt;&gt;""),'Weekly Tracker'!$J$2:$J$766),"")</f>
        <v/>
      </c>
      <c r="K1332" s="9">
        <f>IFERROR(LOOKUP(2,1/('Weekly Tracker'!$E$2:$E$766=$A1332)/('Weekly Tracker'!$N$2:$N$766&lt;&gt;""),'Weekly Tracker'!$N$2:$N$766),"")</f>
        <v/>
      </c>
      <c r="L1332" s="9">
        <f>IFERROR(LOOKUP(2,1/('Weekly Tracker'!$E$2:$E$766=$A1332)/('Weekly Tracker'!$O$2:$O$766&lt;&gt;""),'Weekly Tracker'!$O$2:$O$766),"")</f>
        <v/>
      </c>
    </row>
    <row r="1333">
      <c r="A1333" s="9" t="inlineStr">
        <is>
          <t>Pragatheesh Insta</t>
        </is>
      </c>
      <c r="B1333" s="9" t="inlineStr">
        <is>
          <t>7598986913</t>
        </is>
      </c>
      <c r="C1333" s="9" t="n"/>
      <c r="D1333" s="9" t="n"/>
      <c r="E1333" s="9" t="n"/>
      <c r="F1333" s="9">
        <f>IFERROR(LOOKUP(2,1/('Weekly Tracker'!$E$2:$E$766=$A1333)/('Weekly Tracker'!$F$2:$F$766&lt;&gt;""),'Weekly Tracker'!$F$2:$F$766),"")</f>
        <v/>
      </c>
      <c r="G1333" s="16">
        <f>IF(F1333&lt;&gt;"",LOOKUP(2,1/('Weekly Tracker'!$E$2:$E$766=$A1333)/('Weekly Tracker'!$F$2:$F$766&lt;&gt;""),'Weekly Tracker'!$G$2:$G$766),"")</f>
        <v/>
      </c>
      <c r="H1333" s="9">
        <f>IFERROR(LOOKUP(2,1/('Weekly Tracker'!$E$2:$E$766=$A1333)/('Weekly Tracker'!$H$2:$H$766&lt;&gt;""),'Weekly Tracker'!$H$2:$H$766),"")</f>
        <v/>
      </c>
      <c r="I1333" s="16">
        <f>IF(H1333&lt;&gt;"",LOOKUP(2,1/('Weekly Tracker'!$E$2:$E$766=$A1333)/('Weekly Tracker'!$H$2:$H$766&lt;&gt;""),'Weekly Tracker'!$I$2:$I$766),"")</f>
        <v/>
      </c>
      <c r="J1333" s="9">
        <f>IFERROR(LOOKUP(2,1/('Weekly Tracker'!$E$2:$E$766=$A1333)/('Weekly Tracker'!$J$2:$J$766&lt;&gt;""),'Weekly Tracker'!$J$2:$J$766),"")</f>
        <v/>
      </c>
      <c r="K1333" s="9">
        <f>IFERROR(LOOKUP(2,1/('Weekly Tracker'!$E$2:$E$766=$A1333)/('Weekly Tracker'!$N$2:$N$766&lt;&gt;""),'Weekly Tracker'!$N$2:$N$766),"")</f>
        <v/>
      </c>
      <c r="L1333" s="9">
        <f>IFERROR(LOOKUP(2,1/('Weekly Tracker'!$E$2:$E$766=$A1333)/('Weekly Tracker'!$O$2:$O$766&lt;&gt;""),'Weekly Tracker'!$O$2:$O$766),"")</f>
        <v/>
      </c>
    </row>
    <row r="1334">
      <c r="A1334" s="9" t="inlineStr">
        <is>
          <t>Abdul Kani</t>
        </is>
      </c>
      <c r="B1334" s="9" t="inlineStr">
        <is>
          <t>919488878569</t>
        </is>
      </c>
      <c r="C1334" s="9" t="n"/>
      <c r="D1334" s="9" t="n"/>
      <c r="E1334" s="9" t="n"/>
      <c r="F1334" s="9">
        <f>IFERROR(LOOKUP(2,1/('Weekly Tracker'!$E$2:$E$766=$A1334)/('Weekly Tracker'!$F$2:$F$766&lt;&gt;""),'Weekly Tracker'!$F$2:$F$766),"")</f>
        <v/>
      </c>
      <c r="G1334" s="16">
        <f>IF(F1334&lt;&gt;"",LOOKUP(2,1/('Weekly Tracker'!$E$2:$E$766=$A1334)/('Weekly Tracker'!$F$2:$F$766&lt;&gt;""),'Weekly Tracker'!$G$2:$G$766),"")</f>
        <v/>
      </c>
      <c r="H1334" s="9">
        <f>IFERROR(LOOKUP(2,1/('Weekly Tracker'!$E$2:$E$766=$A1334)/('Weekly Tracker'!$H$2:$H$766&lt;&gt;""),'Weekly Tracker'!$H$2:$H$766),"")</f>
        <v/>
      </c>
      <c r="I1334" s="16">
        <f>IF(H1334&lt;&gt;"",LOOKUP(2,1/('Weekly Tracker'!$E$2:$E$766=$A1334)/('Weekly Tracker'!$H$2:$H$766&lt;&gt;""),'Weekly Tracker'!$I$2:$I$766),"")</f>
        <v/>
      </c>
      <c r="J1334" s="9">
        <f>IFERROR(LOOKUP(2,1/('Weekly Tracker'!$E$2:$E$766=$A1334)/('Weekly Tracker'!$J$2:$J$766&lt;&gt;""),'Weekly Tracker'!$J$2:$J$766),"")</f>
        <v/>
      </c>
      <c r="K1334" s="9">
        <f>IFERROR(LOOKUP(2,1/('Weekly Tracker'!$E$2:$E$766=$A1334)/('Weekly Tracker'!$N$2:$N$766&lt;&gt;""),'Weekly Tracker'!$N$2:$N$766),"")</f>
        <v/>
      </c>
      <c r="L1334" s="9">
        <f>IFERROR(LOOKUP(2,1/('Weekly Tracker'!$E$2:$E$766=$A1334)/('Weekly Tracker'!$O$2:$O$766&lt;&gt;""),'Weekly Tracker'!$O$2:$O$766),"")</f>
        <v/>
      </c>
    </row>
    <row r="1335">
      <c r="A1335" s="9" t="inlineStr">
        <is>
          <t>Saran S Casagrand</t>
        </is>
      </c>
      <c r="B1335" s="9" t="inlineStr">
        <is>
          <t>918925566714</t>
        </is>
      </c>
      <c r="C1335" s="9" t="n"/>
      <c r="D1335" s="9" t="n"/>
      <c r="E1335" s="9" t="n"/>
      <c r="F1335" s="9">
        <f>IFERROR(LOOKUP(2,1/('Weekly Tracker'!$E$2:$E$766=$A1335)/('Weekly Tracker'!$F$2:$F$766&lt;&gt;""),'Weekly Tracker'!$F$2:$F$766),"")</f>
        <v/>
      </c>
      <c r="G1335" s="16">
        <f>IF(F1335&lt;&gt;"",LOOKUP(2,1/('Weekly Tracker'!$E$2:$E$766=$A1335)/('Weekly Tracker'!$F$2:$F$766&lt;&gt;""),'Weekly Tracker'!$G$2:$G$766),"")</f>
        <v/>
      </c>
      <c r="H1335" s="9">
        <f>IFERROR(LOOKUP(2,1/('Weekly Tracker'!$E$2:$E$766=$A1335)/('Weekly Tracker'!$H$2:$H$766&lt;&gt;""),'Weekly Tracker'!$H$2:$H$766),"")</f>
        <v/>
      </c>
      <c r="I1335" s="16">
        <f>IF(H1335&lt;&gt;"",LOOKUP(2,1/('Weekly Tracker'!$E$2:$E$766=$A1335)/('Weekly Tracker'!$H$2:$H$766&lt;&gt;""),'Weekly Tracker'!$I$2:$I$766),"")</f>
        <v/>
      </c>
      <c r="J1335" s="9">
        <f>IFERROR(LOOKUP(2,1/('Weekly Tracker'!$E$2:$E$766=$A1335)/('Weekly Tracker'!$J$2:$J$766&lt;&gt;""),'Weekly Tracker'!$J$2:$J$766),"")</f>
        <v/>
      </c>
      <c r="K1335" s="9">
        <f>IFERROR(LOOKUP(2,1/('Weekly Tracker'!$E$2:$E$766=$A1335)/('Weekly Tracker'!$N$2:$N$766&lt;&gt;""),'Weekly Tracker'!$N$2:$N$766),"")</f>
        <v/>
      </c>
      <c r="L1335" s="9">
        <f>IFERROR(LOOKUP(2,1/('Weekly Tracker'!$E$2:$E$766=$A1335)/('Weekly Tracker'!$O$2:$O$766&lt;&gt;""),'Weekly Tracker'!$O$2:$O$766),"")</f>
        <v/>
      </c>
    </row>
    <row r="1336">
      <c r="A1336" s="9" t="inlineStr">
        <is>
          <t>Anuj  Alex Grp Ucen</t>
        </is>
      </c>
      <c r="B1336" s="9" t="inlineStr">
        <is>
          <t>919159440379</t>
        </is>
      </c>
      <c r="C1336" s="9" t="n"/>
      <c r="D1336" s="9" t="n"/>
      <c r="E1336" s="9" t="n"/>
      <c r="F1336" s="9">
        <f>IFERROR(LOOKUP(2,1/('Weekly Tracker'!$E$2:$E$766=$A1336)/('Weekly Tracker'!$F$2:$F$766&lt;&gt;""),'Weekly Tracker'!$F$2:$F$766),"")</f>
        <v/>
      </c>
      <c r="G1336" s="16">
        <f>IF(F1336&lt;&gt;"",LOOKUP(2,1/('Weekly Tracker'!$E$2:$E$766=$A1336)/('Weekly Tracker'!$F$2:$F$766&lt;&gt;""),'Weekly Tracker'!$G$2:$G$766),"")</f>
        <v/>
      </c>
      <c r="H1336" s="9">
        <f>IFERROR(LOOKUP(2,1/('Weekly Tracker'!$E$2:$E$766=$A1336)/('Weekly Tracker'!$H$2:$H$766&lt;&gt;""),'Weekly Tracker'!$H$2:$H$766),"")</f>
        <v/>
      </c>
      <c r="I1336" s="16">
        <f>IF(H1336&lt;&gt;"",LOOKUP(2,1/('Weekly Tracker'!$E$2:$E$766=$A1336)/('Weekly Tracker'!$H$2:$H$766&lt;&gt;""),'Weekly Tracker'!$I$2:$I$766),"")</f>
        <v/>
      </c>
      <c r="J1336" s="9">
        <f>IFERROR(LOOKUP(2,1/('Weekly Tracker'!$E$2:$E$766=$A1336)/('Weekly Tracker'!$J$2:$J$766&lt;&gt;""),'Weekly Tracker'!$J$2:$J$766),"")</f>
        <v/>
      </c>
      <c r="K1336" s="9">
        <f>IFERROR(LOOKUP(2,1/('Weekly Tracker'!$E$2:$E$766=$A1336)/('Weekly Tracker'!$N$2:$N$766&lt;&gt;""),'Weekly Tracker'!$N$2:$N$766),"")</f>
        <v/>
      </c>
      <c r="L1336" s="9">
        <f>IFERROR(LOOKUP(2,1/('Weekly Tracker'!$E$2:$E$766=$A1336)/('Weekly Tracker'!$O$2:$O$766&lt;&gt;""),'Weekly Tracker'!$O$2:$O$766),"")</f>
        <v/>
      </c>
    </row>
    <row r="1337">
      <c r="A1337" s="9" t="inlineStr">
        <is>
          <t>Shankar Pickyourtrail</t>
        </is>
      </c>
      <c r="B1337" s="9" t="inlineStr">
        <is>
          <t>+91 6374 715 151</t>
        </is>
      </c>
      <c r="C1337" s="9" t="n"/>
      <c r="D1337" s="9" t="n"/>
      <c r="E1337" s="9" t="n"/>
      <c r="F1337" s="9">
        <f>IFERROR(LOOKUP(2,1/('Weekly Tracker'!$E$2:$E$766=$A1337)/('Weekly Tracker'!$F$2:$F$766&lt;&gt;""),'Weekly Tracker'!$F$2:$F$766),"")</f>
        <v/>
      </c>
      <c r="G1337" s="16">
        <f>IF(F1337&lt;&gt;"",LOOKUP(2,1/('Weekly Tracker'!$E$2:$E$766=$A1337)/('Weekly Tracker'!$F$2:$F$766&lt;&gt;""),'Weekly Tracker'!$G$2:$G$766),"")</f>
        <v/>
      </c>
      <c r="H1337" s="9">
        <f>IFERROR(LOOKUP(2,1/('Weekly Tracker'!$E$2:$E$766=$A1337)/('Weekly Tracker'!$H$2:$H$766&lt;&gt;""),'Weekly Tracker'!$H$2:$H$766),"")</f>
        <v/>
      </c>
      <c r="I1337" s="16">
        <f>IF(H1337&lt;&gt;"",LOOKUP(2,1/('Weekly Tracker'!$E$2:$E$766=$A1337)/('Weekly Tracker'!$H$2:$H$766&lt;&gt;""),'Weekly Tracker'!$I$2:$I$766),"")</f>
        <v/>
      </c>
      <c r="J1337" s="9">
        <f>IFERROR(LOOKUP(2,1/('Weekly Tracker'!$E$2:$E$766=$A1337)/('Weekly Tracker'!$J$2:$J$766&lt;&gt;""),'Weekly Tracker'!$J$2:$J$766),"")</f>
        <v/>
      </c>
      <c r="K1337" s="9">
        <f>IFERROR(LOOKUP(2,1/('Weekly Tracker'!$E$2:$E$766=$A1337)/('Weekly Tracker'!$N$2:$N$766&lt;&gt;""),'Weekly Tracker'!$N$2:$N$766),"")</f>
        <v/>
      </c>
      <c r="L1337" s="9">
        <f>IFERROR(LOOKUP(2,1/('Weekly Tracker'!$E$2:$E$766=$A1337)/('Weekly Tracker'!$O$2:$O$766&lt;&gt;""),'Weekly Tracker'!$O$2:$O$766),"")</f>
        <v/>
      </c>
    </row>
    <row r="1338">
      <c r="A1338" s="9" t="inlineStr">
        <is>
          <t>Karthick FB</t>
        </is>
      </c>
      <c r="B1338" s="9" t="inlineStr">
        <is>
          <t>917418802468, 7502122074</t>
        </is>
      </c>
      <c r="C1338" s="9" t="n"/>
      <c r="D1338" s="9" t="n"/>
      <c r="E1338" s="9" t="n"/>
      <c r="F1338" s="9">
        <f>IFERROR(LOOKUP(2,1/('Weekly Tracker'!$E$2:$E$766=$A1338)/('Weekly Tracker'!$F$2:$F$766&lt;&gt;""),'Weekly Tracker'!$F$2:$F$766),"")</f>
        <v/>
      </c>
      <c r="G1338" s="16">
        <f>IF(F1338&lt;&gt;"",LOOKUP(2,1/('Weekly Tracker'!$E$2:$E$766=$A1338)/('Weekly Tracker'!$F$2:$F$766&lt;&gt;""),'Weekly Tracker'!$G$2:$G$766),"")</f>
        <v/>
      </c>
      <c r="H1338" s="9">
        <f>IFERROR(LOOKUP(2,1/('Weekly Tracker'!$E$2:$E$766=$A1338)/('Weekly Tracker'!$H$2:$H$766&lt;&gt;""),'Weekly Tracker'!$H$2:$H$766),"")</f>
        <v/>
      </c>
      <c r="I1338" s="16">
        <f>IF(H1338&lt;&gt;"",LOOKUP(2,1/('Weekly Tracker'!$E$2:$E$766=$A1338)/('Weekly Tracker'!$H$2:$H$766&lt;&gt;""),'Weekly Tracker'!$I$2:$I$766),"")</f>
        <v/>
      </c>
      <c r="J1338" s="9">
        <f>IFERROR(LOOKUP(2,1/('Weekly Tracker'!$E$2:$E$766=$A1338)/('Weekly Tracker'!$J$2:$J$766&lt;&gt;""),'Weekly Tracker'!$J$2:$J$766),"")</f>
        <v/>
      </c>
      <c r="K1338" s="9">
        <f>IFERROR(LOOKUP(2,1/('Weekly Tracker'!$E$2:$E$766=$A1338)/('Weekly Tracker'!$N$2:$N$766&lt;&gt;""),'Weekly Tracker'!$N$2:$N$766),"")</f>
        <v/>
      </c>
      <c r="L1338" s="9">
        <f>IFERROR(LOOKUP(2,1/('Weekly Tracker'!$E$2:$E$766=$A1338)/('Weekly Tracker'!$O$2:$O$766&lt;&gt;""),'Weekly Tracker'!$O$2:$O$766),"")</f>
        <v/>
      </c>
    </row>
    <row r="1339">
      <c r="A1339" s="9" t="inlineStr">
        <is>
          <t>Manoj Grp Ucen</t>
        </is>
      </c>
      <c r="B1339" s="9" t="inlineStr">
        <is>
          <t>919952240976</t>
        </is>
      </c>
      <c r="C1339" s="9" t="n"/>
      <c r="D1339" s="9" t="n"/>
      <c r="E1339" s="9" t="n"/>
      <c r="F1339" s="9">
        <f>IFERROR(LOOKUP(2,1/('Weekly Tracker'!$E$2:$E$766=$A1339)/('Weekly Tracker'!$F$2:$F$766&lt;&gt;""),'Weekly Tracker'!$F$2:$F$766),"")</f>
        <v/>
      </c>
      <c r="G1339" s="16">
        <f>IF(F1339&lt;&gt;"",LOOKUP(2,1/('Weekly Tracker'!$E$2:$E$766=$A1339)/('Weekly Tracker'!$F$2:$F$766&lt;&gt;""),'Weekly Tracker'!$G$2:$G$766),"")</f>
        <v/>
      </c>
      <c r="H1339" s="9">
        <f>IFERROR(LOOKUP(2,1/('Weekly Tracker'!$E$2:$E$766=$A1339)/('Weekly Tracker'!$H$2:$H$766&lt;&gt;""),'Weekly Tracker'!$H$2:$H$766),"")</f>
        <v/>
      </c>
      <c r="I1339" s="16">
        <f>IF(H1339&lt;&gt;"",LOOKUP(2,1/('Weekly Tracker'!$E$2:$E$766=$A1339)/('Weekly Tracker'!$H$2:$H$766&lt;&gt;""),'Weekly Tracker'!$I$2:$I$766),"")</f>
        <v/>
      </c>
      <c r="J1339" s="9">
        <f>IFERROR(LOOKUP(2,1/('Weekly Tracker'!$E$2:$E$766=$A1339)/('Weekly Tracker'!$J$2:$J$766&lt;&gt;""),'Weekly Tracker'!$J$2:$J$766),"")</f>
        <v/>
      </c>
      <c r="K1339" s="9">
        <f>IFERROR(LOOKUP(2,1/('Weekly Tracker'!$E$2:$E$766=$A1339)/('Weekly Tracker'!$N$2:$N$766&lt;&gt;""),'Weekly Tracker'!$N$2:$N$766),"")</f>
        <v/>
      </c>
      <c r="L1339" s="9">
        <f>IFERROR(LOOKUP(2,1/('Weekly Tracker'!$E$2:$E$766=$A1339)/('Weekly Tracker'!$O$2:$O$766&lt;&gt;""),'Weekly Tracker'!$O$2:$O$766),"")</f>
        <v/>
      </c>
    </row>
    <row r="1340">
      <c r="A1340" s="9" t="inlineStr">
        <is>
          <t>Auslin Binth Grp Ucen</t>
        </is>
      </c>
      <c r="B1340" s="9" t="inlineStr">
        <is>
          <t>918098124132</t>
        </is>
      </c>
      <c r="C1340" s="9" t="n"/>
      <c r="D1340" s="9" t="n"/>
      <c r="E1340" s="9" t="n"/>
      <c r="F1340" s="9">
        <f>IFERROR(LOOKUP(2,1/('Weekly Tracker'!$E$2:$E$766=$A1340)/('Weekly Tracker'!$F$2:$F$766&lt;&gt;""),'Weekly Tracker'!$F$2:$F$766),"")</f>
        <v/>
      </c>
      <c r="G1340" s="16">
        <f>IF(F1340&lt;&gt;"",LOOKUP(2,1/('Weekly Tracker'!$E$2:$E$766=$A1340)/('Weekly Tracker'!$F$2:$F$766&lt;&gt;""),'Weekly Tracker'!$G$2:$G$766),"")</f>
        <v/>
      </c>
      <c r="H1340" s="9">
        <f>IFERROR(LOOKUP(2,1/('Weekly Tracker'!$E$2:$E$766=$A1340)/('Weekly Tracker'!$H$2:$H$766&lt;&gt;""),'Weekly Tracker'!$H$2:$H$766),"")</f>
        <v/>
      </c>
      <c r="I1340" s="16">
        <f>IF(H1340&lt;&gt;"",LOOKUP(2,1/('Weekly Tracker'!$E$2:$E$766=$A1340)/('Weekly Tracker'!$H$2:$H$766&lt;&gt;""),'Weekly Tracker'!$I$2:$I$766),"")</f>
        <v/>
      </c>
      <c r="J1340" s="9">
        <f>IFERROR(LOOKUP(2,1/('Weekly Tracker'!$E$2:$E$766=$A1340)/('Weekly Tracker'!$J$2:$J$766&lt;&gt;""),'Weekly Tracker'!$J$2:$J$766),"")</f>
        <v/>
      </c>
      <c r="K1340" s="9">
        <f>IFERROR(LOOKUP(2,1/('Weekly Tracker'!$E$2:$E$766=$A1340)/('Weekly Tracker'!$N$2:$N$766&lt;&gt;""),'Weekly Tracker'!$N$2:$N$766),"")</f>
        <v/>
      </c>
      <c r="L1340" s="9">
        <f>IFERROR(LOOKUP(2,1/('Weekly Tracker'!$E$2:$E$766=$A1340)/('Weekly Tracker'!$O$2:$O$766&lt;&gt;""),'Weekly Tracker'!$O$2:$O$766),"")</f>
        <v/>
      </c>
    </row>
    <row r="1341">
      <c r="A1341" s="9" t="inlineStr">
        <is>
          <t>Mathew Infy</t>
        </is>
      </c>
      <c r="B1341" s="9" t="inlineStr">
        <is>
          <t>919500150522</t>
        </is>
      </c>
      <c r="C1341" s="9" t="n"/>
      <c r="D1341" s="9" t="n"/>
      <c r="E1341" s="9" t="n"/>
      <c r="F1341" s="9">
        <f>IFERROR(LOOKUP(2,1/('Weekly Tracker'!$E$2:$E$766=$A1341)/('Weekly Tracker'!$F$2:$F$766&lt;&gt;""),'Weekly Tracker'!$F$2:$F$766),"")</f>
        <v/>
      </c>
      <c r="G1341" s="16">
        <f>IF(F1341&lt;&gt;"",LOOKUP(2,1/('Weekly Tracker'!$E$2:$E$766=$A1341)/('Weekly Tracker'!$F$2:$F$766&lt;&gt;""),'Weekly Tracker'!$G$2:$G$766),"")</f>
        <v/>
      </c>
      <c r="H1341" s="9">
        <f>IFERROR(LOOKUP(2,1/('Weekly Tracker'!$E$2:$E$766=$A1341)/('Weekly Tracker'!$H$2:$H$766&lt;&gt;""),'Weekly Tracker'!$H$2:$H$766),"")</f>
        <v/>
      </c>
      <c r="I1341" s="16">
        <f>IF(H1341&lt;&gt;"",LOOKUP(2,1/('Weekly Tracker'!$E$2:$E$766=$A1341)/('Weekly Tracker'!$H$2:$H$766&lt;&gt;""),'Weekly Tracker'!$I$2:$I$766),"")</f>
        <v/>
      </c>
      <c r="J1341" s="9">
        <f>IFERROR(LOOKUP(2,1/('Weekly Tracker'!$E$2:$E$766=$A1341)/('Weekly Tracker'!$J$2:$J$766&lt;&gt;""),'Weekly Tracker'!$J$2:$J$766),"")</f>
        <v/>
      </c>
      <c r="K1341" s="9">
        <f>IFERROR(LOOKUP(2,1/('Weekly Tracker'!$E$2:$E$766=$A1341)/('Weekly Tracker'!$N$2:$N$766&lt;&gt;""),'Weekly Tracker'!$N$2:$N$766),"")</f>
        <v/>
      </c>
      <c r="L1341" s="9">
        <f>IFERROR(LOOKUP(2,1/('Weekly Tracker'!$E$2:$E$766=$A1341)/('Weekly Tracker'!$O$2:$O$766&lt;&gt;""),'Weekly Tracker'!$O$2:$O$766),"")</f>
        <v/>
      </c>
    </row>
    <row r="1342">
      <c r="A1342" s="9" t="inlineStr">
        <is>
          <t>Sakshi Infy</t>
        </is>
      </c>
      <c r="B1342" s="9" t="inlineStr">
        <is>
          <t>919870431993</t>
        </is>
      </c>
      <c r="C1342" s="9" t="n"/>
      <c r="D1342" s="9" t="n"/>
      <c r="E1342" s="9" t="n"/>
      <c r="F1342" s="9">
        <f>IFERROR(LOOKUP(2,1/('Weekly Tracker'!$E$2:$E$766=$A1342)/('Weekly Tracker'!$F$2:$F$766&lt;&gt;""),'Weekly Tracker'!$F$2:$F$766),"")</f>
        <v/>
      </c>
      <c r="G1342" s="16">
        <f>IF(F1342&lt;&gt;"",LOOKUP(2,1/('Weekly Tracker'!$E$2:$E$766=$A1342)/('Weekly Tracker'!$F$2:$F$766&lt;&gt;""),'Weekly Tracker'!$G$2:$G$766),"")</f>
        <v/>
      </c>
      <c r="H1342" s="9">
        <f>IFERROR(LOOKUP(2,1/('Weekly Tracker'!$E$2:$E$766=$A1342)/('Weekly Tracker'!$H$2:$H$766&lt;&gt;""),'Weekly Tracker'!$H$2:$H$766),"")</f>
        <v/>
      </c>
      <c r="I1342" s="16">
        <f>IF(H1342&lt;&gt;"",LOOKUP(2,1/('Weekly Tracker'!$E$2:$E$766=$A1342)/('Weekly Tracker'!$H$2:$H$766&lt;&gt;""),'Weekly Tracker'!$I$2:$I$766),"")</f>
        <v/>
      </c>
      <c r="J1342" s="9">
        <f>IFERROR(LOOKUP(2,1/('Weekly Tracker'!$E$2:$E$766=$A1342)/('Weekly Tracker'!$J$2:$J$766&lt;&gt;""),'Weekly Tracker'!$J$2:$J$766),"")</f>
        <v/>
      </c>
      <c r="K1342" s="9">
        <f>IFERROR(LOOKUP(2,1/('Weekly Tracker'!$E$2:$E$766=$A1342)/('Weekly Tracker'!$N$2:$N$766&lt;&gt;""),'Weekly Tracker'!$N$2:$N$766),"")</f>
        <v/>
      </c>
      <c r="L1342" s="9">
        <f>IFERROR(LOOKUP(2,1/('Weekly Tracker'!$E$2:$E$766=$A1342)/('Weekly Tracker'!$O$2:$O$766&lt;&gt;""),'Weekly Tracker'!$O$2:$O$766),"")</f>
        <v/>
      </c>
    </row>
    <row r="1343">
      <c r="A1343" s="9" t="inlineStr">
        <is>
          <t>LP Phoniex</t>
        </is>
      </c>
      <c r="B1343" s="9" t="inlineStr">
        <is>
          <t>918489317600</t>
        </is>
      </c>
      <c r="C1343" s="9" t="n"/>
      <c r="D1343" s="9" t="n"/>
      <c r="E1343" s="9" t="n"/>
      <c r="F1343" s="9">
        <f>IFERROR(LOOKUP(2,1/('Weekly Tracker'!$E$2:$E$766=$A1343)/('Weekly Tracker'!$F$2:$F$766&lt;&gt;""),'Weekly Tracker'!$F$2:$F$766),"")</f>
        <v/>
      </c>
      <c r="G1343" s="16">
        <f>IF(F1343&lt;&gt;"",LOOKUP(2,1/('Weekly Tracker'!$E$2:$E$766=$A1343)/('Weekly Tracker'!$F$2:$F$766&lt;&gt;""),'Weekly Tracker'!$G$2:$G$766),"")</f>
        <v/>
      </c>
      <c r="H1343" s="9">
        <f>IFERROR(LOOKUP(2,1/('Weekly Tracker'!$E$2:$E$766=$A1343)/('Weekly Tracker'!$H$2:$H$766&lt;&gt;""),'Weekly Tracker'!$H$2:$H$766),"")</f>
        <v/>
      </c>
      <c r="I1343" s="16">
        <f>IF(H1343&lt;&gt;"",LOOKUP(2,1/('Weekly Tracker'!$E$2:$E$766=$A1343)/('Weekly Tracker'!$H$2:$H$766&lt;&gt;""),'Weekly Tracker'!$I$2:$I$766),"")</f>
        <v/>
      </c>
      <c r="J1343" s="9">
        <f>IFERROR(LOOKUP(2,1/('Weekly Tracker'!$E$2:$E$766=$A1343)/('Weekly Tracker'!$J$2:$J$766&lt;&gt;""),'Weekly Tracker'!$J$2:$J$766),"")</f>
        <v/>
      </c>
      <c r="K1343" s="9">
        <f>IFERROR(LOOKUP(2,1/('Weekly Tracker'!$E$2:$E$766=$A1343)/('Weekly Tracker'!$N$2:$N$766&lt;&gt;""),'Weekly Tracker'!$N$2:$N$766),"")</f>
        <v/>
      </c>
      <c r="L1343" s="9">
        <f>IFERROR(LOOKUP(2,1/('Weekly Tracker'!$E$2:$E$766=$A1343)/('Weekly Tracker'!$O$2:$O$766&lt;&gt;""),'Weekly Tracker'!$O$2:$O$766),"")</f>
        <v/>
      </c>
    </row>
    <row r="1344">
      <c r="A1344" s="9" t="inlineStr">
        <is>
          <t>Purushothaman Urja</t>
        </is>
      </c>
      <c r="B1344" s="9" t="inlineStr">
        <is>
          <t>8608449516</t>
        </is>
      </c>
      <c r="C1344" s="9" t="n"/>
      <c r="D1344" s="9" t="n"/>
      <c r="E1344" s="9" t="n"/>
      <c r="F1344" s="9">
        <f>IFERROR(LOOKUP(2,1/('Weekly Tracker'!$E$2:$E$766=$A1344)/('Weekly Tracker'!$F$2:$F$766&lt;&gt;""),'Weekly Tracker'!$F$2:$F$766),"")</f>
        <v/>
      </c>
      <c r="G1344" s="16">
        <f>IF(F1344&lt;&gt;"",LOOKUP(2,1/('Weekly Tracker'!$E$2:$E$766=$A1344)/('Weekly Tracker'!$F$2:$F$766&lt;&gt;""),'Weekly Tracker'!$G$2:$G$766),"")</f>
        <v/>
      </c>
      <c r="H1344" s="9">
        <f>IFERROR(LOOKUP(2,1/('Weekly Tracker'!$E$2:$E$766=$A1344)/('Weekly Tracker'!$H$2:$H$766&lt;&gt;""),'Weekly Tracker'!$H$2:$H$766),"")</f>
        <v/>
      </c>
      <c r="I1344" s="16">
        <f>IF(H1344&lt;&gt;"",LOOKUP(2,1/('Weekly Tracker'!$E$2:$E$766=$A1344)/('Weekly Tracker'!$H$2:$H$766&lt;&gt;""),'Weekly Tracker'!$I$2:$I$766),"")</f>
        <v/>
      </c>
      <c r="J1344" s="9">
        <f>IFERROR(LOOKUP(2,1/('Weekly Tracker'!$E$2:$E$766=$A1344)/('Weekly Tracker'!$J$2:$J$766&lt;&gt;""),'Weekly Tracker'!$J$2:$J$766),"")</f>
        <v/>
      </c>
      <c r="K1344" s="9">
        <f>IFERROR(LOOKUP(2,1/('Weekly Tracker'!$E$2:$E$766=$A1344)/('Weekly Tracker'!$N$2:$N$766&lt;&gt;""),'Weekly Tracker'!$N$2:$N$766),"")</f>
        <v/>
      </c>
      <c r="L1344" s="9">
        <f>IFERROR(LOOKUP(2,1/('Weekly Tracker'!$E$2:$E$766=$A1344)/('Weekly Tracker'!$O$2:$O$766&lt;&gt;""),'Weekly Tracker'!$O$2:$O$766),"")</f>
        <v/>
      </c>
    </row>
    <row r="1345">
      <c r="A1345" s="9" t="inlineStr">
        <is>
          <t>Karthick Karthick FB</t>
        </is>
      </c>
      <c r="B1345" s="9" t="inlineStr">
        <is>
          <t>9626356553</t>
        </is>
      </c>
      <c r="C1345" s="9" t="n"/>
      <c r="D1345" s="9" t="n"/>
      <c r="E1345" s="9" t="n"/>
      <c r="F1345" s="9">
        <f>IFERROR(LOOKUP(2,1/('Weekly Tracker'!$E$2:$E$766=$A1345)/('Weekly Tracker'!$F$2:$F$766&lt;&gt;""),'Weekly Tracker'!$F$2:$F$766),"")</f>
        <v/>
      </c>
      <c r="G1345" s="16">
        <f>IF(F1345&lt;&gt;"",LOOKUP(2,1/('Weekly Tracker'!$E$2:$E$766=$A1345)/('Weekly Tracker'!$F$2:$F$766&lt;&gt;""),'Weekly Tracker'!$G$2:$G$766),"")</f>
        <v/>
      </c>
      <c r="H1345" s="9">
        <f>IFERROR(LOOKUP(2,1/('Weekly Tracker'!$E$2:$E$766=$A1345)/('Weekly Tracker'!$H$2:$H$766&lt;&gt;""),'Weekly Tracker'!$H$2:$H$766),"")</f>
        <v/>
      </c>
      <c r="I1345" s="16">
        <f>IF(H1345&lt;&gt;"",LOOKUP(2,1/('Weekly Tracker'!$E$2:$E$766=$A1345)/('Weekly Tracker'!$H$2:$H$766&lt;&gt;""),'Weekly Tracker'!$I$2:$I$766),"")</f>
        <v/>
      </c>
      <c r="J1345" s="9">
        <f>IFERROR(LOOKUP(2,1/('Weekly Tracker'!$E$2:$E$766=$A1345)/('Weekly Tracker'!$J$2:$J$766&lt;&gt;""),'Weekly Tracker'!$J$2:$J$766),"")</f>
        <v/>
      </c>
      <c r="K1345" s="9">
        <f>IFERROR(LOOKUP(2,1/('Weekly Tracker'!$E$2:$E$766=$A1345)/('Weekly Tracker'!$N$2:$N$766&lt;&gt;""),'Weekly Tracker'!$N$2:$N$766),"")</f>
        <v/>
      </c>
      <c r="L1345" s="9">
        <f>IFERROR(LOOKUP(2,1/('Weekly Tracker'!$E$2:$E$766=$A1345)/('Weekly Tracker'!$O$2:$O$766&lt;&gt;""),'Weekly Tracker'!$O$2:$O$766),"")</f>
        <v/>
      </c>
    </row>
    <row r="1346">
      <c r="A1346" s="9" t="inlineStr">
        <is>
          <t>Shiva Shell-Vel</t>
        </is>
      </c>
      <c r="B1346" s="9" t="inlineStr">
        <is>
          <t>8870932715</t>
        </is>
      </c>
      <c r="C1346" s="9" t="n"/>
      <c r="D1346" s="9" t="n"/>
      <c r="E1346" s="9" t="n"/>
      <c r="F1346" s="9">
        <f>IFERROR(LOOKUP(2,1/('Weekly Tracker'!$E$2:$E$766=$A1346)/('Weekly Tracker'!$F$2:$F$766&lt;&gt;""),'Weekly Tracker'!$F$2:$F$766),"")</f>
        <v/>
      </c>
      <c r="G1346" s="16">
        <f>IF(F1346&lt;&gt;"",LOOKUP(2,1/('Weekly Tracker'!$E$2:$E$766=$A1346)/('Weekly Tracker'!$F$2:$F$766&lt;&gt;""),'Weekly Tracker'!$G$2:$G$766),"")</f>
        <v/>
      </c>
      <c r="H1346" s="9">
        <f>IFERROR(LOOKUP(2,1/('Weekly Tracker'!$E$2:$E$766=$A1346)/('Weekly Tracker'!$H$2:$H$766&lt;&gt;""),'Weekly Tracker'!$H$2:$H$766),"")</f>
        <v/>
      </c>
      <c r="I1346" s="16">
        <f>IF(H1346&lt;&gt;"",LOOKUP(2,1/('Weekly Tracker'!$E$2:$E$766=$A1346)/('Weekly Tracker'!$H$2:$H$766&lt;&gt;""),'Weekly Tracker'!$I$2:$I$766),"")</f>
        <v/>
      </c>
      <c r="J1346" s="9">
        <f>IFERROR(LOOKUP(2,1/('Weekly Tracker'!$E$2:$E$766=$A1346)/('Weekly Tracker'!$J$2:$J$766&lt;&gt;""),'Weekly Tracker'!$J$2:$J$766),"")</f>
        <v/>
      </c>
      <c r="K1346" s="9">
        <f>IFERROR(LOOKUP(2,1/('Weekly Tracker'!$E$2:$E$766=$A1346)/('Weekly Tracker'!$N$2:$N$766&lt;&gt;""),'Weekly Tracker'!$N$2:$N$766),"")</f>
        <v/>
      </c>
      <c r="L1346" s="9">
        <f>IFERROR(LOOKUP(2,1/('Weekly Tracker'!$E$2:$E$766=$A1346)/('Weekly Tracker'!$O$2:$O$766&lt;&gt;""),'Weekly Tracker'!$O$2:$O$766),"")</f>
        <v/>
      </c>
    </row>
    <row r="1347">
      <c r="A1347" s="9" t="inlineStr">
        <is>
          <t>Karthi - Science Scl</t>
        </is>
      </c>
      <c r="B1347" s="9" t="inlineStr">
        <is>
          <t>919790475794</t>
        </is>
      </c>
      <c r="C1347" s="9" t="n"/>
      <c r="D1347" s="9" t="n"/>
      <c r="E1347" s="9" t="n"/>
      <c r="F1347" s="9">
        <f>IFERROR(LOOKUP(2,1/('Weekly Tracker'!$E$2:$E$766=$A1347)/('Weekly Tracker'!$F$2:$F$766&lt;&gt;""),'Weekly Tracker'!$F$2:$F$766),"")</f>
        <v/>
      </c>
      <c r="G1347" s="16">
        <f>IF(F1347&lt;&gt;"",LOOKUP(2,1/('Weekly Tracker'!$E$2:$E$766=$A1347)/('Weekly Tracker'!$F$2:$F$766&lt;&gt;""),'Weekly Tracker'!$G$2:$G$766),"")</f>
        <v/>
      </c>
      <c r="H1347" s="9">
        <f>IFERROR(LOOKUP(2,1/('Weekly Tracker'!$E$2:$E$766=$A1347)/('Weekly Tracker'!$H$2:$H$766&lt;&gt;""),'Weekly Tracker'!$H$2:$H$766),"")</f>
        <v/>
      </c>
      <c r="I1347" s="16">
        <f>IF(H1347&lt;&gt;"",LOOKUP(2,1/('Weekly Tracker'!$E$2:$E$766=$A1347)/('Weekly Tracker'!$H$2:$H$766&lt;&gt;""),'Weekly Tracker'!$I$2:$I$766),"")</f>
        <v/>
      </c>
      <c r="J1347" s="9">
        <f>IFERROR(LOOKUP(2,1/('Weekly Tracker'!$E$2:$E$766=$A1347)/('Weekly Tracker'!$J$2:$J$766&lt;&gt;""),'Weekly Tracker'!$J$2:$J$766),"")</f>
        <v/>
      </c>
      <c r="K1347" s="9">
        <f>IFERROR(LOOKUP(2,1/('Weekly Tracker'!$E$2:$E$766=$A1347)/('Weekly Tracker'!$N$2:$N$766&lt;&gt;""),'Weekly Tracker'!$N$2:$N$766),"")</f>
        <v/>
      </c>
      <c r="L1347" s="9">
        <f>IFERROR(LOOKUP(2,1/('Weekly Tracker'!$E$2:$E$766=$A1347)/('Weekly Tracker'!$O$2:$O$766&lt;&gt;""),'Weekly Tracker'!$O$2:$O$766),"")</f>
        <v/>
      </c>
    </row>
    <row r="1348">
      <c r="A1348" s="9" t="inlineStr">
        <is>
          <t>Vijaykumar Nadar Scl</t>
        </is>
      </c>
      <c r="B1348" s="9" t="inlineStr">
        <is>
          <t>8248561687</t>
        </is>
      </c>
      <c r="C1348" s="9" t="n"/>
      <c r="D1348" s="9" t="n"/>
      <c r="E1348" s="9" t="n"/>
      <c r="F1348" s="9">
        <f>IFERROR(LOOKUP(2,1/('Weekly Tracker'!$E$2:$E$766=$A1348)/('Weekly Tracker'!$F$2:$F$766&lt;&gt;""),'Weekly Tracker'!$F$2:$F$766),"")</f>
        <v/>
      </c>
      <c r="G1348" s="16">
        <f>IF(F1348&lt;&gt;"",LOOKUP(2,1/('Weekly Tracker'!$E$2:$E$766=$A1348)/('Weekly Tracker'!$F$2:$F$766&lt;&gt;""),'Weekly Tracker'!$G$2:$G$766),"")</f>
        <v/>
      </c>
      <c r="H1348" s="9">
        <f>IFERROR(LOOKUP(2,1/('Weekly Tracker'!$E$2:$E$766=$A1348)/('Weekly Tracker'!$H$2:$H$766&lt;&gt;""),'Weekly Tracker'!$H$2:$H$766),"")</f>
        <v/>
      </c>
      <c r="I1348" s="16">
        <f>IF(H1348&lt;&gt;"",LOOKUP(2,1/('Weekly Tracker'!$E$2:$E$766=$A1348)/('Weekly Tracker'!$H$2:$H$766&lt;&gt;""),'Weekly Tracker'!$I$2:$I$766),"")</f>
        <v/>
      </c>
      <c r="J1348" s="9">
        <f>IFERROR(LOOKUP(2,1/('Weekly Tracker'!$E$2:$E$766=$A1348)/('Weekly Tracker'!$J$2:$J$766&lt;&gt;""),'Weekly Tracker'!$J$2:$J$766),"")</f>
        <v/>
      </c>
      <c r="K1348" s="9">
        <f>IFERROR(LOOKUP(2,1/('Weekly Tracker'!$E$2:$E$766=$A1348)/('Weekly Tracker'!$N$2:$N$766&lt;&gt;""),'Weekly Tracker'!$N$2:$N$766),"")</f>
        <v/>
      </c>
      <c r="L1348" s="9">
        <f>IFERROR(LOOKUP(2,1/('Weekly Tracker'!$E$2:$E$766=$A1348)/('Weekly Tracker'!$O$2:$O$766&lt;&gt;""),'Weekly Tracker'!$O$2:$O$766),"")</f>
        <v/>
      </c>
    </row>
    <row r="1349">
      <c r="A1349" s="9" t="inlineStr">
        <is>
          <t>Elbin Lindsey FB</t>
        </is>
      </c>
      <c r="B1349" s="9" t="inlineStr">
        <is>
          <t>9944924632</t>
        </is>
      </c>
      <c r="C1349" s="9" t="n"/>
      <c r="D1349" s="9" t="n"/>
      <c r="E1349" s="9" t="n"/>
      <c r="F1349" s="9">
        <f>IFERROR(LOOKUP(2,1/('Weekly Tracker'!$E$2:$E$766=$A1349)/('Weekly Tracker'!$F$2:$F$766&lt;&gt;""),'Weekly Tracker'!$F$2:$F$766),"")</f>
        <v/>
      </c>
      <c r="G1349" s="16">
        <f>IF(F1349&lt;&gt;"",LOOKUP(2,1/('Weekly Tracker'!$E$2:$E$766=$A1349)/('Weekly Tracker'!$F$2:$F$766&lt;&gt;""),'Weekly Tracker'!$G$2:$G$766),"")</f>
        <v/>
      </c>
      <c r="H1349" s="9">
        <f>IFERROR(LOOKUP(2,1/('Weekly Tracker'!$E$2:$E$766=$A1349)/('Weekly Tracker'!$H$2:$H$766&lt;&gt;""),'Weekly Tracker'!$H$2:$H$766),"")</f>
        <v/>
      </c>
      <c r="I1349" s="16">
        <f>IF(H1349&lt;&gt;"",LOOKUP(2,1/('Weekly Tracker'!$E$2:$E$766=$A1349)/('Weekly Tracker'!$H$2:$H$766&lt;&gt;""),'Weekly Tracker'!$I$2:$I$766),"")</f>
        <v/>
      </c>
      <c r="J1349" s="9">
        <f>IFERROR(LOOKUP(2,1/('Weekly Tracker'!$E$2:$E$766=$A1349)/('Weekly Tracker'!$J$2:$J$766&lt;&gt;""),'Weekly Tracker'!$J$2:$J$766),"")</f>
        <v/>
      </c>
      <c r="K1349" s="9">
        <f>IFERROR(LOOKUP(2,1/('Weekly Tracker'!$E$2:$E$766=$A1349)/('Weekly Tracker'!$N$2:$N$766&lt;&gt;""),'Weekly Tracker'!$N$2:$N$766),"")</f>
        <v/>
      </c>
      <c r="L1349" s="9">
        <f>IFERROR(LOOKUP(2,1/('Weekly Tracker'!$E$2:$E$766=$A1349)/('Weekly Tracker'!$O$2:$O$766&lt;&gt;""),'Weekly Tracker'!$O$2:$O$766),"")</f>
        <v/>
      </c>
    </row>
    <row r="1350">
      <c r="A1350" s="9" t="inlineStr">
        <is>
          <t>Elango Selvam FB</t>
        </is>
      </c>
      <c r="B1350" s="9" t="inlineStr">
        <is>
          <t>8778918753</t>
        </is>
      </c>
      <c r="C1350" s="9" t="n"/>
      <c r="D1350" s="9" t="n"/>
      <c r="E1350" s="9" t="n"/>
      <c r="F1350" s="9">
        <f>IFERROR(LOOKUP(2,1/('Weekly Tracker'!$E$2:$E$766=$A1350)/('Weekly Tracker'!$F$2:$F$766&lt;&gt;""),'Weekly Tracker'!$F$2:$F$766),"")</f>
        <v/>
      </c>
      <c r="G1350" s="16">
        <f>IF(F1350&lt;&gt;"",LOOKUP(2,1/('Weekly Tracker'!$E$2:$E$766=$A1350)/('Weekly Tracker'!$F$2:$F$766&lt;&gt;""),'Weekly Tracker'!$G$2:$G$766),"")</f>
        <v/>
      </c>
      <c r="H1350" s="9">
        <f>IFERROR(LOOKUP(2,1/('Weekly Tracker'!$E$2:$E$766=$A1350)/('Weekly Tracker'!$H$2:$H$766&lt;&gt;""),'Weekly Tracker'!$H$2:$H$766),"")</f>
        <v/>
      </c>
      <c r="I1350" s="16">
        <f>IF(H1350&lt;&gt;"",LOOKUP(2,1/('Weekly Tracker'!$E$2:$E$766=$A1350)/('Weekly Tracker'!$H$2:$H$766&lt;&gt;""),'Weekly Tracker'!$I$2:$I$766),"")</f>
        <v/>
      </c>
      <c r="J1350" s="9">
        <f>IFERROR(LOOKUP(2,1/('Weekly Tracker'!$E$2:$E$766=$A1350)/('Weekly Tracker'!$J$2:$J$766&lt;&gt;""),'Weekly Tracker'!$J$2:$J$766),"")</f>
        <v/>
      </c>
      <c r="K1350" s="9">
        <f>IFERROR(LOOKUP(2,1/('Weekly Tracker'!$E$2:$E$766=$A1350)/('Weekly Tracker'!$N$2:$N$766&lt;&gt;""),'Weekly Tracker'!$N$2:$N$766),"")</f>
        <v/>
      </c>
      <c r="L1350" s="9">
        <f>IFERROR(LOOKUP(2,1/('Weekly Tracker'!$E$2:$E$766=$A1350)/('Weekly Tracker'!$O$2:$O$766&lt;&gt;""),'Weekly Tracker'!$O$2:$O$766),"")</f>
        <v/>
      </c>
    </row>
    <row r="1351">
      <c r="A1351" s="9" t="inlineStr">
        <is>
          <t>Vivek Anbu FB</t>
        </is>
      </c>
      <c r="B1351" s="9" t="inlineStr">
        <is>
          <t>7373999632</t>
        </is>
      </c>
      <c r="C1351" s="9" t="n"/>
      <c r="D1351" s="9" t="n"/>
      <c r="E1351" s="9" t="n"/>
      <c r="F1351" s="9">
        <f>IFERROR(LOOKUP(2,1/('Weekly Tracker'!$E$2:$E$766=$A1351)/('Weekly Tracker'!$F$2:$F$766&lt;&gt;""),'Weekly Tracker'!$F$2:$F$766),"")</f>
        <v/>
      </c>
      <c r="G1351" s="16">
        <f>IF(F1351&lt;&gt;"",LOOKUP(2,1/('Weekly Tracker'!$E$2:$E$766=$A1351)/('Weekly Tracker'!$F$2:$F$766&lt;&gt;""),'Weekly Tracker'!$G$2:$G$766),"")</f>
        <v/>
      </c>
      <c r="H1351" s="9">
        <f>IFERROR(LOOKUP(2,1/('Weekly Tracker'!$E$2:$E$766=$A1351)/('Weekly Tracker'!$H$2:$H$766&lt;&gt;""),'Weekly Tracker'!$H$2:$H$766),"")</f>
        <v/>
      </c>
      <c r="I1351" s="16">
        <f>IF(H1351&lt;&gt;"",LOOKUP(2,1/('Weekly Tracker'!$E$2:$E$766=$A1351)/('Weekly Tracker'!$H$2:$H$766&lt;&gt;""),'Weekly Tracker'!$I$2:$I$766),"")</f>
        <v/>
      </c>
      <c r="J1351" s="9">
        <f>IFERROR(LOOKUP(2,1/('Weekly Tracker'!$E$2:$E$766=$A1351)/('Weekly Tracker'!$J$2:$J$766&lt;&gt;""),'Weekly Tracker'!$J$2:$J$766),"")</f>
        <v/>
      </c>
      <c r="K1351" s="9">
        <f>IFERROR(LOOKUP(2,1/('Weekly Tracker'!$E$2:$E$766=$A1351)/('Weekly Tracker'!$N$2:$N$766&lt;&gt;""),'Weekly Tracker'!$N$2:$N$766),"")</f>
        <v/>
      </c>
      <c r="L1351" s="9">
        <f>IFERROR(LOOKUP(2,1/('Weekly Tracker'!$E$2:$E$766=$A1351)/('Weekly Tracker'!$O$2:$O$766&lt;&gt;""),'Weekly Tracker'!$O$2:$O$766),"")</f>
        <v/>
      </c>
    </row>
    <row r="1352">
      <c r="A1352" s="9" t="inlineStr">
        <is>
          <t>Kumaran Infosys</t>
        </is>
      </c>
      <c r="B1352" s="9" t="inlineStr">
        <is>
          <t>919940641399</t>
        </is>
      </c>
      <c r="C1352" s="9" t="n"/>
      <c r="D1352" s="9" t="n"/>
      <c r="E1352" s="9" t="n"/>
      <c r="F1352" s="9">
        <f>IFERROR(LOOKUP(2,1/('Weekly Tracker'!$E$2:$E$766=$A1352)/('Weekly Tracker'!$F$2:$F$766&lt;&gt;""),'Weekly Tracker'!$F$2:$F$766),"")</f>
        <v/>
      </c>
      <c r="G1352" s="16">
        <f>IF(F1352&lt;&gt;"",LOOKUP(2,1/('Weekly Tracker'!$E$2:$E$766=$A1352)/('Weekly Tracker'!$F$2:$F$766&lt;&gt;""),'Weekly Tracker'!$G$2:$G$766),"")</f>
        <v/>
      </c>
      <c r="H1352" s="9">
        <f>IFERROR(LOOKUP(2,1/('Weekly Tracker'!$E$2:$E$766=$A1352)/('Weekly Tracker'!$H$2:$H$766&lt;&gt;""),'Weekly Tracker'!$H$2:$H$766),"")</f>
        <v/>
      </c>
      <c r="I1352" s="16">
        <f>IF(H1352&lt;&gt;"",LOOKUP(2,1/('Weekly Tracker'!$E$2:$E$766=$A1352)/('Weekly Tracker'!$H$2:$H$766&lt;&gt;""),'Weekly Tracker'!$I$2:$I$766),"")</f>
        <v/>
      </c>
      <c r="J1352" s="9">
        <f>IFERROR(LOOKUP(2,1/('Weekly Tracker'!$E$2:$E$766=$A1352)/('Weekly Tracker'!$J$2:$J$766&lt;&gt;""),'Weekly Tracker'!$J$2:$J$766),"")</f>
        <v/>
      </c>
      <c r="K1352" s="9">
        <f>IFERROR(LOOKUP(2,1/('Weekly Tracker'!$E$2:$E$766=$A1352)/('Weekly Tracker'!$N$2:$N$766&lt;&gt;""),'Weekly Tracker'!$N$2:$N$766),"")</f>
        <v/>
      </c>
      <c r="L1352" s="9">
        <f>IFERROR(LOOKUP(2,1/('Weekly Tracker'!$E$2:$E$766=$A1352)/('Weekly Tracker'!$O$2:$O$766&lt;&gt;""),'Weekly Tracker'!$O$2:$O$766),"")</f>
        <v/>
      </c>
    </row>
    <row r="1353">
      <c r="A1353" s="9" t="inlineStr">
        <is>
          <t>Ajay Stefin Grp</t>
        </is>
      </c>
      <c r="B1353" s="9" t="inlineStr">
        <is>
          <t>919600456366</t>
        </is>
      </c>
      <c r="C1353" s="9" t="n"/>
      <c r="D1353" s="9" t="n"/>
      <c r="E1353" s="9" t="n"/>
      <c r="F1353" s="9">
        <f>IFERROR(LOOKUP(2,1/('Weekly Tracker'!$E$2:$E$766=$A1353)/('Weekly Tracker'!$F$2:$F$766&lt;&gt;""),'Weekly Tracker'!$F$2:$F$766),"")</f>
        <v/>
      </c>
      <c r="G1353" s="16">
        <f>IF(F1353&lt;&gt;"",LOOKUP(2,1/('Weekly Tracker'!$E$2:$E$766=$A1353)/('Weekly Tracker'!$F$2:$F$766&lt;&gt;""),'Weekly Tracker'!$G$2:$G$766),"")</f>
        <v/>
      </c>
      <c r="H1353" s="9">
        <f>IFERROR(LOOKUP(2,1/('Weekly Tracker'!$E$2:$E$766=$A1353)/('Weekly Tracker'!$H$2:$H$766&lt;&gt;""),'Weekly Tracker'!$H$2:$H$766),"")</f>
        <v/>
      </c>
      <c r="I1353" s="16">
        <f>IF(H1353&lt;&gt;"",LOOKUP(2,1/('Weekly Tracker'!$E$2:$E$766=$A1353)/('Weekly Tracker'!$H$2:$H$766&lt;&gt;""),'Weekly Tracker'!$I$2:$I$766),"")</f>
        <v/>
      </c>
      <c r="J1353" s="9">
        <f>IFERROR(LOOKUP(2,1/('Weekly Tracker'!$E$2:$E$766=$A1353)/('Weekly Tracker'!$J$2:$J$766&lt;&gt;""),'Weekly Tracker'!$J$2:$J$766),"")</f>
        <v/>
      </c>
      <c r="K1353" s="9">
        <f>IFERROR(LOOKUP(2,1/('Weekly Tracker'!$E$2:$E$766=$A1353)/('Weekly Tracker'!$N$2:$N$766&lt;&gt;""),'Weekly Tracker'!$N$2:$N$766),"")</f>
        <v/>
      </c>
      <c r="L1353" s="9">
        <f>IFERROR(LOOKUP(2,1/('Weekly Tracker'!$E$2:$E$766=$A1353)/('Weekly Tracker'!$O$2:$O$766&lt;&gt;""),'Weekly Tracker'!$O$2:$O$766),"")</f>
        <v/>
      </c>
    </row>
    <row r="1354">
      <c r="A1354" s="9" t="inlineStr">
        <is>
          <t>Aravinth Kumar Verz</t>
        </is>
      </c>
      <c r="B1354" s="9" t="inlineStr">
        <is>
          <t>919790889941</t>
        </is>
      </c>
      <c r="C1354" s="9" t="n"/>
      <c r="D1354" s="9" t="n"/>
      <c r="E1354" s="9" t="inlineStr">
        <is>
          <t>Tamil Nadu, India</t>
        </is>
      </c>
      <c r="F1354" s="9">
        <f>IFERROR(LOOKUP(2,1/('Weekly Tracker'!$E$2:$E$766=$A1354)/('Weekly Tracker'!$F$2:$F$766&lt;&gt;""),'Weekly Tracker'!$F$2:$F$766),"")</f>
        <v/>
      </c>
      <c r="G1354" s="16">
        <f>IF(F1354&lt;&gt;"",LOOKUP(2,1/('Weekly Tracker'!$E$2:$E$766=$A1354)/('Weekly Tracker'!$F$2:$F$766&lt;&gt;""),'Weekly Tracker'!$G$2:$G$766),"")</f>
        <v/>
      </c>
      <c r="H1354" s="9">
        <f>IFERROR(LOOKUP(2,1/('Weekly Tracker'!$E$2:$E$766=$A1354)/('Weekly Tracker'!$H$2:$H$766&lt;&gt;""),'Weekly Tracker'!$H$2:$H$766),"")</f>
        <v/>
      </c>
      <c r="I1354" s="16">
        <f>IF(H1354&lt;&gt;"",LOOKUP(2,1/('Weekly Tracker'!$E$2:$E$766=$A1354)/('Weekly Tracker'!$H$2:$H$766&lt;&gt;""),'Weekly Tracker'!$I$2:$I$766),"")</f>
        <v/>
      </c>
      <c r="J1354" s="9">
        <f>IFERROR(LOOKUP(2,1/('Weekly Tracker'!$E$2:$E$766=$A1354)/('Weekly Tracker'!$J$2:$J$766&lt;&gt;""),'Weekly Tracker'!$J$2:$J$766),"")</f>
        <v/>
      </c>
      <c r="K1354" s="9">
        <f>IFERROR(LOOKUP(2,1/('Weekly Tracker'!$E$2:$E$766=$A1354)/('Weekly Tracker'!$N$2:$N$766&lt;&gt;""),'Weekly Tracker'!$N$2:$N$766),"")</f>
        <v/>
      </c>
      <c r="L1354" s="9">
        <f>IFERROR(LOOKUP(2,1/('Weekly Tracker'!$E$2:$E$766=$A1354)/('Weekly Tracker'!$O$2:$O$766&lt;&gt;""),'Weekly Tracker'!$O$2:$O$766),"")</f>
        <v/>
      </c>
    </row>
    <row r="1355">
      <c r="A1355" s="9" t="inlineStr">
        <is>
          <t>Anosh FB</t>
        </is>
      </c>
      <c r="B1355" s="9" t="inlineStr">
        <is>
          <t>918015694389</t>
        </is>
      </c>
      <c r="C1355" s="9" t="n"/>
      <c r="D1355" s="9" t="n"/>
      <c r="E1355" s="9" t="n"/>
      <c r="F1355" s="9">
        <f>IFERROR(LOOKUP(2,1/('Weekly Tracker'!$E$2:$E$766=$A1355)/('Weekly Tracker'!$F$2:$F$766&lt;&gt;""),'Weekly Tracker'!$F$2:$F$766),"")</f>
        <v/>
      </c>
      <c r="G1355" s="16">
        <f>IF(F1355&lt;&gt;"",LOOKUP(2,1/('Weekly Tracker'!$E$2:$E$766=$A1355)/('Weekly Tracker'!$F$2:$F$766&lt;&gt;""),'Weekly Tracker'!$G$2:$G$766),"")</f>
        <v/>
      </c>
      <c r="H1355" s="9">
        <f>IFERROR(LOOKUP(2,1/('Weekly Tracker'!$E$2:$E$766=$A1355)/('Weekly Tracker'!$H$2:$H$766&lt;&gt;""),'Weekly Tracker'!$H$2:$H$766),"")</f>
        <v/>
      </c>
      <c r="I1355" s="16">
        <f>IF(H1355&lt;&gt;"",LOOKUP(2,1/('Weekly Tracker'!$E$2:$E$766=$A1355)/('Weekly Tracker'!$H$2:$H$766&lt;&gt;""),'Weekly Tracker'!$I$2:$I$766),"")</f>
        <v/>
      </c>
      <c r="J1355" s="9">
        <f>IFERROR(LOOKUP(2,1/('Weekly Tracker'!$E$2:$E$766=$A1355)/('Weekly Tracker'!$J$2:$J$766&lt;&gt;""),'Weekly Tracker'!$J$2:$J$766),"")</f>
        <v/>
      </c>
      <c r="K1355" s="9">
        <f>IFERROR(LOOKUP(2,1/('Weekly Tracker'!$E$2:$E$766=$A1355)/('Weekly Tracker'!$N$2:$N$766&lt;&gt;""),'Weekly Tracker'!$N$2:$N$766),"")</f>
        <v/>
      </c>
      <c r="L1355" s="9">
        <f>IFERROR(LOOKUP(2,1/('Weekly Tracker'!$E$2:$E$766=$A1355)/('Weekly Tracker'!$O$2:$O$766&lt;&gt;""),'Weekly Tracker'!$O$2:$O$766),"")</f>
        <v/>
      </c>
    </row>
    <row r="1356">
      <c r="A1356" s="9" t="inlineStr">
        <is>
          <t>Pooja Urja</t>
        </is>
      </c>
      <c r="B1356" s="9" t="inlineStr">
        <is>
          <t>918610362448</t>
        </is>
      </c>
      <c r="C1356" s="9" t="n"/>
      <c r="D1356" s="9" t="n"/>
      <c r="E1356" s="9" t="n"/>
      <c r="F1356" s="9">
        <f>IFERROR(LOOKUP(2,1/('Weekly Tracker'!$E$2:$E$766=$A1356)/('Weekly Tracker'!$F$2:$F$766&lt;&gt;""),'Weekly Tracker'!$F$2:$F$766),"")</f>
        <v/>
      </c>
      <c r="G1356" s="16">
        <f>IF(F1356&lt;&gt;"",LOOKUP(2,1/('Weekly Tracker'!$E$2:$E$766=$A1356)/('Weekly Tracker'!$F$2:$F$766&lt;&gt;""),'Weekly Tracker'!$G$2:$G$766),"")</f>
        <v/>
      </c>
      <c r="H1356" s="9">
        <f>IFERROR(LOOKUP(2,1/('Weekly Tracker'!$E$2:$E$766=$A1356)/('Weekly Tracker'!$H$2:$H$766&lt;&gt;""),'Weekly Tracker'!$H$2:$H$766),"")</f>
        <v/>
      </c>
      <c r="I1356" s="16">
        <f>IF(H1356&lt;&gt;"",LOOKUP(2,1/('Weekly Tracker'!$E$2:$E$766=$A1356)/('Weekly Tracker'!$H$2:$H$766&lt;&gt;""),'Weekly Tracker'!$I$2:$I$766),"")</f>
        <v/>
      </c>
      <c r="J1356" s="9">
        <f>IFERROR(LOOKUP(2,1/('Weekly Tracker'!$E$2:$E$766=$A1356)/('Weekly Tracker'!$J$2:$J$766&lt;&gt;""),'Weekly Tracker'!$J$2:$J$766),"")</f>
        <v/>
      </c>
      <c r="K1356" s="9">
        <f>IFERROR(LOOKUP(2,1/('Weekly Tracker'!$E$2:$E$766=$A1356)/('Weekly Tracker'!$N$2:$N$766&lt;&gt;""),'Weekly Tracker'!$N$2:$N$766),"")</f>
        <v/>
      </c>
      <c r="L1356" s="9">
        <f>IFERROR(LOOKUP(2,1/('Weekly Tracker'!$E$2:$E$766=$A1356)/('Weekly Tracker'!$O$2:$O$766&lt;&gt;""),'Weekly Tracker'!$O$2:$O$766),"")</f>
        <v/>
      </c>
    </row>
    <row r="1357">
      <c r="A1357" s="9" t="inlineStr">
        <is>
          <t>Hari Hara Sudhan FB</t>
        </is>
      </c>
      <c r="B1357" s="9" t="inlineStr">
        <is>
          <t>919087487102</t>
        </is>
      </c>
      <c r="C1357" s="9" t="n"/>
      <c r="D1357" s="9" t="n"/>
      <c r="E1357" s="9" t="n"/>
      <c r="F1357" s="9">
        <f>IFERROR(LOOKUP(2,1/('Weekly Tracker'!$E$2:$E$766=$A1357)/('Weekly Tracker'!$F$2:$F$766&lt;&gt;""),'Weekly Tracker'!$F$2:$F$766),"")</f>
        <v/>
      </c>
      <c r="G1357" s="16">
        <f>IF(F1357&lt;&gt;"",LOOKUP(2,1/('Weekly Tracker'!$E$2:$E$766=$A1357)/('Weekly Tracker'!$F$2:$F$766&lt;&gt;""),'Weekly Tracker'!$G$2:$G$766),"")</f>
        <v/>
      </c>
      <c r="H1357" s="9">
        <f>IFERROR(LOOKUP(2,1/('Weekly Tracker'!$E$2:$E$766=$A1357)/('Weekly Tracker'!$H$2:$H$766&lt;&gt;""),'Weekly Tracker'!$H$2:$H$766),"")</f>
        <v/>
      </c>
      <c r="I1357" s="16">
        <f>IF(H1357&lt;&gt;"",LOOKUP(2,1/('Weekly Tracker'!$E$2:$E$766=$A1357)/('Weekly Tracker'!$H$2:$H$766&lt;&gt;""),'Weekly Tracker'!$I$2:$I$766),"")</f>
        <v/>
      </c>
      <c r="J1357" s="9">
        <f>IFERROR(LOOKUP(2,1/('Weekly Tracker'!$E$2:$E$766=$A1357)/('Weekly Tracker'!$J$2:$J$766&lt;&gt;""),'Weekly Tracker'!$J$2:$J$766),"")</f>
        <v/>
      </c>
      <c r="K1357" s="9">
        <f>IFERROR(LOOKUP(2,1/('Weekly Tracker'!$E$2:$E$766=$A1357)/('Weekly Tracker'!$N$2:$N$766&lt;&gt;""),'Weekly Tracker'!$N$2:$N$766),"")</f>
        <v/>
      </c>
      <c r="L1357" s="9">
        <f>IFERROR(LOOKUP(2,1/('Weekly Tracker'!$E$2:$E$766=$A1357)/('Weekly Tracker'!$O$2:$O$766&lt;&gt;""),'Weekly Tracker'!$O$2:$O$766),"")</f>
        <v/>
      </c>
    </row>
    <row r="1358">
      <c r="A1358" s="9" t="inlineStr">
        <is>
          <t>Vins Zomato</t>
        </is>
      </c>
      <c r="B1358" s="9" t="inlineStr">
        <is>
          <t>916385387381</t>
        </is>
      </c>
      <c r="C1358" s="9" t="n"/>
      <c r="D1358" s="9" t="n"/>
      <c r="E1358" s="9" t="n"/>
      <c r="F1358" s="9">
        <f>IFERROR(LOOKUP(2,1/('Weekly Tracker'!$E$2:$E$766=$A1358)/('Weekly Tracker'!$F$2:$F$766&lt;&gt;""),'Weekly Tracker'!$F$2:$F$766),"")</f>
        <v/>
      </c>
      <c r="G1358" s="16">
        <f>IF(F1358&lt;&gt;"",LOOKUP(2,1/('Weekly Tracker'!$E$2:$E$766=$A1358)/('Weekly Tracker'!$F$2:$F$766&lt;&gt;""),'Weekly Tracker'!$G$2:$G$766),"")</f>
        <v/>
      </c>
      <c r="H1358" s="9">
        <f>IFERROR(LOOKUP(2,1/('Weekly Tracker'!$E$2:$E$766=$A1358)/('Weekly Tracker'!$H$2:$H$766&lt;&gt;""),'Weekly Tracker'!$H$2:$H$766),"")</f>
        <v/>
      </c>
      <c r="I1358" s="16">
        <f>IF(H1358&lt;&gt;"",LOOKUP(2,1/('Weekly Tracker'!$E$2:$E$766=$A1358)/('Weekly Tracker'!$H$2:$H$766&lt;&gt;""),'Weekly Tracker'!$I$2:$I$766),"")</f>
        <v/>
      </c>
      <c r="J1358" s="9">
        <f>IFERROR(LOOKUP(2,1/('Weekly Tracker'!$E$2:$E$766=$A1358)/('Weekly Tracker'!$J$2:$J$766&lt;&gt;""),'Weekly Tracker'!$J$2:$J$766),"")</f>
        <v/>
      </c>
      <c r="K1358" s="9">
        <f>IFERROR(LOOKUP(2,1/('Weekly Tracker'!$E$2:$E$766=$A1358)/('Weekly Tracker'!$N$2:$N$766&lt;&gt;""),'Weekly Tracker'!$N$2:$N$766),"")</f>
        <v/>
      </c>
      <c r="L1358" s="9">
        <f>IFERROR(LOOKUP(2,1/('Weekly Tracker'!$E$2:$E$766=$A1358)/('Weekly Tracker'!$O$2:$O$766&lt;&gt;""),'Weekly Tracker'!$O$2:$O$766),"")</f>
        <v/>
      </c>
    </row>
    <row r="1359">
      <c r="A1359" s="9" t="inlineStr">
        <is>
          <t>Priya D4V</t>
        </is>
      </c>
      <c r="B1359" s="9" t="inlineStr">
        <is>
          <t>919840565747</t>
        </is>
      </c>
      <c r="C1359" s="9" t="n"/>
      <c r="D1359" s="9" t="n"/>
      <c r="E1359" s="9" t="n"/>
      <c r="F1359" s="9">
        <f>IFERROR(LOOKUP(2,1/('Weekly Tracker'!$E$2:$E$766=$A1359)/('Weekly Tracker'!$F$2:$F$766&lt;&gt;""),'Weekly Tracker'!$F$2:$F$766),"")</f>
        <v/>
      </c>
      <c r="G1359" s="16">
        <f>IF(F1359&lt;&gt;"",LOOKUP(2,1/('Weekly Tracker'!$E$2:$E$766=$A1359)/('Weekly Tracker'!$F$2:$F$766&lt;&gt;""),'Weekly Tracker'!$G$2:$G$766),"")</f>
        <v/>
      </c>
      <c r="H1359" s="9">
        <f>IFERROR(LOOKUP(2,1/('Weekly Tracker'!$E$2:$E$766=$A1359)/('Weekly Tracker'!$H$2:$H$766&lt;&gt;""),'Weekly Tracker'!$H$2:$H$766),"")</f>
        <v/>
      </c>
      <c r="I1359" s="16">
        <f>IF(H1359&lt;&gt;"",LOOKUP(2,1/('Weekly Tracker'!$E$2:$E$766=$A1359)/('Weekly Tracker'!$H$2:$H$766&lt;&gt;""),'Weekly Tracker'!$I$2:$I$766),"")</f>
        <v/>
      </c>
      <c r="J1359" s="9">
        <f>IFERROR(LOOKUP(2,1/('Weekly Tracker'!$E$2:$E$766=$A1359)/('Weekly Tracker'!$J$2:$J$766&lt;&gt;""),'Weekly Tracker'!$J$2:$J$766),"")</f>
        <v/>
      </c>
      <c r="K1359" s="9">
        <f>IFERROR(LOOKUP(2,1/('Weekly Tracker'!$E$2:$E$766=$A1359)/('Weekly Tracker'!$N$2:$N$766&lt;&gt;""),'Weekly Tracker'!$N$2:$N$766),"")</f>
        <v/>
      </c>
      <c r="L1359" s="9">
        <f>IFERROR(LOOKUP(2,1/('Weekly Tracker'!$E$2:$E$766=$A1359)/('Weekly Tracker'!$O$2:$O$766&lt;&gt;""),'Weekly Tracker'!$O$2:$O$766),"")</f>
        <v/>
      </c>
    </row>
    <row r="1360">
      <c r="A1360" s="9" t="inlineStr">
        <is>
          <t>Sekar CSE</t>
        </is>
      </c>
      <c r="B1360" s="9" t="inlineStr">
        <is>
          <t>918618087351</t>
        </is>
      </c>
      <c r="C1360" s="9" t="n"/>
      <c r="D1360" s="9" t="n"/>
      <c r="E1360" s="9" t="n"/>
      <c r="F1360" s="9">
        <f>IFERROR(LOOKUP(2,1/('Weekly Tracker'!$E$2:$E$766=$A1360)/('Weekly Tracker'!$F$2:$F$766&lt;&gt;""),'Weekly Tracker'!$F$2:$F$766),"")</f>
        <v/>
      </c>
      <c r="G1360" s="16">
        <f>IF(F1360&lt;&gt;"",LOOKUP(2,1/('Weekly Tracker'!$E$2:$E$766=$A1360)/('Weekly Tracker'!$F$2:$F$766&lt;&gt;""),'Weekly Tracker'!$G$2:$G$766),"")</f>
        <v/>
      </c>
      <c r="H1360" s="9">
        <f>IFERROR(LOOKUP(2,1/('Weekly Tracker'!$E$2:$E$766=$A1360)/('Weekly Tracker'!$H$2:$H$766&lt;&gt;""),'Weekly Tracker'!$H$2:$H$766),"")</f>
        <v/>
      </c>
      <c r="I1360" s="16">
        <f>IF(H1360&lt;&gt;"",LOOKUP(2,1/('Weekly Tracker'!$E$2:$E$766=$A1360)/('Weekly Tracker'!$H$2:$H$766&lt;&gt;""),'Weekly Tracker'!$I$2:$I$766),"")</f>
        <v/>
      </c>
      <c r="J1360" s="9">
        <f>IFERROR(LOOKUP(2,1/('Weekly Tracker'!$E$2:$E$766=$A1360)/('Weekly Tracker'!$J$2:$J$766&lt;&gt;""),'Weekly Tracker'!$J$2:$J$766),"")</f>
        <v/>
      </c>
      <c r="K1360" s="9">
        <f>IFERROR(LOOKUP(2,1/('Weekly Tracker'!$E$2:$E$766=$A1360)/('Weekly Tracker'!$N$2:$N$766&lt;&gt;""),'Weekly Tracker'!$N$2:$N$766),"")</f>
        <v/>
      </c>
      <c r="L1360" s="9">
        <f>IFERROR(LOOKUP(2,1/('Weekly Tracker'!$E$2:$E$766=$A1360)/('Weekly Tracker'!$O$2:$O$766&lt;&gt;""),'Weekly Tracker'!$O$2:$O$766),"")</f>
        <v/>
      </c>
    </row>
    <row r="1361">
      <c r="A1361" s="9" t="inlineStr">
        <is>
          <t>Stephen Melki FB</t>
        </is>
      </c>
      <c r="B1361" s="9" t="inlineStr">
        <is>
          <t>9524882211</t>
        </is>
      </c>
      <c r="C1361" s="9" t="n"/>
      <c r="D1361" s="9" t="n"/>
      <c r="E1361" s="9" t="n"/>
      <c r="F1361" s="9">
        <f>IFERROR(LOOKUP(2,1/('Weekly Tracker'!$E$2:$E$766=$A1361)/('Weekly Tracker'!$F$2:$F$766&lt;&gt;""),'Weekly Tracker'!$F$2:$F$766),"")</f>
        <v/>
      </c>
      <c r="G1361" s="16">
        <f>IF(F1361&lt;&gt;"",LOOKUP(2,1/('Weekly Tracker'!$E$2:$E$766=$A1361)/('Weekly Tracker'!$F$2:$F$766&lt;&gt;""),'Weekly Tracker'!$G$2:$G$766),"")</f>
        <v/>
      </c>
      <c r="H1361" s="9">
        <f>IFERROR(LOOKUP(2,1/('Weekly Tracker'!$E$2:$E$766=$A1361)/('Weekly Tracker'!$H$2:$H$766&lt;&gt;""),'Weekly Tracker'!$H$2:$H$766),"")</f>
        <v/>
      </c>
      <c r="I1361" s="16">
        <f>IF(H1361&lt;&gt;"",LOOKUP(2,1/('Weekly Tracker'!$E$2:$E$766=$A1361)/('Weekly Tracker'!$H$2:$H$766&lt;&gt;""),'Weekly Tracker'!$I$2:$I$766),"")</f>
        <v/>
      </c>
      <c r="J1361" s="9">
        <f>IFERROR(LOOKUP(2,1/('Weekly Tracker'!$E$2:$E$766=$A1361)/('Weekly Tracker'!$J$2:$J$766&lt;&gt;""),'Weekly Tracker'!$J$2:$J$766),"")</f>
        <v/>
      </c>
      <c r="K1361" s="9">
        <f>IFERROR(LOOKUP(2,1/('Weekly Tracker'!$E$2:$E$766=$A1361)/('Weekly Tracker'!$N$2:$N$766&lt;&gt;""),'Weekly Tracker'!$N$2:$N$766),"")</f>
        <v/>
      </c>
      <c r="L1361" s="9">
        <f>IFERROR(LOOKUP(2,1/('Weekly Tracker'!$E$2:$E$766=$A1361)/('Weekly Tracker'!$O$2:$O$766&lt;&gt;""),'Weekly Tracker'!$O$2:$O$766),"")</f>
        <v/>
      </c>
    </row>
    <row r="1362">
      <c r="A1362" s="9" t="inlineStr">
        <is>
          <t>Deepak Urja</t>
        </is>
      </c>
      <c r="B1362" s="9" t="inlineStr">
        <is>
          <t>919446093241</t>
        </is>
      </c>
      <c r="C1362" s="9" t="n"/>
      <c r="D1362" s="9" t="n"/>
      <c r="E1362" s="9" t="n"/>
      <c r="F1362" s="9">
        <f>IFERROR(LOOKUP(2,1/('Weekly Tracker'!$E$2:$E$766=$A1362)/('Weekly Tracker'!$F$2:$F$766&lt;&gt;""),'Weekly Tracker'!$F$2:$F$766),"")</f>
        <v/>
      </c>
      <c r="G1362" s="16">
        <f>IF(F1362&lt;&gt;"",LOOKUP(2,1/('Weekly Tracker'!$E$2:$E$766=$A1362)/('Weekly Tracker'!$F$2:$F$766&lt;&gt;""),'Weekly Tracker'!$G$2:$G$766),"")</f>
        <v/>
      </c>
      <c r="H1362" s="9">
        <f>IFERROR(LOOKUP(2,1/('Weekly Tracker'!$E$2:$E$766=$A1362)/('Weekly Tracker'!$H$2:$H$766&lt;&gt;""),'Weekly Tracker'!$H$2:$H$766),"")</f>
        <v/>
      </c>
      <c r="I1362" s="16">
        <f>IF(H1362&lt;&gt;"",LOOKUP(2,1/('Weekly Tracker'!$E$2:$E$766=$A1362)/('Weekly Tracker'!$H$2:$H$766&lt;&gt;""),'Weekly Tracker'!$I$2:$I$766),"")</f>
        <v/>
      </c>
      <c r="J1362" s="9">
        <f>IFERROR(LOOKUP(2,1/('Weekly Tracker'!$E$2:$E$766=$A1362)/('Weekly Tracker'!$J$2:$J$766&lt;&gt;""),'Weekly Tracker'!$J$2:$J$766),"")</f>
        <v/>
      </c>
      <c r="K1362" s="9">
        <f>IFERROR(LOOKUP(2,1/('Weekly Tracker'!$E$2:$E$766=$A1362)/('Weekly Tracker'!$N$2:$N$766&lt;&gt;""),'Weekly Tracker'!$N$2:$N$766),"")</f>
        <v/>
      </c>
      <c r="L1362" s="9">
        <f>IFERROR(LOOKUP(2,1/('Weekly Tracker'!$E$2:$E$766=$A1362)/('Weekly Tracker'!$O$2:$O$766&lt;&gt;""),'Weekly Tracker'!$O$2:$O$766),"")</f>
        <v/>
      </c>
    </row>
    <row r="1363">
      <c r="A1363" s="9" t="inlineStr">
        <is>
          <t>Arun Infy</t>
        </is>
      </c>
      <c r="B1363" s="9" t="inlineStr">
        <is>
          <t>918973333382</t>
        </is>
      </c>
      <c r="C1363" s="9" t="n"/>
      <c r="D1363" s="9" t="n"/>
      <c r="E1363" s="9" t="n"/>
      <c r="F1363" s="9">
        <f>IFERROR(LOOKUP(2,1/('Weekly Tracker'!$E$2:$E$766=$A1363)/('Weekly Tracker'!$F$2:$F$766&lt;&gt;""),'Weekly Tracker'!$F$2:$F$766),"")</f>
        <v/>
      </c>
      <c r="G1363" s="16">
        <f>IF(F1363&lt;&gt;"",LOOKUP(2,1/('Weekly Tracker'!$E$2:$E$766=$A1363)/('Weekly Tracker'!$F$2:$F$766&lt;&gt;""),'Weekly Tracker'!$G$2:$G$766),"")</f>
        <v/>
      </c>
      <c r="H1363" s="9">
        <f>IFERROR(LOOKUP(2,1/('Weekly Tracker'!$E$2:$E$766=$A1363)/('Weekly Tracker'!$H$2:$H$766&lt;&gt;""),'Weekly Tracker'!$H$2:$H$766),"")</f>
        <v/>
      </c>
      <c r="I1363" s="16">
        <f>IF(H1363&lt;&gt;"",LOOKUP(2,1/('Weekly Tracker'!$E$2:$E$766=$A1363)/('Weekly Tracker'!$H$2:$H$766&lt;&gt;""),'Weekly Tracker'!$I$2:$I$766),"")</f>
        <v/>
      </c>
      <c r="J1363" s="9">
        <f>IFERROR(LOOKUP(2,1/('Weekly Tracker'!$E$2:$E$766=$A1363)/('Weekly Tracker'!$J$2:$J$766&lt;&gt;""),'Weekly Tracker'!$J$2:$J$766),"")</f>
        <v/>
      </c>
      <c r="K1363" s="9">
        <f>IFERROR(LOOKUP(2,1/('Weekly Tracker'!$E$2:$E$766=$A1363)/('Weekly Tracker'!$N$2:$N$766&lt;&gt;""),'Weekly Tracker'!$N$2:$N$766),"")</f>
        <v/>
      </c>
      <c r="L1363" s="9">
        <f>IFERROR(LOOKUP(2,1/('Weekly Tracker'!$E$2:$E$766=$A1363)/('Weekly Tracker'!$O$2:$O$766&lt;&gt;""),'Weekly Tracker'!$O$2:$O$766),"")</f>
        <v/>
      </c>
    </row>
    <row r="1364">
      <c r="A1364" s="9" t="inlineStr">
        <is>
          <t>Mathavan mstr</t>
        </is>
      </c>
      <c r="B1364" s="9" t="inlineStr">
        <is>
          <t>918754102112</t>
        </is>
      </c>
      <c r="C1364" s="9" t="n"/>
      <c r="D1364" s="9" t="n"/>
      <c r="E1364" s="9" t="n"/>
      <c r="F1364" s="9">
        <f>IFERROR(LOOKUP(2,1/('Weekly Tracker'!$E$2:$E$766=$A1364)/('Weekly Tracker'!$F$2:$F$766&lt;&gt;""),'Weekly Tracker'!$F$2:$F$766),"")</f>
        <v/>
      </c>
      <c r="G1364" s="16">
        <f>IF(F1364&lt;&gt;"",LOOKUP(2,1/('Weekly Tracker'!$E$2:$E$766=$A1364)/('Weekly Tracker'!$F$2:$F$766&lt;&gt;""),'Weekly Tracker'!$G$2:$G$766),"")</f>
        <v/>
      </c>
      <c r="H1364" s="9">
        <f>IFERROR(LOOKUP(2,1/('Weekly Tracker'!$E$2:$E$766=$A1364)/('Weekly Tracker'!$H$2:$H$766&lt;&gt;""),'Weekly Tracker'!$H$2:$H$766),"")</f>
        <v/>
      </c>
      <c r="I1364" s="16">
        <f>IF(H1364&lt;&gt;"",LOOKUP(2,1/('Weekly Tracker'!$E$2:$E$766=$A1364)/('Weekly Tracker'!$H$2:$H$766&lt;&gt;""),'Weekly Tracker'!$I$2:$I$766),"")</f>
        <v/>
      </c>
      <c r="J1364" s="9">
        <f>IFERROR(LOOKUP(2,1/('Weekly Tracker'!$E$2:$E$766=$A1364)/('Weekly Tracker'!$J$2:$J$766&lt;&gt;""),'Weekly Tracker'!$J$2:$J$766),"")</f>
        <v/>
      </c>
      <c r="K1364" s="9">
        <f>IFERROR(LOOKUP(2,1/('Weekly Tracker'!$E$2:$E$766=$A1364)/('Weekly Tracker'!$N$2:$N$766&lt;&gt;""),'Weekly Tracker'!$N$2:$N$766),"")</f>
        <v/>
      </c>
      <c r="L1364" s="9">
        <f>IFERROR(LOOKUP(2,1/('Weekly Tracker'!$E$2:$E$766=$A1364)/('Weekly Tracker'!$O$2:$O$766&lt;&gt;""),'Weekly Tracker'!$O$2:$O$766),"")</f>
        <v/>
      </c>
    </row>
    <row r="1365">
      <c r="A1365" s="9" t="inlineStr">
        <is>
          <t>Stephen Scl</t>
        </is>
      </c>
      <c r="B1365" s="9" t="inlineStr">
        <is>
          <t>919994719042</t>
        </is>
      </c>
      <c r="C1365" s="9" t="n"/>
      <c r="D1365" s="9" t="n"/>
      <c r="E1365" s="9" t="n"/>
      <c r="F1365" s="9">
        <f>IFERROR(LOOKUP(2,1/('Weekly Tracker'!$E$2:$E$766=$A1365)/('Weekly Tracker'!$F$2:$F$766&lt;&gt;""),'Weekly Tracker'!$F$2:$F$766),"")</f>
        <v/>
      </c>
      <c r="G1365" s="16">
        <f>IF(F1365&lt;&gt;"",LOOKUP(2,1/('Weekly Tracker'!$E$2:$E$766=$A1365)/('Weekly Tracker'!$F$2:$F$766&lt;&gt;""),'Weekly Tracker'!$G$2:$G$766),"")</f>
        <v/>
      </c>
      <c r="H1365" s="9">
        <f>IFERROR(LOOKUP(2,1/('Weekly Tracker'!$E$2:$E$766=$A1365)/('Weekly Tracker'!$H$2:$H$766&lt;&gt;""),'Weekly Tracker'!$H$2:$H$766),"")</f>
        <v/>
      </c>
      <c r="I1365" s="16">
        <f>IF(H1365&lt;&gt;"",LOOKUP(2,1/('Weekly Tracker'!$E$2:$E$766=$A1365)/('Weekly Tracker'!$H$2:$H$766&lt;&gt;""),'Weekly Tracker'!$I$2:$I$766),"")</f>
        <v/>
      </c>
      <c r="J1365" s="9">
        <f>IFERROR(LOOKUP(2,1/('Weekly Tracker'!$E$2:$E$766=$A1365)/('Weekly Tracker'!$J$2:$J$766&lt;&gt;""),'Weekly Tracker'!$J$2:$J$766),"")</f>
        <v/>
      </c>
      <c r="K1365" s="9">
        <f>IFERROR(LOOKUP(2,1/('Weekly Tracker'!$E$2:$E$766=$A1365)/('Weekly Tracker'!$N$2:$N$766&lt;&gt;""),'Weekly Tracker'!$N$2:$N$766),"")</f>
        <v/>
      </c>
      <c r="L1365" s="9">
        <f>IFERROR(LOOKUP(2,1/('Weekly Tracker'!$E$2:$E$766=$A1365)/('Weekly Tracker'!$O$2:$O$766&lt;&gt;""),'Weekly Tracker'!$O$2:$O$766),"")</f>
        <v/>
      </c>
    </row>
    <row r="1366">
      <c r="A1366" s="9" t="inlineStr">
        <is>
          <t>Surya ahrya</t>
        </is>
      </c>
      <c r="B1366" s="9" t="inlineStr">
        <is>
          <t>+91 86789 47937</t>
        </is>
      </c>
      <c r="C1366" s="9" t="n"/>
      <c r="D1366" s="9" t="n"/>
      <c r="E1366" s="9" t="n"/>
      <c r="F1366" s="9">
        <f>IFERROR(LOOKUP(2,1/('Weekly Tracker'!$E$2:$E$766=$A1366)/('Weekly Tracker'!$F$2:$F$766&lt;&gt;""),'Weekly Tracker'!$F$2:$F$766),"")</f>
        <v/>
      </c>
      <c r="G1366" s="16">
        <f>IF(F1366&lt;&gt;"",LOOKUP(2,1/('Weekly Tracker'!$E$2:$E$766=$A1366)/('Weekly Tracker'!$F$2:$F$766&lt;&gt;""),'Weekly Tracker'!$G$2:$G$766),"")</f>
        <v/>
      </c>
      <c r="H1366" s="9">
        <f>IFERROR(LOOKUP(2,1/('Weekly Tracker'!$E$2:$E$766=$A1366)/('Weekly Tracker'!$H$2:$H$766&lt;&gt;""),'Weekly Tracker'!$H$2:$H$766),"")</f>
        <v/>
      </c>
      <c r="I1366" s="16">
        <f>IF(H1366&lt;&gt;"",LOOKUP(2,1/('Weekly Tracker'!$E$2:$E$766=$A1366)/('Weekly Tracker'!$H$2:$H$766&lt;&gt;""),'Weekly Tracker'!$I$2:$I$766),"")</f>
        <v/>
      </c>
      <c r="J1366" s="9">
        <f>IFERROR(LOOKUP(2,1/('Weekly Tracker'!$E$2:$E$766=$A1366)/('Weekly Tracker'!$J$2:$J$766&lt;&gt;""),'Weekly Tracker'!$J$2:$J$766),"")</f>
        <v/>
      </c>
      <c r="K1366" s="9">
        <f>IFERROR(LOOKUP(2,1/('Weekly Tracker'!$E$2:$E$766=$A1366)/('Weekly Tracker'!$N$2:$N$766&lt;&gt;""),'Weekly Tracker'!$N$2:$N$766),"")</f>
        <v/>
      </c>
      <c r="L1366" s="9">
        <f>IFERROR(LOOKUP(2,1/('Weekly Tracker'!$E$2:$E$766=$A1366)/('Weekly Tracker'!$O$2:$O$766&lt;&gt;""),'Weekly Tracker'!$O$2:$O$766),"")</f>
        <v/>
      </c>
    </row>
    <row r="1367">
      <c r="A1367" s="9" t="inlineStr">
        <is>
          <t>Goutham Infy</t>
        </is>
      </c>
      <c r="B1367" s="9" t="inlineStr">
        <is>
          <t>919677086345</t>
        </is>
      </c>
      <c r="C1367" s="9" t="n"/>
      <c r="D1367" s="9" t="n"/>
      <c r="E1367" s="9" t="n"/>
      <c r="F1367" s="9">
        <f>IFERROR(LOOKUP(2,1/('Weekly Tracker'!$E$2:$E$766=$A1367)/('Weekly Tracker'!$F$2:$F$766&lt;&gt;""),'Weekly Tracker'!$F$2:$F$766),"")</f>
        <v/>
      </c>
      <c r="G1367" s="16">
        <f>IF(F1367&lt;&gt;"",LOOKUP(2,1/('Weekly Tracker'!$E$2:$E$766=$A1367)/('Weekly Tracker'!$F$2:$F$766&lt;&gt;""),'Weekly Tracker'!$G$2:$G$766),"")</f>
        <v/>
      </c>
      <c r="H1367" s="9">
        <f>IFERROR(LOOKUP(2,1/('Weekly Tracker'!$E$2:$E$766=$A1367)/('Weekly Tracker'!$H$2:$H$766&lt;&gt;""),'Weekly Tracker'!$H$2:$H$766),"")</f>
        <v/>
      </c>
      <c r="I1367" s="16">
        <f>IF(H1367&lt;&gt;"",LOOKUP(2,1/('Weekly Tracker'!$E$2:$E$766=$A1367)/('Weekly Tracker'!$H$2:$H$766&lt;&gt;""),'Weekly Tracker'!$I$2:$I$766),"")</f>
        <v/>
      </c>
      <c r="J1367" s="9">
        <f>IFERROR(LOOKUP(2,1/('Weekly Tracker'!$E$2:$E$766=$A1367)/('Weekly Tracker'!$J$2:$J$766&lt;&gt;""),'Weekly Tracker'!$J$2:$J$766),"")</f>
        <v/>
      </c>
      <c r="K1367" s="9">
        <f>IFERROR(LOOKUP(2,1/('Weekly Tracker'!$E$2:$E$766=$A1367)/('Weekly Tracker'!$N$2:$N$766&lt;&gt;""),'Weekly Tracker'!$N$2:$N$766),"")</f>
        <v/>
      </c>
      <c r="L1367" s="9">
        <f>IFERROR(LOOKUP(2,1/('Weekly Tracker'!$E$2:$E$766=$A1367)/('Weekly Tracker'!$O$2:$O$766&lt;&gt;""),'Weekly Tracker'!$O$2:$O$766),"")</f>
        <v/>
      </c>
    </row>
    <row r="1368">
      <c r="A1368" s="9" t="inlineStr">
        <is>
          <t>Sudha Junior Grp</t>
        </is>
      </c>
      <c r="B1368" s="9" t="inlineStr">
        <is>
          <t>917598447491</t>
        </is>
      </c>
      <c r="C1368" s="9" t="n"/>
      <c r="D1368" s="9" t="n"/>
      <c r="E1368" s="9" t="n"/>
      <c r="F1368" s="9">
        <f>IFERROR(LOOKUP(2,1/('Weekly Tracker'!$E$2:$E$766=$A1368)/('Weekly Tracker'!$F$2:$F$766&lt;&gt;""),'Weekly Tracker'!$F$2:$F$766),"")</f>
        <v/>
      </c>
      <c r="G1368" s="16">
        <f>IF(F1368&lt;&gt;"",LOOKUP(2,1/('Weekly Tracker'!$E$2:$E$766=$A1368)/('Weekly Tracker'!$F$2:$F$766&lt;&gt;""),'Weekly Tracker'!$G$2:$G$766),"")</f>
        <v/>
      </c>
      <c r="H1368" s="9">
        <f>IFERROR(LOOKUP(2,1/('Weekly Tracker'!$E$2:$E$766=$A1368)/('Weekly Tracker'!$H$2:$H$766&lt;&gt;""),'Weekly Tracker'!$H$2:$H$766),"")</f>
        <v/>
      </c>
      <c r="I1368" s="16">
        <f>IF(H1368&lt;&gt;"",LOOKUP(2,1/('Weekly Tracker'!$E$2:$E$766=$A1368)/('Weekly Tracker'!$H$2:$H$766&lt;&gt;""),'Weekly Tracker'!$I$2:$I$766),"")</f>
        <v/>
      </c>
      <c r="J1368" s="9">
        <f>IFERROR(LOOKUP(2,1/('Weekly Tracker'!$E$2:$E$766=$A1368)/('Weekly Tracker'!$J$2:$J$766&lt;&gt;""),'Weekly Tracker'!$J$2:$J$766),"")</f>
        <v/>
      </c>
      <c r="K1368" s="9">
        <f>IFERROR(LOOKUP(2,1/('Weekly Tracker'!$E$2:$E$766=$A1368)/('Weekly Tracker'!$N$2:$N$766&lt;&gt;""),'Weekly Tracker'!$N$2:$N$766),"")</f>
        <v/>
      </c>
      <c r="L1368" s="9">
        <f>IFERROR(LOOKUP(2,1/('Weekly Tracker'!$E$2:$E$766=$A1368)/('Weekly Tracker'!$O$2:$O$766&lt;&gt;""),'Weekly Tracker'!$O$2:$O$766),"")</f>
        <v/>
      </c>
    </row>
    <row r="1369">
      <c r="A1369" s="9" t="inlineStr">
        <is>
          <t>Hasan Ibrahim Scl</t>
        </is>
      </c>
      <c r="B1369" s="9" t="inlineStr">
        <is>
          <t>9600721850</t>
        </is>
      </c>
      <c r="C1369" s="9" t="n"/>
      <c r="D1369" s="9" t="n"/>
      <c r="E1369" s="9" t="n"/>
      <c r="F1369" s="9">
        <f>IFERROR(LOOKUP(2,1/('Weekly Tracker'!$E$2:$E$766=$A1369)/('Weekly Tracker'!$F$2:$F$766&lt;&gt;""),'Weekly Tracker'!$F$2:$F$766),"")</f>
        <v/>
      </c>
      <c r="G1369" s="16">
        <f>IF(F1369&lt;&gt;"",LOOKUP(2,1/('Weekly Tracker'!$E$2:$E$766=$A1369)/('Weekly Tracker'!$F$2:$F$766&lt;&gt;""),'Weekly Tracker'!$G$2:$G$766),"")</f>
        <v/>
      </c>
      <c r="H1369" s="9">
        <f>IFERROR(LOOKUP(2,1/('Weekly Tracker'!$E$2:$E$766=$A1369)/('Weekly Tracker'!$H$2:$H$766&lt;&gt;""),'Weekly Tracker'!$H$2:$H$766),"")</f>
        <v/>
      </c>
      <c r="I1369" s="16">
        <f>IF(H1369&lt;&gt;"",LOOKUP(2,1/('Weekly Tracker'!$E$2:$E$766=$A1369)/('Weekly Tracker'!$H$2:$H$766&lt;&gt;""),'Weekly Tracker'!$I$2:$I$766),"")</f>
        <v/>
      </c>
      <c r="J1369" s="9">
        <f>IFERROR(LOOKUP(2,1/('Weekly Tracker'!$E$2:$E$766=$A1369)/('Weekly Tracker'!$J$2:$J$766&lt;&gt;""),'Weekly Tracker'!$J$2:$J$766),"")</f>
        <v/>
      </c>
      <c r="K1369" s="9">
        <f>IFERROR(LOOKUP(2,1/('Weekly Tracker'!$E$2:$E$766=$A1369)/('Weekly Tracker'!$N$2:$N$766&lt;&gt;""),'Weekly Tracker'!$N$2:$N$766),"")</f>
        <v/>
      </c>
      <c r="L1369" s="9">
        <f>IFERROR(LOOKUP(2,1/('Weekly Tracker'!$E$2:$E$766=$A1369)/('Weekly Tracker'!$O$2:$O$766&lt;&gt;""),'Weekly Tracker'!$O$2:$O$766),"")</f>
        <v/>
      </c>
    </row>
    <row r="1370">
      <c r="A1370" s="9" t="inlineStr">
        <is>
          <t>Vignesh Pandiyan FB</t>
        </is>
      </c>
      <c r="B1370" s="9" t="inlineStr">
        <is>
          <t>8098444700</t>
        </is>
      </c>
      <c r="C1370" s="9" t="n"/>
      <c r="D1370" s="9" t="n"/>
      <c r="E1370" s="9" t="n"/>
      <c r="F1370" s="9">
        <f>IFERROR(LOOKUP(2,1/('Weekly Tracker'!$E$2:$E$766=$A1370)/('Weekly Tracker'!$F$2:$F$766&lt;&gt;""),'Weekly Tracker'!$F$2:$F$766),"")</f>
        <v/>
      </c>
      <c r="G1370" s="16">
        <f>IF(F1370&lt;&gt;"",LOOKUP(2,1/('Weekly Tracker'!$E$2:$E$766=$A1370)/('Weekly Tracker'!$F$2:$F$766&lt;&gt;""),'Weekly Tracker'!$G$2:$G$766),"")</f>
        <v/>
      </c>
      <c r="H1370" s="9">
        <f>IFERROR(LOOKUP(2,1/('Weekly Tracker'!$E$2:$E$766=$A1370)/('Weekly Tracker'!$H$2:$H$766&lt;&gt;""),'Weekly Tracker'!$H$2:$H$766),"")</f>
        <v/>
      </c>
      <c r="I1370" s="16">
        <f>IF(H1370&lt;&gt;"",LOOKUP(2,1/('Weekly Tracker'!$E$2:$E$766=$A1370)/('Weekly Tracker'!$H$2:$H$766&lt;&gt;""),'Weekly Tracker'!$I$2:$I$766),"")</f>
        <v/>
      </c>
      <c r="J1370" s="9">
        <f>IFERROR(LOOKUP(2,1/('Weekly Tracker'!$E$2:$E$766=$A1370)/('Weekly Tracker'!$J$2:$J$766&lt;&gt;""),'Weekly Tracker'!$J$2:$J$766),"")</f>
        <v/>
      </c>
      <c r="K1370" s="9">
        <f>IFERROR(LOOKUP(2,1/('Weekly Tracker'!$E$2:$E$766=$A1370)/('Weekly Tracker'!$N$2:$N$766&lt;&gt;""),'Weekly Tracker'!$N$2:$N$766),"")</f>
        <v/>
      </c>
      <c r="L1370" s="9">
        <f>IFERROR(LOOKUP(2,1/('Weekly Tracker'!$E$2:$E$766=$A1370)/('Weekly Tracker'!$O$2:$O$766&lt;&gt;""),'Weekly Tracker'!$O$2:$O$766),"")</f>
        <v/>
      </c>
    </row>
    <row r="1371">
      <c r="A1371" s="9" t="inlineStr">
        <is>
          <t>Anand Muthusamy HCL</t>
        </is>
      </c>
      <c r="B1371" s="9" t="inlineStr">
        <is>
          <t>919940143368</t>
        </is>
      </c>
      <c r="C1371" s="9" t="n"/>
      <c r="D1371" s="9" t="n"/>
      <c r="E1371" s="9" t="n"/>
      <c r="F1371" s="9">
        <f>IFERROR(LOOKUP(2,1/('Weekly Tracker'!$E$2:$E$766=$A1371)/('Weekly Tracker'!$F$2:$F$766&lt;&gt;""),'Weekly Tracker'!$F$2:$F$766),"")</f>
        <v/>
      </c>
      <c r="G1371" s="16">
        <f>IF(F1371&lt;&gt;"",LOOKUP(2,1/('Weekly Tracker'!$E$2:$E$766=$A1371)/('Weekly Tracker'!$F$2:$F$766&lt;&gt;""),'Weekly Tracker'!$G$2:$G$766),"")</f>
        <v/>
      </c>
      <c r="H1371" s="9">
        <f>IFERROR(LOOKUP(2,1/('Weekly Tracker'!$E$2:$E$766=$A1371)/('Weekly Tracker'!$H$2:$H$766&lt;&gt;""),'Weekly Tracker'!$H$2:$H$766),"")</f>
        <v/>
      </c>
      <c r="I1371" s="16">
        <f>IF(H1371&lt;&gt;"",LOOKUP(2,1/('Weekly Tracker'!$E$2:$E$766=$A1371)/('Weekly Tracker'!$H$2:$H$766&lt;&gt;""),'Weekly Tracker'!$I$2:$I$766),"")</f>
        <v/>
      </c>
      <c r="J1371" s="9">
        <f>IFERROR(LOOKUP(2,1/('Weekly Tracker'!$E$2:$E$766=$A1371)/('Weekly Tracker'!$J$2:$J$766&lt;&gt;""),'Weekly Tracker'!$J$2:$J$766),"")</f>
        <v/>
      </c>
      <c r="K1371" s="9">
        <f>IFERROR(LOOKUP(2,1/('Weekly Tracker'!$E$2:$E$766=$A1371)/('Weekly Tracker'!$N$2:$N$766&lt;&gt;""),'Weekly Tracker'!$N$2:$N$766),"")</f>
        <v/>
      </c>
      <c r="L1371" s="9">
        <f>IFERROR(LOOKUP(2,1/('Weekly Tracker'!$E$2:$E$766=$A1371)/('Weekly Tracker'!$O$2:$O$766&lt;&gt;""),'Weekly Tracker'!$O$2:$O$766),"")</f>
        <v/>
      </c>
    </row>
    <row r="1372">
      <c r="A1372" s="9" t="inlineStr">
        <is>
          <t>Mugilan FB</t>
        </is>
      </c>
      <c r="B1372" s="9" t="inlineStr">
        <is>
          <t>6586708212</t>
        </is>
      </c>
      <c r="C1372" s="9" t="n"/>
      <c r="D1372" s="9" t="n"/>
      <c r="E1372" s="9" t="n"/>
      <c r="F1372" s="9">
        <f>IFERROR(LOOKUP(2,1/('Weekly Tracker'!$E$2:$E$766=$A1372)/('Weekly Tracker'!$F$2:$F$766&lt;&gt;""),'Weekly Tracker'!$F$2:$F$766),"")</f>
        <v/>
      </c>
      <c r="G1372" s="16">
        <f>IF(F1372&lt;&gt;"",LOOKUP(2,1/('Weekly Tracker'!$E$2:$E$766=$A1372)/('Weekly Tracker'!$F$2:$F$766&lt;&gt;""),'Weekly Tracker'!$G$2:$G$766),"")</f>
        <v/>
      </c>
      <c r="H1372" s="9">
        <f>IFERROR(LOOKUP(2,1/('Weekly Tracker'!$E$2:$E$766=$A1372)/('Weekly Tracker'!$H$2:$H$766&lt;&gt;""),'Weekly Tracker'!$H$2:$H$766),"")</f>
        <v/>
      </c>
      <c r="I1372" s="16">
        <f>IF(H1372&lt;&gt;"",LOOKUP(2,1/('Weekly Tracker'!$E$2:$E$766=$A1372)/('Weekly Tracker'!$H$2:$H$766&lt;&gt;""),'Weekly Tracker'!$I$2:$I$766),"")</f>
        <v/>
      </c>
      <c r="J1372" s="9">
        <f>IFERROR(LOOKUP(2,1/('Weekly Tracker'!$E$2:$E$766=$A1372)/('Weekly Tracker'!$J$2:$J$766&lt;&gt;""),'Weekly Tracker'!$J$2:$J$766),"")</f>
        <v/>
      </c>
      <c r="K1372" s="9">
        <f>IFERROR(LOOKUP(2,1/('Weekly Tracker'!$E$2:$E$766=$A1372)/('Weekly Tracker'!$N$2:$N$766&lt;&gt;""),'Weekly Tracker'!$N$2:$N$766),"")</f>
        <v/>
      </c>
      <c r="L1372" s="9">
        <f>IFERROR(LOOKUP(2,1/('Weekly Tracker'!$E$2:$E$766=$A1372)/('Weekly Tracker'!$O$2:$O$766&lt;&gt;""),'Weekly Tracker'!$O$2:$O$766),"")</f>
        <v/>
      </c>
    </row>
    <row r="1373">
      <c r="A1373" s="9" t="inlineStr">
        <is>
          <t>Mari Ganesh FB</t>
        </is>
      </c>
      <c r="B1373" s="9" t="inlineStr">
        <is>
          <t>7200124975</t>
        </is>
      </c>
      <c r="C1373" s="9" t="n"/>
      <c r="D1373" s="9" t="n"/>
      <c r="E1373" s="9" t="n"/>
      <c r="F1373" s="9">
        <f>IFERROR(LOOKUP(2,1/('Weekly Tracker'!$E$2:$E$766=$A1373)/('Weekly Tracker'!$F$2:$F$766&lt;&gt;""),'Weekly Tracker'!$F$2:$F$766),"")</f>
        <v/>
      </c>
      <c r="G1373" s="16">
        <f>IF(F1373&lt;&gt;"",LOOKUP(2,1/('Weekly Tracker'!$E$2:$E$766=$A1373)/('Weekly Tracker'!$F$2:$F$766&lt;&gt;""),'Weekly Tracker'!$G$2:$G$766),"")</f>
        <v/>
      </c>
      <c r="H1373" s="9">
        <f>IFERROR(LOOKUP(2,1/('Weekly Tracker'!$E$2:$E$766=$A1373)/('Weekly Tracker'!$H$2:$H$766&lt;&gt;""),'Weekly Tracker'!$H$2:$H$766),"")</f>
        <v/>
      </c>
      <c r="I1373" s="16">
        <f>IF(H1373&lt;&gt;"",LOOKUP(2,1/('Weekly Tracker'!$E$2:$E$766=$A1373)/('Weekly Tracker'!$H$2:$H$766&lt;&gt;""),'Weekly Tracker'!$I$2:$I$766),"")</f>
        <v/>
      </c>
      <c r="J1373" s="9">
        <f>IFERROR(LOOKUP(2,1/('Weekly Tracker'!$E$2:$E$766=$A1373)/('Weekly Tracker'!$J$2:$J$766&lt;&gt;""),'Weekly Tracker'!$J$2:$J$766),"")</f>
        <v/>
      </c>
      <c r="K1373" s="9">
        <f>IFERROR(LOOKUP(2,1/('Weekly Tracker'!$E$2:$E$766=$A1373)/('Weekly Tracker'!$N$2:$N$766&lt;&gt;""),'Weekly Tracker'!$N$2:$N$766),"")</f>
        <v/>
      </c>
      <c r="L1373" s="9">
        <f>IFERROR(LOOKUP(2,1/('Weekly Tracker'!$E$2:$E$766=$A1373)/('Weekly Tracker'!$O$2:$O$766&lt;&gt;""),'Weekly Tracker'!$O$2:$O$766),"")</f>
        <v/>
      </c>
    </row>
    <row r="1374">
      <c r="A1374" s="9" t="inlineStr">
        <is>
          <t>Golla Mallikarjuna Infy</t>
        </is>
      </c>
      <c r="B1374" s="9" t="inlineStr">
        <is>
          <t>6303965529</t>
        </is>
      </c>
      <c r="C1374" s="9" t="n"/>
      <c r="D1374" s="9" t="n"/>
      <c r="E1374" s="9" t="n"/>
      <c r="F1374" s="9">
        <f>IFERROR(LOOKUP(2,1/('Weekly Tracker'!$E$2:$E$766=$A1374)/('Weekly Tracker'!$F$2:$F$766&lt;&gt;""),'Weekly Tracker'!$F$2:$F$766),"")</f>
        <v/>
      </c>
      <c r="G1374" s="16">
        <f>IF(F1374&lt;&gt;"",LOOKUP(2,1/('Weekly Tracker'!$E$2:$E$766=$A1374)/('Weekly Tracker'!$F$2:$F$766&lt;&gt;""),'Weekly Tracker'!$G$2:$G$766),"")</f>
        <v/>
      </c>
      <c r="H1374" s="9">
        <f>IFERROR(LOOKUP(2,1/('Weekly Tracker'!$E$2:$E$766=$A1374)/('Weekly Tracker'!$H$2:$H$766&lt;&gt;""),'Weekly Tracker'!$H$2:$H$766),"")</f>
        <v/>
      </c>
      <c r="I1374" s="16">
        <f>IF(H1374&lt;&gt;"",LOOKUP(2,1/('Weekly Tracker'!$E$2:$E$766=$A1374)/('Weekly Tracker'!$H$2:$H$766&lt;&gt;""),'Weekly Tracker'!$I$2:$I$766),"")</f>
        <v/>
      </c>
      <c r="J1374" s="9">
        <f>IFERROR(LOOKUP(2,1/('Weekly Tracker'!$E$2:$E$766=$A1374)/('Weekly Tracker'!$J$2:$J$766&lt;&gt;""),'Weekly Tracker'!$J$2:$J$766),"")</f>
        <v/>
      </c>
      <c r="K1374" s="9">
        <f>IFERROR(LOOKUP(2,1/('Weekly Tracker'!$E$2:$E$766=$A1374)/('Weekly Tracker'!$N$2:$N$766&lt;&gt;""),'Weekly Tracker'!$N$2:$N$766),"")</f>
        <v/>
      </c>
      <c r="L1374" s="9">
        <f>IFERROR(LOOKUP(2,1/('Weekly Tracker'!$E$2:$E$766=$A1374)/('Weekly Tracker'!$O$2:$O$766&lt;&gt;""),'Weekly Tracker'!$O$2:$O$766),"")</f>
        <v/>
      </c>
    </row>
    <row r="1375">
      <c r="A1375" s="9" t="inlineStr">
        <is>
          <t>Raja Kathir FB</t>
        </is>
      </c>
      <c r="B1375" s="9" t="inlineStr">
        <is>
          <t>918610676281, 918098072762</t>
        </is>
      </c>
      <c r="C1375" s="9" t="n"/>
      <c r="D1375" s="9" t="n"/>
      <c r="E1375" s="9" t="n"/>
      <c r="F1375" s="9">
        <f>IFERROR(LOOKUP(2,1/('Weekly Tracker'!$E$2:$E$766=$A1375)/('Weekly Tracker'!$F$2:$F$766&lt;&gt;""),'Weekly Tracker'!$F$2:$F$766),"")</f>
        <v/>
      </c>
      <c r="G1375" s="16">
        <f>IF(F1375&lt;&gt;"",LOOKUP(2,1/('Weekly Tracker'!$E$2:$E$766=$A1375)/('Weekly Tracker'!$F$2:$F$766&lt;&gt;""),'Weekly Tracker'!$G$2:$G$766),"")</f>
        <v/>
      </c>
      <c r="H1375" s="9">
        <f>IFERROR(LOOKUP(2,1/('Weekly Tracker'!$E$2:$E$766=$A1375)/('Weekly Tracker'!$H$2:$H$766&lt;&gt;""),'Weekly Tracker'!$H$2:$H$766),"")</f>
        <v/>
      </c>
      <c r="I1375" s="16">
        <f>IF(H1375&lt;&gt;"",LOOKUP(2,1/('Weekly Tracker'!$E$2:$E$766=$A1375)/('Weekly Tracker'!$H$2:$H$766&lt;&gt;""),'Weekly Tracker'!$I$2:$I$766),"")</f>
        <v/>
      </c>
      <c r="J1375" s="9">
        <f>IFERROR(LOOKUP(2,1/('Weekly Tracker'!$E$2:$E$766=$A1375)/('Weekly Tracker'!$J$2:$J$766&lt;&gt;""),'Weekly Tracker'!$J$2:$J$766),"")</f>
        <v/>
      </c>
      <c r="K1375" s="9">
        <f>IFERROR(LOOKUP(2,1/('Weekly Tracker'!$E$2:$E$766=$A1375)/('Weekly Tracker'!$N$2:$N$766&lt;&gt;""),'Weekly Tracker'!$N$2:$N$766),"")</f>
        <v/>
      </c>
      <c r="L1375" s="9">
        <f>IFERROR(LOOKUP(2,1/('Weekly Tracker'!$E$2:$E$766=$A1375)/('Weekly Tracker'!$O$2:$O$766&lt;&gt;""),'Weekly Tracker'!$O$2:$O$766),"")</f>
        <v/>
      </c>
    </row>
    <row r="1376">
      <c r="A1376" s="9" t="inlineStr">
        <is>
          <t>Kumaresan Urja</t>
        </is>
      </c>
      <c r="B1376" s="9" t="inlineStr">
        <is>
          <t>919788702978</t>
        </is>
      </c>
      <c r="C1376" s="9" t="n"/>
      <c r="D1376" s="9" t="n"/>
      <c r="E1376" s="9" t="n"/>
      <c r="F1376" s="9">
        <f>IFERROR(LOOKUP(2,1/('Weekly Tracker'!$E$2:$E$766=$A1376)/('Weekly Tracker'!$F$2:$F$766&lt;&gt;""),'Weekly Tracker'!$F$2:$F$766),"")</f>
        <v/>
      </c>
      <c r="G1376" s="16">
        <f>IF(F1376&lt;&gt;"",LOOKUP(2,1/('Weekly Tracker'!$E$2:$E$766=$A1376)/('Weekly Tracker'!$F$2:$F$766&lt;&gt;""),'Weekly Tracker'!$G$2:$G$766),"")</f>
        <v/>
      </c>
      <c r="H1376" s="9">
        <f>IFERROR(LOOKUP(2,1/('Weekly Tracker'!$E$2:$E$766=$A1376)/('Weekly Tracker'!$H$2:$H$766&lt;&gt;""),'Weekly Tracker'!$H$2:$H$766),"")</f>
        <v/>
      </c>
      <c r="I1376" s="16">
        <f>IF(H1376&lt;&gt;"",LOOKUP(2,1/('Weekly Tracker'!$E$2:$E$766=$A1376)/('Weekly Tracker'!$H$2:$H$766&lt;&gt;""),'Weekly Tracker'!$I$2:$I$766),"")</f>
        <v/>
      </c>
      <c r="J1376" s="9">
        <f>IFERROR(LOOKUP(2,1/('Weekly Tracker'!$E$2:$E$766=$A1376)/('Weekly Tracker'!$J$2:$J$766&lt;&gt;""),'Weekly Tracker'!$J$2:$J$766),"")</f>
        <v/>
      </c>
      <c r="K1376" s="9">
        <f>IFERROR(LOOKUP(2,1/('Weekly Tracker'!$E$2:$E$766=$A1376)/('Weekly Tracker'!$N$2:$N$766&lt;&gt;""),'Weekly Tracker'!$N$2:$N$766),"")</f>
        <v/>
      </c>
      <c r="L1376" s="9">
        <f>IFERROR(LOOKUP(2,1/('Weekly Tracker'!$E$2:$E$766=$A1376)/('Weekly Tracker'!$O$2:$O$766&lt;&gt;""),'Weekly Tracker'!$O$2:$O$766),"")</f>
        <v/>
      </c>
    </row>
    <row r="1377">
      <c r="A1377" s="9" t="inlineStr">
        <is>
          <t>Mani Subramaniyan FB</t>
        </is>
      </c>
      <c r="B1377" s="9" t="inlineStr">
        <is>
          <t>8122221205</t>
        </is>
      </c>
      <c r="C1377" s="9" t="n"/>
      <c r="D1377" s="9" t="n"/>
      <c r="E1377" s="9" t="n"/>
      <c r="F1377" s="9">
        <f>IFERROR(LOOKUP(2,1/('Weekly Tracker'!$E$2:$E$766=$A1377)/('Weekly Tracker'!$F$2:$F$766&lt;&gt;""),'Weekly Tracker'!$F$2:$F$766),"")</f>
        <v/>
      </c>
      <c r="G1377" s="16">
        <f>IF(F1377&lt;&gt;"",LOOKUP(2,1/('Weekly Tracker'!$E$2:$E$766=$A1377)/('Weekly Tracker'!$F$2:$F$766&lt;&gt;""),'Weekly Tracker'!$G$2:$G$766),"")</f>
        <v/>
      </c>
      <c r="H1377" s="9">
        <f>IFERROR(LOOKUP(2,1/('Weekly Tracker'!$E$2:$E$766=$A1377)/('Weekly Tracker'!$H$2:$H$766&lt;&gt;""),'Weekly Tracker'!$H$2:$H$766),"")</f>
        <v/>
      </c>
      <c r="I1377" s="16">
        <f>IF(H1377&lt;&gt;"",LOOKUP(2,1/('Weekly Tracker'!$E$2:$E$766=$A1377)/('Weekly Tracker'!$H$2:$H$766&lt;&gt;""),'Weekly Tracker'!$I$2:$I$766),"")</f>
        <v/>
      </c>
      <c r="J1377" s="9">
        <f>IFERROR(LOOKUP(2,1/('Weekly Tracker'!$E$2:$E$766=$A1377)/('Weekly Tracker'!$J$2:$J$766&lt;&gt;""),'Weekly Tracker'!$J$2:$J$766),"")</f>
        <v/>
      </c>
      <c r="K1377" s="9">
        <f>IFERROR(LOOKUP(2,1/('Weekly Tracker'!$E$2:$E$766=$A1377)/('Weekly Tracker'!$N$2:$N$766&lt;&gt;""),'Weekly Tracker'!$N$2:$N$766),"")</f>
        <v/>
      </c>
      <c r="L1377" s="9">
        <f>IFERROR(LOOKUP(2,1/('Weekly Tracker'!$E$2:$E$766=$A1377)/('Weekly Tracker'!$O$2:$O$766&lt;&gt;""),'Weekly Tracker'!$O$2:$O$766),"")</f>
        <v/>
      </c>
    </row>
    <row r="1378">
      <c r="A1378" s="9" t="inlineStr">
        <is>
          <t>SriChandana</t>
        </is>
      </c>
      <c r="B1378" s="9" t="inlineStr">
        <is>
          <t>918125178512</t>
        </is>
      </c>
      <c r="C1378" s="9" t="n"/>
      <c r="D1378" s="9" t="n"/>
      <c r="E1378" s="9" t="n"/>
      <c r="F1378" s="9">
        <f>IFERROR(LOOKUP(2,1/('Weekly Tracker'!$E$2:$E$766=$A1378)/('Weekly Tracker'!$F$2:$F$766&lt;&gt;""),'Weekly Tracker'!$F$2:$F$766),"")</f>
        <v/>
      </c>
      <c r="G1378" s="16">
        <f>IF(F1378&lt;&gt;"",LOOKUP(2,1/('Weekly Tracker'!$E$2:$E$766=$A1378)/('Weekly Tracker'!$F$2:$F$766&lt;&gt;""),'Weekly Tracker'!$G$2:$G$766),"")</f>
        <v/>
      </c>
      <c r="H1378" s="9">
        <f>IFERROR(LOOKUP(2,1/('Weekly Tracker'!$E$2:$E$766=$A1378)/('Weekly Tracker'!$H$2:$H$766&lt;&gt;""),'Weekly Tracker'!$H$2:$H$766),"")</f>
        <v/>
      </c>
      <c r="I1378" s="16">
        <f>IF(H1378&lt;&gt;"",LOOKUP(2,1/('Weekly Tracker'!$E$2:$E$766=$A1378)/('Weekly Tracker'!$H$2:$H$766&lt;&gt;""),'Weekly Tracker'!$I$2:$I$766),"")</f>
        <v/>
      </c>
      <c r="J1378" s="9">
        <f>IFERROR(LOOKUP(2,1/('Weekly Tracker'!$E$2:$E$766=$A1378)/('Weekly Tracker'!$J$2:$J$766&lt;&gt;""),'Weekly Tracker'!$J$2:$J$766),"")</f>
        <v/>
      </c>
      <c r="K1378" s="9">
        <f>IFERROR(LOOKUP(2,1/('Weekly Tracker'!$E$2:$E$766=$A1378)/('Weekly Tracker'!$N$2:$N$766&lt;&gt;""),'Weekly Tracker'!$N$2:$N$766),"")</f>
        <v/>
      </c>
      <c r="L1378" s="9">
        <f>IFERROR(LOOKUP(2,1/('Weekly Tracker'!$E$2:$E$766=$A1378)/('Weekly Tracker'!$O$2:$O$766&lt;&gt;""),'Weekly Tracker'!$O$2:$O$766),"")</f>
        <v/>
      </c>
    </row>
    <row r="1379">
      <c r="A1379" s="9" t="inlineStr">
        <is>
          <t>Jillu Suman FB</t>
        </is>
      </c>
      <c r="B1379" s="9" t="inlineStr">
        <is>
          <t>917845200283</t>
        </is>
      </c>
      <c r="C1379" s="9" t="n"/>
      <c r="D1379" s="9" t="n"/>
      <c r="E1379" s="9" t="n"/>
      <c r="F1379" s="9">
        <f>IFERROR(LOOKUP(2,1/('Weekly Tracker'!$E$2:$E$766=$A1379)/('Weekly Tracker'!$F$2:$F$766&lt;&gt;""),'Weekly Tracker'!$F$2:$F$766),"")</f>
        <v/>
      </c>
      <c r="G1379" s="16">
        <f>IF(F1379&lt;&gt;"",LOOKUP(2,1/('Weekly Tracker'!$E$2:$E$766=$A1379)/('Weekly Tracker'!$F$2:$F$766&lt;&gt;""),'Weekly Tracker'!$G$2:$G$766),"")</f>
        <v/>
      </c>
      <c r="H1379" s="9">
        <f>IFERROR(LOOKUP(2,1/('Weekly Tracker'!$E$2:$E$766=$A1379)/('Weekly Tracker'!$H$2:$H$766&lt;&gt;""),'Weekly Tracker'!$H$2:$H$766),"")</f>
        <v/>
      </c>
      <c r="I1379" s="16">
        <f>IF(H1379&lt;&gt;"",LOOKUP(2,1/('Weekly Tracker'!$E$2:$E$766=$A1379)/('Weekly Tracker'!$H$2:$H$766&lt;&gt;""),'Weekly Tracker'!$I$2:$I$766),"")</f>
        <v/>
      </c>
      <c r="J1379" s="9">
        <f>IFERROR(LOOKUP(2,1/('Weekly Tracker'!$E$2:$E$766=$A1379)/('Weekly Tracker'!$J$2:$J$766&lt;&gt;""),'Weekly Tracker'!$J$2:$J$766),"")</f>
        <v/>
      </c>
      <c r="K1379" s="9">
        <f>IFERROR(LOOKUP(2,1/('Weekly Tracker'!$E$2:$E$766=$A1379)/('Weekly Tracker'!$N$2:$N$766&lt;&gt;""),'Weekly Tracker'!$N$2:$N$766),"")</f>
        <v/>
      </c>
      <c r="L1379" s="9">
        <f>IFERROR(LOOKUP(2,1/('Weekly Tracker'!$E$2:$E$766=$A1379)/('Weekly Tracker'!$O$2:$O$766&lt;&gt;""),'Weekly Tracker'!$O$2:$O$766),"")</f>
        <v/>
      </c>
    </row>
    <row r="1380">
      <c r="A1380" s="9" t="inlineStr">
        <is>
          <t>Velmurugan Urja</t>
        </is>
      </c>
      <c r="B1380" s="9" t="inlineStr">
        <is>
          <t>918015836383</t>
        </is>
      </c>
      <c r="C1380" s="9" t="n"/>
      <c r="D1380" s="9" t="n"/>
      <c r="E1380" s="9" t="n"/>
      <c r="F1380" s="9">
        <f>IFERROR(LOOKUP(2,1/('Weekly Tracker'!$E$2:$E$766=$A1380)/('Weekly Tracker'!$F$2:$F$766&lt;&gt;""),'Weekly Tracker'!$F$2:$F$766),"")</f>
        <v/>
      </c>
      <c r="G1380" s="16">
        <f>IF(F1380&lt;&gt;"",LOOKUP(2,1/('Weekly Tracker'!$E$2:$E$766=$A1380)/('Weekly Tracker'!$F$2:$F$766&lt;&gt;""),'Weekly Tracker'!$G$2:$G$766),"")</f>
        <v/>
      </c>
      <c r="H1380" s="9">
        <f>IFERROR(LOOKUP(2,1/('Weekly Tracker'!$E$2:$E$766=$A1380)/('Weekly Tracker'!$H$2:$H$766&lt;&gt;""),'Weekly Tracker'!$H$2:$H$766),"")</f>
        <v/>
      </c>
      <c r="I1380" s="16">
        <f>IF(H1380&lt;&gt;"",LOOKUP(2,1/('Weekly Tracker'!$E$2:$E$766=$A1380)/('Weekly Tracker'!$H$2:$H$766&lt;&gt;""),'Weekly Tracker'!$I$2:$I$766),"")</f>
        <v/>
      </c>
      <c r="J1380" s="9">
        <f>IFERROR(LOOKUP(2,1/('Weekly Tracker'!$E$2:$E$766=$A1380)/('Weekly Tracker'!$J$2:$J$766&lt;&gt;""),'Weekly Tracker'!$J$2:$J$766),"")</f>
        <v/>
      </c>
      <c r="K1380" s="9">
        <f>IFERROR(LOOKUP(2,1/('Weekly Tracker'!$E$2:$E$766=$A1380)/('Weekly Tracker'!$N$2:$N$766&lt;&gt;""),'Weekly Tracker'!$N$2:$N$766),"")</f>
        <v/>
      </c>
      <c r="L1380" s="9">
        <f>IFERROR(LOOKUP(2,1/('Weekly Tracker'!$E$2:$E$766=$A1380)/('Weekly Tracker'!$O$2:$O$766&lt;&gt;""),'Weekly Tracker'!$O$2:$O$766),"")</f>
        <v/>
      </c>
    </row>
    <row r="1381">
      <c r="A1381" s="9" t="inlineStr">
        <is>
          <t>Theiva Anadha Balan FB</t>
        </is>
      </c>
      <c r="B1381" s="9" t="inlineStr">
        <is>
          <t>9361618173</t>
        </is>
      </c>
      <c r="C1381" s="9" t="n"/>
      <c r="D1381" s="9" t="n"/>
      <c r="E1381" s="9" t="n"/>
      <c r="F1381" s="9">
        <f>IFERROR(LOOKUP(2,1/('Weekly Tracker'!$E$2:$E$766=$A1381)/('Weekly Tracker'!$F$2:$F$766&lt;&gt;""),'Weekly Tracker'!$F$2:$F$766),"")</f>
        <v/>
      </c>
      <c r="G1381" s="16">
        <f>IF(F1381&lt;&gt;"",LOOKUP(2,1/('Weekly Tracker'!$E$2:$E$766=$A1381)/('Weekly Tracker'!$F$2:$F$766&lt;&gt;""),'Weekly Tracker'!$G$2:$G$766),"")</f>
        <v/>
      </c>
      <c r="H1381" s="9">
        <f>IFERROR(LOOKUP(2,1/('Weekly Tracker'!$E$2:$E$766=$A1381)/('Weekly Tracker'!$H$2:$H$766&lt;&gt;""),'Weekly Tracker'!$H$2:$H$766),"")</f>
        <v/>
      </c>
      <c r="I1381" s="16">
        <f>IF(H1381&lt;&gt;"",LOOKUP(2,1/('Weekly Tracker'!$E$2:$E$766=$A1381)/('Weekly Tracker'!$H$2:$H$766&lt;&gt;""),'Weekly Tracker'!$I$2:$I$766),"")</f>
        <v/>
      </c>
      <c r="J1381" s="9">
        <f>IFERROR(LOOKUP(2,1/('Weekly Tracker'!$E$2:$E$766=$A1381)/('Weekly Tracker'!$J$2:$J$766&lt;&gt;""),'Weekly Tracker'!$J$2:$J$766),"")</f>
        <v/>
      </c>
      <c r="K1381" s="9">
        <f>IFERROR(LOOKUP(2,1/('Weekly Tracker'!$E$2:$E$766=$A1381)/('Weekly Tracker'!$N$2:$N$766&lt;&gt;""),'Weekly Tracker'!$N$2:$N$766),"")</f>
        <v/>
      </c>
      <c r="L1381" s="9">
        <f>IFERROR(LOOKUP(2,1/('Weekly Tracker'!$E$2:$E$766=$A1381)/('Weekly Tracker'!$O$2:$O$766&lt;&gt;""),'Weekly Tracker'!$O$2:$O$766),"")</f>
        <v/>
      </c>
    </row>
    <row r="1382">
      <c r="A1382" s="9" t="inlineStr">
        <is>
          <t>Kalpana PL</t>
        </is>
      </c>
      <c r="B1382" s="9" t="inlineStr">
        <is>
          <t>919176273011</t>
        </is>
      </c>
      <c r="C1382" s="9" t="n"/>
      <c r="D1382" s="9" t="n"/>
      <c r="E1382" s="9" t="n"/>
      <c r="F1382" s="9">
        <f>IFERROR(LOOKUP(2,1/('Weekly Tracker'!$E$2:$E$766=$A1382)/('Weekly Tracker'!$F$2:$F$766&lt;&gt;""),'Weekly Tracker'!$F$2:$F$766),"")</f>
        <v/>
      </c>
      <c r="G1382" s="16">
        <f>IF(F1382&lt;&gt;"",LOOKUP(2,1/('Weekly Tracker'!$E$2:$E$766=$A1382)/('Weekly Tracker'!$F$2:$F$766&lt;&gt;""),'Weekly Tracker'!$G$2:$G$766),"")</f>
        <v/>
      </c>
      <c r="H1382" s="9">
        <f>IFERROR(LOOKUP(2,1/('Weekly Tracker'!$E$2:$E$766=$A1382)/('Weekly Tracker'!$H$2:$H$766&lt;&gt;""),'Weekly Tracker'!$H$2:$H$766),"")</f>
        <v/>
      </c>
      <c r="I1382" s="16">
        <f>IF(H1382&lt;&gt;"",LOOKUP(2,1/('Weekly Tracker'!$E$2:$E$766=$A1382)/('Weekly Tracker'!$H$2:$H$766&lt;&gt;""),'Weekly Tracker'!$I$2:$I$766),"")</f>
        <v/>
      </c>
      <c r="J1382" s="9">
        <f>IFERROR(LOOKUP(2,1/('Weekly Tracker'!$E$2:$E$766=$A1382)/('Weekly Tracker'!$J$2:$J$766&lt;&gt;""),'Weekly Tracker'!$J$2:$J$766),"")</f>
        <v/>
      </c>
      <c r="K1382" s="9">
        <f>IFERROR(LOOKUP(2,1/('Weekly Tracker'!$E$2:$E$766=$A1382)/('Weekly Tracker'!$N$2:$N$766&lt;&gt;""),'Weekly Tracker'!$N$2:$N$766),"")</f>
        <v/>
      </c>
      <c r="L1382" s="9">
        <f>IFERROR(LOOKUP(2,1/('Weekly Tracker'!$E$2:$E$766=$A1382)/('Weekly Tracker'!$O$2:$O$766&lt;&gt;""),'Weekly Tracker'!$O$2:$O$766),"")</f>
        <v/>
      </c>
    </row>
    <row r="1383">
      <c r="A1383" s="9" t="inlineStr">
        <is>
          <t>Mario Anto Joseph FB</t>
        </is>
      </c>
      <c r="B1383" s="9" t="inlineStr">
        <is>
          <t>918940901012</t>
        </is>
      </c>
      <c r="C1383" s="9" t="n"/>
      <c r="D1383" s="9" t="n"/>
      <c r="E1383" s="9" t="n"/>
      <c r="F1383" s="9">
        <f>IFERROR(LOOKUP(2,1/('Weekly Tracker'!$E$2:$E$766=$A1383)/('Weekly Tracker'!$F$2:$F$766&lt;&gt;""),'Weekly Tracker'!$F$2:$F$766),"")</f>
        <v/>
      </c>
      <c r="G1383" s="16">
        <f>IF(F1383&lt;&gt;"",LOOKUP(2,1/('Weekly Tracker'!$E$2:$E$766=$A1383)/('Weekly Tracker'!$F$2:$F$766&lt;&gt;""),'Weekly Tracker'!$G$2:$G$766),"")</f>
        <v/>
      </c>
      <c r="H1383" s="9">
        <f>IFERROR(LOOKUP(2,1/('Weekly Tracker'!$E$2:$E$766=$A1383)/('Weekly Tracker'!$H$2:$H$766&lt;&gt;""),'Weekly Tracker'!$H$2:$H$766),"")</f>
        <v/>
      </c>
      <c r="I1383" s="16">
        <f>IF(H1383&lt;&gt;"",LOOKUP(2,1/('Weekly Tracker'!$E$2:$E$766=$A1383)/('Weekly Tracker'!$H$2:$H$766&lt;&gt;""),'Weekly Tracker'!$I$2:$I$766),"")</f>
        <v/>
      </c>
      <c r="J1383" s="9">
        <f>IFERROR(LOOKUP(2,1/('Weekly Tracker'!$E$2:$E$766=$A1383)/('Weekly Tracker'!$J$2:$J$766&lt;&gt;""),'Weekly Tracker'!$J$2:$J$766),"")</f>
        <v/>
      </c>
      <c r="K1383" s="9">
        <f>IFERROR(LOOKUP(2,1/('Weekly Tracker'!$E$2:$E$766=$A1383)/('Weekly Tracker'!$N$2:$N$766&lt;&gt;""),'Weekly Tracker'!$N$2:$N$766),"")</f>
        <v/>
      </c>
      <c r="L1383" s="9">
        <f>IFERROR(LOOKUP(2,1/('Weekly Tracker'!$E$2:$E$766=$A1383)/('Weekly Tracker'!$O$2:$O$766&lt;&gt;""),'Weekly Tracker'!$O$2:$O$766),"")</f>
        <v/>
      </c>
    </row>
    <row r="1384">
      <c r="A1384" s="9" t="inlineStr">
        <is>
          <t>Guganesh FB</t>
        </is>
      </c>
      <c r="B1384" s="9" t="inlineStr">
        <is>
          <t>919597576335</t>
        </is>
      </c>
      <c r="C1384" s="9" t="n"/>
      <c r="D1384" s="9" t="n"/>
      <c r="E1384" s="9" t="n"/>
      <c r="F1384" s="9">
        <f>IFERROR(LOOKUP(2,1/('Weekly Tracker'!$E$2:$E$766=$A1384)/('Weekly Tracker'!$F$2:$F$766&lt;&gt;""),'Weekly Tracker'!$F$2:$F$766),"")</f>
        <v/>
      </c>
      <c r="G1384" s="16">
        <f>IF(F1384&lt;&gt;"",LOOKUP(2,1/('Weekly Tracker'!$E$2:$E$766=$A1384)/('Weekly Tracker'!$F$2:$F$766&lt;&gt;""),'Weekly Tracker'!$G$2:$G$766),"")</f>
        <v/>
      </c>
      <c r="H1384" s="9">
        <f>IFERROR(LOOKUP(2,1/('Weekly Tracker'!$E$2:$E$766=$A1384)/('Weekly Tracker'!$H$2:$H$766&lt;&gt;""),'Weekly Tracker'!$H$2:$H$766),"")</f>
        <v/>
      </c>
      <c r="I1384" s="16">
        <f>IF(H1384&lt;&gt;"",LOOKUP(2,1/('Weekly Tracker'!$E$2:$E$766=$A1384)/('Weekly Tracker'!$H$2:$H$766&lt;&gt;""),'Weekly Tracker'!$I$2:$I$766),"")</f>
        <v/>
      </c>
      <c r="J1384" s="9">
        <f>IFERROR(LOOKUP(2,1/('Weekly Tracker'!$E$2:$E$766=$A1384)/('Weekly Tracker'!$J$2:$J$766&lt;&gt;""),'Weekly Tracker'!$J$2:$J$766),"")</f>
        <v/>
      </c>
      <c r="K1384" s="9">
        <f>IFERROR(LOOKUP(2,1/('Weekly Tracker'!$E$2:$E$766=$A1384)/('Weekly Tracker'!$N$2:$N$766&lt;&gt;""),'Weekly Tracker'!$N$2:$N$766),"")</f>
        <v/>
      </c>
      <c r="L1384" s="9">
        <f>IFERROR(LOOKUP(2,1/('Weekly Tracker'!$E$2:$E$766=$A1384)/('Weekly Tracker'!$O$2:$O$766&lt;&gt;""),'Weekly Tracker'!$O$2:$O$766),"")</f>
        <v/>
      </c>
    </row>
    <row r="1385">
      <c r="A1385" s="9" t="inlineStr">
        <is>
          <t>Priyanka Urja</t>
        </is>
      </c>
      <c r="B1385" s="9" t="inlineStr">
        <is>
          <t>919176223887</t>
        </is>
      </c>
      <c r="C1385" s="9" t="n"/>
      <c r="D1385" s="9" t="n"/>
      <c r="E1385" s="9" t="n"/>
      <c r="F1385" s="9">
        <f>IFERROR(LOOKUP(2,1/('Weekly Tracker'!$E$2:$E$766=$A1385)/('Weekly Tracker'!$F$2:$F$766&lt;&gt;""),'Weekly Tracker'!$F$2:$F$766),"")</f>
        <v/>
      </c>
      <c r="G1385" s="16">
        <f>IF(F1385&lt;&gt;"",LOOKUP(2,1/('Weekly Tracker'!$E$2:$E$766=$A1385)/('Weekly Tracker'!$F$2:$F$766&lt;&gt;""),'Weekly Tracker'!$G$2:$G$766),"")</f>
        <v/>
      </c>
      <c r="H1385" s="9">
        <f>IFERROR(LOOKUP(2,1/('Weekly Tracker'!$E$2:$E$766=$A1385)/('Weekly Tracker'!$H$2:$H$766&lt;&gt;""),'Weekly Tracker'!$H$2:$H$766),"")</f>
        <v/>
      </c>
      <c r="I1385" s="16">
        <f>IF(H1385&lt;&gt;"",LOOKUP(2,1/('Weekly Tracker'!$E$2:$E$766=$A1385)/('Weekly Tracker'!$H$2:$H$766&lt;&gt;""),'Weekly Tracker'!$I$2:$I$766),"")</f>
        <v/>
      </c>
      <c r="J1385" s="9">
        <f>IFERROR(LOOKUP(2,1/('Weekly Tracker'!$E$2:$E$766=$A1385)/('Weekly Tracker'!$J$2:$J$766&lt;&gt;""),'Weekly Tracker'!$J$2:$J$766),"")</f>
        <v/>
      </c>
      <c r="K1385" s="9">
        <f>IFERROR(LOOKUP(2,1/('Weekly Tracker'!$E$2:$E$766=$A1385)/('Weekly Tracker'!$N$2:$N$766&lt;&gt;""),'Weekly Tracker'!$N$2:$N$766),"")</f>
        <v/>
      </c>
      <c r="L1385" s="9">
        <f>IFERROR(LOOKUP(2,1/('Weekly Tracker'!$E$2:$E$766=$A1385)/('Weekly Tracker'!$O$2:$O$766&lt;&gt;""),'Weekly Tracker'!$O$2:$O$766),"")</f>
        <v/>
      </c>
    </row>
    <row r="1386">
      <c r="A1386" s="9" t="inlineStr">
        <is>
          <t>Selva Scl</t>
        </is>
      </c>
      <c r="B1386" s="9" t="inlineStr">
        <is>
          <t>918760562712</t>
        </is>
      </c>
      <c r="C1386" s="9" t="n"/>
      <c r="D1386" s="9" t="n"/>
      <c r="E1386" s="9" t="n"/>
      <c r="F1386" s="9">
        <f>IFERROR(LOOKUP(2,1/('Weekly Tracker'!$E$2:$E$766=$A1386)/('Weekly Tracker'!$F$2:$F$766&lt;&gt;""),'Weekly Tracker'!$F$2:$F$766),"")</f>
        <v/>
      </c>
      <c r="G1386" s="16">
        <f>IF(F1386&lt;&gt;"",LOOKUP(2,1/('Weekly Tracker'!$E$2:$E$766=$A1386)/('Weekly Tracker'!$F$2:$F$766&lt;&gt;""),'Weekly Tracker'!$G$2:$G$766),"")</f>
        <v/>
      </c>
      <c r="H1386" s="9">
        <f>IFERROR(LOOKUP(2,1/('Weekly Tracker'!$E$2:$E$766=$A1386)/('Weekly Tracker'!$H$2:$H$766&lt;&gt;""),'Weekly Tracker'!$H$2:$H$766),"")</f>
        <v/>
      </c>
      <c r="I1386" s="16">
        <f>IF(H1386&lt;&gt;"",LOOKUP(2,1/('Weekly Tracker'!$E$2:$E$766=$A1386)/('Weekly Tracker'!$H$2:$H$766&lt;&gt;""),'Weekly Tracker'!$I$2:$I$766),"")</f>
        <v/>
      </c>
      <c r="J1386" s="9">
        <f>IFERROR(LOOKUP(2,1/('Weekly Tracker'!$E$2:$E$766=$A1386)/('Weekly Tracker'!$J$2:$J$766&lt;&gt;""),'Weekly Tracker'!$J$2:$J$766),"")</f>
        <v/>
      </c>
      <c r="K1386" s="9">
        <f>IFERROR(LOOKUP(2,1/('Weekly Tracker'!$E$2:$E$766=$A1386)/('Weekly Tracker'!$N$2:$N$766&lt;&gt;""),'Weekly Tracker'!$N$2:$N$766),"")</f>
        <v/>
      </c>
      <c r="L1386" s="9">
        <f>IFERROR(LOOKUP(2,1/('Weekly Tracker'!$E$2:$E$766=$A1386)/('Weekly Tracker'!$O$2:$O$766&lt;&gt;""),'Weekly Tracker'!$O$2:$O$766),"")</f>
        <v/>
      </c>
    </row>
    <row r="1387">
      <c r="A1387" s="9" t="inlineStr">
        <is>
          <t>Arun Fracklin FB</t>
        </is>
      </c>
      <c r="B1387" s="9" t="inlineStr">
        <is>
          <t>9952599615</t>
        </is>
      </c>
      <c r="C1387" s="9" t="n"/>
      <c r="D1387" s="9" t="n"/>
      <c r="E1387" s="9" t="n"/>
      <c r="F1387" s="9">
        <f>IFERROR(LOOKUP(2,1/('Weekly Tracker'!$E$2:$E$766=$A1387)/('Weekly Tracker'!$F$2:$F$766&lt;&gt;""),'Weekly Tracker'!$F$2:$F$766),"")</f>
        <v/>
      </c>
      <c r="G1387" s="16">
        <f>IF(F1387&lt;&gt;"",LOOKUP(2,1/('Weekly Tracker'!$E$2:$E$766=$A1387)/('Weekly Tracker'!$F$2:$F$766&lt;&gt;""),'Weekly Tracker'!$G$2:$G$766),"")</f>
        <v/>
      </c>
      <c r="H1387" s="9">
        <f>IFERROR(LOOKUP(2,1/('Weekly Tracker'!$E$2:$E$766=$A1387)/('Weekly Tracker'!$H$2:$H$766&lt;&gt;""),'Weekly Tracker'!$H$2:$H$766),"")</f>
        <v/>
      </c>
      <c r="I1387" s="16">
        <f>IF(H1387&lt;&gt;"",LOOKUP(2,1/('Weekly Tracker'!$E$2:$E$766=$A1387)/('Weekly Tracker'!$H$2:$H$766&lt;&gt;""),'Weekly Tracker'!$I$2:$I$766),"")</f>
        <v/>
      </c>
      <c r="J1387" s="9">
        <f>IFERROR(LOOKUP(2,1/('Weekly Tracker'!$E$2:$E$766=$A1387)/('Weekly Tracker'!$J$2:$J$766&lt;&gt;""),'Weekly Tracker'!$J$2:$J$766),"")</f>
        <v/>
      </c>
      <c r="K1387" s="9">
        <f>IFERROR(LOOKUP(2,1/('Weekly Tracker'!$E$2:$E$766=$A1387)/('Weekly Tracker'!$N$2:$N$766&lt;&gt;""),'Weekly Tracker'!$N$2:$N$766),"")</f>
        <v/>
      </c>
      <c r="L1387" s="9">
        <f>IFERROR(LOOKUP(2,1/('Weekly Tracker'!$E$2:$E$766=$A1387)/('Weekly Tracker'!$O$2:$O$766&lt;&gt;""),'Weekly Tracker'!$O$2:$O$766),"")</f>
        <v/>
      </c>
    </row>
    <row r="1388">
      <c r="A1388" s="9" t="inlineStr">
        <is>
          <t>Act Engineer Kund</t>
        </is>
      </c>
      <c r="B1388" s="9" t="inlineStr">
        <is>
          <t>919150281114</t>
        </is>
      </c>
      <c r="C1388" s="9" t="n"/>
      <c r="D1388" s="9" t="n"/>
      <c r="E1388" s="9" t="n"/>
      <c r="F1388" s="9">
        <f>IFERROR(LOOKUP(2,1/('Weekly Tracker'!$E$2:$E$766=$A1388)/('Weekly Tracker'!$F$2:$F$766&lt;&gt;""),'Weekly Tracker'!$F$2:$F$766),"")</f>
        <v/>
      </c>
      <c r="G1388" s="16">
        <f>IF(F1388&lt;&gt;"",LOOKUP(2,1/('Weekly Tracker'!$E$2:$E$766=$A1388)/('Weekly Tracker'!$F$2:$F$766&lt;&gt;""),'Weekly Tracker'!$G$2:$G$766),"")</f>
        <v/>
      </c>
      <c r="H1388" s="9">
        <f>IFERROR(LOOKUP(2,1/('Weekly Tracker'!$E$2:$E$766=$A1388)/('Weekly Tracker'!$H$2:$H$766&lt;&gt;""),'Weekly Tracker'!$H$2:$H$766),"")</f>
        <v/>
      </c>
      <c r="I1388" s="16">
        <f>IF(H1388&lt;&gt;"",LOOKUP(2,1/('Weekly Tracker'!$E$2:$E$766=$A1388)/('Weekly Tracker'!$H$2:$H$766&lt;&gt;""),'Weekly Tracker'!$I$2:$I$766),"")</f>
        <v/>
      </c>
      <c r="J1388" s="9">
        <f>IFERROR(LOOKUP(2,1/('Weekly Tracker'!$E$2:$E$766=$A1388)/('Weekly Tracker'!$J$2:$J$766&lt;&gt;""),'Weekly Tracker'!$J$2:$J$766),"")</f>
        <v/>
      </c>
      <c r="K1388" s="9">
        <f>IFERROR(LOOKUP(2,1/('Weekly Tracker'!$E$2:$E$766=$A1388)/('Weekly Tracker'!$N$2:$N$766&lt;&gt;""),'Weekly Tracker'!$N$2:$N$766),"")</f>
        <v/>
      </c>
      <c r="L1388" s="9">
        <f>IFERROR(LOOKUP(2,1/('Weekly Tracker'!$E$2:$E$766=$A1388)/('Weekly Tracker'!$O$2:$O$766&lt;&gt;""),'Weekly Tracker'!$O$2:$O$766),"")</f>
        <v/>
      </c>
    </row>
    <row r="1389">
      <c r="A1389" s="9" t="inlineStr">
        <is>
          <t>Dinesh Kumar Mech</t>
        </is>
      </c>
      <c r="B1389" s="9" t="inlineStr">
        <is>
          <t>919962012192</t>
        </is>
      </c>
      <c r="C1389" s="9" t="n"/>
      <c r="D1389" s="9" t="n"/>
      <c r="E1389" s="9" t="n"/>
      <c r="F1389" s="9">
        <f>IFERROR(LOOKUP(2,1/('Weekly Tracker'!$E$2:$E$766=$A1389)/('Weekly Tracker'!$F$2:$F$766&lt;&gt;""),'Weekly Tracker'!$F$2:$F$766),"")</f>
        <v/>
      </c>
      <c r="G1389" s="16">
        <f>IF(F1389&lt;&gt;"",LOOKUP(2,1/('Weekly Tracker'!$E$2:$E$766=$A1389)/('Weekly Tracker'!$F$2:$F$766&lt;&gt;""),'Weekly Tracker'!$G$2:$G$766),"")</f>
        <v/>
      </c>
      <c r="H1389" s="9">
        <f>IFERROR(LOOKUP(2,1/('Weekly Tracker'!$E$2:$E$766=$A1389)/('Weekly Tracker'!$H$2:$H$766&lt;&gt;""),'Weekly Tracker'!$H$2:$H$766),"")</f>
        <v/>
      </c>
      <c r="I1389" s="16">
        <f>IF(H1389&lt;&gt;"",LOOKUP(2,1/('Weekly Tracker'!$E$2:$E$766=$A1389)/('Weekly Tracker'!$H$2:$H$766&lt;&gt;""),'Weekly Tracker'!$I$2:$I$766),"")</f>
        <v/>
      </c>
      <c r="J1389" s="9">
        <f>IFERROR(LOOKUP(2,1/('Weekly Tracker'!$E$2:$E$766=$A1389)/('Weekly Tracker'!$J$2:$J$766&lt;&gt;""),'Weekly Tracker'!$J$2:$J$766),"")</f>
        <v/>
      </c>
      <c r="K1389" s="9">
        <f>IFERROR(LOOKUP(2,1/('Weekly Tracker'!$E$2:$E$766=$A1389)/('Weekly Tracker'!$N$2:$N$766&lt;&gt;""),'Weekly Tracker'!$N$2:$N$766),"")</f>
        <v/>
      </c>
      <c r="L1389" s="9">
        <f>IFERROR(LOOKUP(2,1/('Weekly Tracker'!$E$2:$E$766=$A1389)/('Weekly Tracker'!$O$2:$O$766&lt;&gt;""),'Weekly Tracker'!$O$2:$O$766),"")</f>
        <v/>
      </c>
    </row>
    <row r="1390">
      <c r="A1390" s="9" t="inlineStr">
        <is>
          <t>Meena Urja</t>
        </is>
      </c>
      <c r="B1390" s="9" t="inlineStr">
        <is>
          <t>919894966993</t>
        </is>
      </c>
      <c r="C1390" s="9" t="n"/>
      <c r="D1390" s="9" t="n"/>
      <c r="E1390" s="9" t="n"/>
      <c r="F1390" s="9">
        <f>IFERROR(LOOKUP(2,1/('Weekly Tracker'!$E$2:$E$766=$A1390)/('Weekly Tracker'!$F$2:$F$766&lt;&gt;""),'Weekly Tracker'!$F$2:$F$766),"")</f>
        <v/>
      </c>
      <c r="G1390" s="16">
        <f>IF(F1390&lt;&gt;"",LOOKUP(2,1/('Weekly Tracker'!$E$2:$E$766=$A1390)/('Weekly Tracker'!$F$2:$F$766&lt;&gt;""),'Weekly Tracker'!$G$2:$G$766),"")</f>
        <v/>
      </c>
      <c r="H1390" s="9">
        <f>IFERROR(LOOKUP(2,1/('Weekly Tracker'!$E$2:$E$766=$A1390)/('Weekly Tracker'!$H$2:$H$766&lt;&gt;""),'Weekly Tracker'!$H$2:$H$766),"")</f>
        <v/>
      </c>
      <c r="I1390" s="16">
        <f>IF(H1390&lt;&gt;"",LOOKUP(2,1/('Weekly Tracker'!$E$2:$E$766=$A1390)/('Weekly Tracker'!$H$2:$H$766&lt;&gt;""),'Weekly Tracker'!$I$2:$I$766),"")</f>
        <v/>
      </c>
      <c r="J1390" s="9">
        <f>IFERROR(LOOKUP(2,1/('Weekly Tracker'!$E$2:$E$766=$A1390)/('Weekly Tracker'!$J$2:$J$766&lt;&gt;""),'Weekly Tracker'!$J$2:$J$766),"")</f>
        <v/>
      </c>
      <c r="K1390" s="9">
        <f>IFERROR(LOOKUP(2,1/('Weekly Tracker'!$E$2:$E$766=$A1390)/('Weekly Tracker'!$N$2:$N$766&lt;&gt;""),'Weekly Tracker'!$N$2:$N$766),"")</f>
        <v/>
      </c>
      <c r="L1390" s="9">
        <f>IFERROR(LOOKUP(2,1/('Weekly Tracker'!$E$2:$E$766=$A1390)/('Weekly Tracker'!$O$2:$O$766&lt;&gt;""),'Weekly Tracker'!$O$2:$O$766),"")</f>
        <v/>
      </c>
    </row>
    <row r="1391">
      <c r="A1391" s="9" t="inlineStr">
        <is>
          <t>RojaSri Urjanet</t>
        </is>
      </c>
      <c r="B1391" s="9" t="inlineStr">
        <is>
          <t>919962770185</t>
        </is>
      </c>
      <c r="C1391" s="9" t="n"/>
      <c r="D1391" s="9" t="n"/>
      <c r="E1391" s="9" t="n"/>
      <c r="F1391" s="9">
        <f>IFERROR(LOOKUP(2,1/('Weekly Tracker'!$E$2:$E$766=$A1391)/('Weekly Tracker'!$F$2:$F$766&lt;&gt;""),'Weekly Tracker'!$F$2:$F$766),"")</f>
        <v/>
      </c>
      <c r="G1391" s="16">
        <f>IF(F1391&lt;&gt;"",LOOKUP(2,1/('Weekly Tracker'!$E$2:$E$766=$A1391)/('Weekly Tracker'!$F$2:$F$766&lt;&gt;""),'Weekly Tracker'!$G$2:$G$766),"")</f>
        <v/>
      </c>
      <c r="H1391" s="9">
        <f>IFERROR(LOOKUP(2,1/('Weekly Tracker'!$E$2:$E$766=$A1391)/('Weekly Tracker'!$H$2:$H$766&lt;&gt;""),'Weekly Tracker'!$H$2:$H$766),"")</f>
        <v/>
      </c>
      <c r="I1391" s="16">
        <f>IF(H1391&lt;&gt;"",LOOKUP(2,1/('Weekly Tracker'!$E$2:$E$766=$A1391)/('Weekly Tracker'!$H$2:$H$766&lt;&gt;""),'Weekly Tracker'!$I$2:$I$766),"")</f>
        <v/>
      </c>
      <c r="J1391" s="9">
        <f>IFERROR(LOOKUP(2,1/('Weekly Tracker'!$E$2:$E$766=$A1391)/('Weekly Tracker'!$J$2:$J$766&lt;&gt;""),'Weekly Tracker'!$J$2:$J$766),"")</f>
        <v/>
      </c>
      <c r="K1391" s="9">
        <f>IFERROR(LOOKUP(2,1/('Weekly Tracker'!$E$2:$E$766=$A1391)/('Weekly Tracker'!$N$2:$N$766&lt;&gt;""),'Weekly Tracker'!$N$2:$N$766),"")</f>
        <v/>
      </c>
      <c r="L1391" s="9">
        <f>IFERROR(LOOKUP(2,1/('Weekly Tracker'!$E$2:$E$766=$A1391)/('Weekly Tracker'!$O$2:$O$766&lt;&gt;""),'Weekly Tracker'!$O$2:$O$766),"")</f>
        <v/>
      </c>
    </row>
    <row r="1392">
      <c r="A1392" s="9" t="inlineStr">
        <is>
          <t>Jith Ajith FB</t>
        </is>
      </c>
      <c r="B1392" s="9" t="inlineStr">
        <is>
          <t>917708569642</t>
        </is>
      </c>
      <c r="C1392" s="9" t="n"/>
      <c r="D1392" s="9" t="n"/>
      <c r="E1392" s="9" t="n"/>
      <c r="F1392" s="9">
        <f>IFERROR(LOOKUP(2,1/('Weekly Tracker'!$E$2:$E$766=$A1392)/('Weekly Tracker'!$F$2:$F$766&lt;&gt;""),'Weekly Tracker'!$F$2:$F$766),"")</f>
        <v/>
      </c>
      <c r="G1392" s="16">
        <f>IF(F1392&lt;&gt;"",LOOKUP(2,1/('Weekly Tracker'!$E$2:$E$766=$A1392)/('Weekly Tracker'!$F$2:$F$766&lt;&gt;""),'Weekly Tracker'!$G$2:$G$766),"")</f>
        <v/>
      </c>
      <c r="H1392" s="9">
        <f>IFERROR(LOOKUP(2,1/('Weekly Tracker'!$E$2:$E$766=$A1392)/('Weekly Tracker'!$H$2:$H$766&lt;&gt;""),'Weekly Tracker'!$H$2:$H$766),"")</f>
        <v/>
      </c>
      <c r="I1392" s="16">
        <f>IF(H1392&lt;&gt;"",LOOKUP(2,1/('Weekly Tracker'!$E$2:$E$766=$A1392)/('Weekly Tracker'!$H$2:$H$766&lt;&gt;""),'Weekly Tracker'!$I$2:$I$766),"")</f>
        <v/>
      </c>
      <c r="J1392" s="9">
        <f>IFERROR(LOOKUP(2,1/('Weekly Tracker'!$E$2:$E$766=$A1392)/('Weekly Tracker'!$J$2:$J$766&lt;&gt;""),'Weekly Tracker'!$J$2:$J$766),"")</f>
        <v/>
      </c>
      <c r="K1392" s="9">
        <f>IFERROR(LOOKUP(2,1/('Weekly Tracker'!$E$2:$E$766=$A1392)/('Weekly Tracker'!$N$2:$N$766&lt;&gt;""),'Weekly Tracker'!$N$2:$N$766),"")</f>
        <v/>
      </c>
      <c r="L1392" s="9">
        <f>IFERROR(LOOKUP(2,1/('Weekly Tracker'!$E$2:$E$766=$A1392)/('Weekly Tracker'!$O$2:$O$766&lt;&gt;""),'Weekly Tracker'!$O$2:$O$766),"")</f>
        <v/>
      </c>
    </row>
    <row r="1393">
      <c r="A1393" s="9" t="inlineStr">
        <is>
          <t>PaN Card KDNL</t>
        </is>
      </c>
      <c r="B1393" s="9" t="inlineStr">
        <is>
          <t>9942316229</t>
        </is>
      </c>
      <c r="C1393" s="9" t="n"/>
      <c r="D1393" s="9" t="n"/>
      <c r="E1393" s="9" t="n"/>
      <c r="F1393" s="9">
        <f>IFERROR(LOOKUP(2,1/('Weekly Tracker'!$E$2:$E$766=$A1393)/('Weekly Tracker'!$F$2:$F$766&lt;&gt;""),'Weekly Tracker'!$F$2:$F$766),"")</f>
        <v/>
      </c>
      <c r="G1393" s="16">
        <f>IF(F1393&lt;&gt;"",LOOKUP(2,1/('Weekly Tracker'!$E$2:$E$766=$A1393)/('Weekly Tracker'!$F$2:$F$766&lt;&gt;""),'Weekly Tracker'!$G$2:$G$766),"")</f>
        <v/>
      </c>
      <c r="H1393" s="9">
        <f>IFERROR(LOOKUP(2,1/('Weekly Tracker'!$E$2:$E$766=$A1393)/('Weekly Tracker'!$H$2:$H$766&lt;&gt;""),'Weekly Tracker'!$H$2:$H$766),"")</f>
        <v/>
      </c>
      <c r="I1393" s="16">
        <f>IF(H1393&lt;&gt;"",LOOKUP(2,1/('Weekly Tracker'!$E$2:$E$766=$A1393)/('Weekly Tracker'!$H$2:$H$766&lt;&gt;""),'Weekly Tracker'!$I$2:$I$766),"")</f>
        <v/>
      </c>
      <c r="J1393" s="9">
        <f>IFERROR(LOOKUP(2,1/('Weekly Tracker'!$E$2:$E$766=$A1393)/('Weekly Tracker'!$J$2:$J$766&lt;&gt;""),'Weekly Tracker'!$J$2:$J$766),"")</f>
        <v/>
      </c>
      <c r="K1393" s="9">
        <f>IFERROR(LOOKUP(2,1/('Weekly Tracker'!$E$2:$E$766=$A1393)/('Weekly Tracker'!$N$2:$N$766&lt;&gt;""),'Weekly Tracker'!$N$2:$N$766),"")</f>
        <v/>
      </c>
      <c r="L1393" s="9">
        <f>IFERROR(LOOKUP(2,1/('Weekly Tracker'!$E$2:$E$766=$A1393)/('Weekly Tracker'!$O$2:$O$766&lt;&gt;""),'Weekly Tracker'!$O$2:$O$766),"")</f>
        <v/>
      </c>
    </row>
    <row r="1394">
      <c r="A1394" s="9" t="inlineStr">
        <is>
          <t>Abhinav</t>
        </is>
      </c>
      <c r="B1394" s="9" t="inlineStr">
        <is>
          <t>+60 11 2315 4695</t>
        </is>
      </c>
      <c r="C1394" s="9" t="n"/>
      <c r="D1394" s="9" t="n"/>
      <c r="E1394" s="9" t="n"/>
      <c r="F1394" s="9">
        <f>IFERROR(LOOKUP(2,1/('Weekly Tracker'!$E$2:$E$766=$A1394)/('Weekly Tracker'!$F$2:$F$766&lt;&gt;""),'Weekly Tracker'!$F$2:$F$766),"")</f>
        <v/>
      </c>
      <c r="G1394" s="16">
        <f>IF(F1394&lt;&gt;"",LOOKUP(2,1/('Weekly Tracker'!$E$2:$E$766=$A1394)/('Weekly Tracker'!$F$2:$F$766&lt;&gt;""),'Weekly Tracker'!$G$2:$G$766),"")</f>
        <v/>
      </c>
      <c r="H1394" s="9">
        <f>IFERROR(LOOKUP(2,1/('Weekly Tracker'!$E$2:$E$766=$A1394)/('Weekly Tracker'!$H$2:$H$766&lt;&gt;""),'Weekly Tracker'!$H$2:$H$766),"")</f>
        <v/>
      </c>
      <c r="I1394" s="16">
        <f>IF(H1394&lt;&gt;"",LOOKUP(2,1/('Weekly Tracker'!$E$2:$E$766=$A1394)/('Weekly Tracker'!$H$2:$H$766&lt;&gt;""),'Weekly Tracker'!$I$2:$I$766),"")</f>
        <v/>
      </c>
      <c r="J1394" s="9">
        <f>IFERROR(LOOKUP(2,1/('Weekly Tracker'!$E$2:$E$766=$A1394)/('Weekly Tracker'!$J$2:$J$766&lt;&gt;""),'Weekly Tracker'!$J$2:$J$766),"")</f>
        <v/>
      </c>
      <c r="K1394" s="9">
        <f>IFERROR(LOOKUP(2,1/('Weekly Tracker'!$E$2:$E$766=$A1394)/('Weekly Tracker'!$N$2:$N$766&lt;&gt;""),'Weekly Tracker'!$N$2:$N$766),"")</f>
        <v/>
      </c>
      <c r="L1394" s="9">
        <f>IFERROR(LOOKUP(2,1/('Weekly Tracker'!$E$2:$E$766=$A1394)/('Weekly Tracker'!$O$2:$O$766&lt;&gt;""),'Weekly Tracker'!$O$2:$O$766),"")</f>
        <v/>
      </c>
    </row>
    <row r="1395">
      <c r="A1395" s="9" t="inlineStr">
        <is>
          <t>Santha TL Infy</t>
        </is>
      </c>
      <c r="B1395" s="9" t="inlineStr">
        <is>
          <t>919176649484</t>
        </is>
      </c>
      <c r="C1395" s="9" t="n"/>
      <c r="D1395" s="9" t="n"/>
      <c r="E1395" s="9" t="n"/>
      <c r="F1395" s="9">
        <f>IFERROR(LOOKUP(2,1/('Weekly Tracker'!$E$2:$E$766=$A1395)/('Weekly Tracker'!$F$2:$F$766&lt;&gt;""),'Weekly Tracker'!$F$2:$F$766),"")</f>
        <v/>
      </c>
      <c r="G1395" s="16">
        <f>IF(F1395&lt;&gt;"",LOOKUP(2,1/('Weekly Tracker'!$E$2:$E$766=$A1395)/('Weekly Tracker'!$F$2:$F$766&lt;&gt;""),'Weekly Tracker'!$G$2:$G$766),"")</f>
        <v/>
      </c>
      <c r="H1395" s="9">
        <f>IFERROR(LOOKUP(2,1/('Weekly Tracker'!$E$2:$E$766=$A1395)/('Weekly Tracker'!$H$2:$H$766&lt;&gt;""),'Weekly Tracker'!$H$2:$H$766),"")</f>
        <v/>
      </c>
      <c r="I1395" s="16">
        <f>IF(H1395&lt;&gt;"",LOOKUP(2,1/('Weekly Tracker'!$E$2:$E$766=$A1395)/('Weekly Tracker'!$H$2:$H$766&lt;&gt;""),'Weekly Tracker'!$I$2:$I$766),"")</f>
        <v/>
      </c>
      <c r="J1395" s="9">
        <f>IFERROR(LOOKUP(2,1/('Weekly Tracker'!$E$2:$E$766=$A1395)/('Weekly Tracker'!$J$2:$J$766&lt;&gt;""),'Weekly Tracker'!$J$2:$J$766),"")</f>
        <v/>
      </c>
      <c r="K1395" s="9">
        <f>IFERROR(LOOKUP(2,1/('Weekly Tracker'!$E$2:$E$766=$A1395)/('Weekly Tracker'!$N$2:$N$766&lt;&gt;""),'Weekly Tracker'!$N$2:$N$766),"")</f>
        <v/>
      </c>
      <c r="L1395" s="9">
        <f>IFERROR(LOOKUP(2,1/('Weekly Tracker'!$E$2:$E$766=$A1395)/('Weekly Tracker'!$O$2:$O$766&lt;&gt;""),'Weekly Tracker'!$O$2:$O$766),"")</f>
        <v/>
      </c>
    </row>
    <row r="1396">
      <c r="A1396" s="9" t="inlineStr">
        <is>
          <t>Eswariayyadurai Grp</t>
        </is>
      </c>
      <c r="B1396" s="9" t="inlineStr">
        <is>
          <t>918012012406</t>
        </is>
      </c>
      <c r="C1396" s="9" t="n"/>
      <c r="D1396" s="9" t="n"/>
      <c r="E1396" s="9" t="n"/>
      <c r="F1396" s="9">
        <f>IFERROR(LOOKUP(2,1/('Weekly Tracker'!$E$2:$E$766=$A1396)/('Weekly Tracker'!$F$2:$F$766&lt;&gt;""),'Weekly Tracker'!$F$2:$F$766),"")</f>
        <v/>
      </c>
      <c r="G1396" s="16">
        <f>IF(F1396&lt;&gt;"",LOOKUP(2,1/('Weekly Tracker'!$E$2:$E$766=$A1396)/('Weekly Tracker'!$F$2:$F$766&lt;&gt;""),'Weekly Tracker'!$G$2:$G$766),"")</f>
        <v/>
      </c>
      <c r="H1396" s="9">
        <f>IFERROR(LOOKUP(2,1/('Weekly Tracker'!$E$2:$E$766=$A1396)/('Weekly Tracker'!$H$2:$H$766&lt;&gt;""),'Weekly Tracker'!$H$2:$H$766),"")</f>
        <v/>
      </c>
      <c r="I1396" s="16">
        <f>IF(H1396&lt;&gt;"",LOOKUP(2,1/('Weekly Tracker'!$E$2:$E$766=$A1396)/('Weekly Tracker'!$H$2:$H$766&lt;&gt;""),'Weekly Tracker'!$I$2:$I$766),"")</f>
        <v/>
      </c>
      <c r="J1396" s="9">
        <f>IFERROR(LOOKUP(2,1/('Weekly Tracker'!$E$2:$E$766=$A1396)/('Weekly Tracker'!$J$2:$J$766&lt;&gt;""),'Weekly Tracker'!$J$2:$J$766),"")</f>
        <v/>
      </c>
      <c r="K1396" s="9">
        <f>IFERROR(LOOKUP(2,1/('Weekly Tracker'!$E$2:$E$766=$A1396)/('Weekly Tracker'!$N$2:$N$766&lt;&gt;""),'Weekly Tracker'!$N$2:$N$766),"")</f>
        <v/>
      </c>
      <c r="L1396" s="9">
        <f>IFERROR(LOOKUP(2,1/('Weekly Tracker'!$E$2:$E$766=$A1396)/('Weekly Tracker'!$O$2:$O$766&lt;&gt;""),'Weekly Tracker'!$O$2:$O$766),"")</f>
        <v/>
      </c>
    </row>
    <row r="1397">
      <c r="A1397" s="9" t="inlineStr">
        <is>
          <t>Karthick Sola FB</t>
        </is>
      </c>
      <c r="B1397" s="9" t="inlineStr">
        <is>
          <t>919865672011</t>
        </is>
      </c>
      <c r="C1397" s="9" t="n"/>
      <c r="D1397" s="9" t="n"/>
      <c r="E1397" s="9" t="n"/>
      <c r="F1397" s="9">
        <f>IFERROR(LOOKUP(2,1/('Weekly Tracker'!$E$2:$E$766=$A1397)/('Weekly Tracker'!$F$2:$F$766&lt;&gt;""),'Weekly Tracker'!$F$2:$F$766),"")</f>
        <v/>
      </c>
      <c r="G1397" s="16">
        <f>IF(F1397&lt;&gt;"",LOOKUP(2,1/('Weekly Tracker'!$E$2:$E$766=$A1397)/('Weekly Tracker'!$F$2:$F$766&lt;&gt;""),'Weekly Tracker'!$G$2:$G$766),"")</f>
        <v/>
      </c>
      <c r="H1397" s="9">
        <f>IFERROR(LOOKUP(2,1/('Weekly Tracker'!$E$2:$E$766=$A1397)/('Weekly Tracker'!$H$2:$H$766&lt;&gt;""),'Weekly Tracker'!$H$2:$H$766),"")</f>
        <v/>
      </c>
      <c r="I1397" s="16">
        <f>IF(H1397&lt;&gt;"",LOOKUP(2,1/('Weekly Tracker'!$E$2:$E$766=$A1397)/('Weekly Tracker'!$H$2:$H$766&lt;&gt;""),'Weekly Tracker'!$I$2:$I$766),"")</f>
        <v/>
      </c>
      <c r="J1397" s="9">
        <f>IFERROR(LOOKUP(2,1/('Weekly Tracker'!$E$2:$E$766=$A1397)/('Weekly Tracker'!$J$2:$J$766&lt;&gt;""),'Weekly Tracker'!$J$2:$J$766),"")</f>
        <v/>
      </c>
      <c r="K1397" s="9">
        <f>IFERROR(LOOKUP(2,1/('Weekly Tracker'!$E$2:$E$766=$A1397)/('Weekly Tracker'!$N$2:$N$766&lt;&gt;""),'Weekly Tracker'!$N$2:$N$766),"")</f>
        <v/>
      </c>
      <c r="L1397" s="9">
        <f>IFERROR(LOOKUP(2,1/('Weekly Tracker'!$E$2:$E$766=$A1397)/('Weekly Tracker'!$O$2:$O$766&lt;&gt;""),'Weekly Tracker'!$O$2:$O$766),"")</f>
        <v/>
      </c>
    </row>
    <row r="1398">
      <c r="A1398" s="9" t="inlineStr">
        <is>
          <t>Bala Thangam FB</t>
        </is>
      </c>
      <c r="B1398" s="9" t="inlineStr">
        <is>
          <t>8754769218</t>
        </is>
      </c>
      <c r="C1398" s="9" t="n"/>
      <c r="D1398" s="9" t="n"/>
      <c r="E1398" s="9" t="n"/>
      <c r="F1398" s="9">
        <f>IFERROR(LOOKUP(2,1/('Weekly Tracker'!$E$2:$E$766=$A1398)/('Weekly Tracker'!$F$2:$F$766&lt;&gt;""),'Weekly Tracker'!$F$2:$F$766),"")</f>
        <v/>
      </c>
      <c r="G1398" s="16">
        <f>IF(F1398&lt;&gt;"",LOOKUP(2,1/('Weekly Tracker'!$E$2:$E$766=$A1398)/('Weekly Tracker'!$F$2:$F$766&lt;&gt;""),'Weekly Tracker'!$G$2:$G$766),"")</f>
        <v/>
      </c>
      <c r="H1398" s="9">
        <f>IFERROR(LOOKUP(2,1/('Weekly Tracker'!$E$2:$E$766=$A1398)/('Weekly Tracker'!$H$2:$H$766&lt;&gt;""),'Weekly Tracker'!$H$2:$H$766),"")</f>
        <v/>
      </c>
      <c r="I1398" s="16">
        <f>IF(H1398&lt;&gt;"",LOOKUP(2,1/('Weekly Tracker'!$E$2:$E$766=$A1398)/('Weekly Tracker'!$H$2:$H$766&lt;&gt;""),'Weekly Tracker'!$I$2:$I$766),"")</f>
        <v/>
      </c>
      <c r="J1398" s="9">
        <f>IFERROR(LOOKUP(2,1/('Weekly Tracker'!$E$2:$E$766=$A1398)/('Weekly Tracker'!$J$2:$J$766&lt;&gt;""),'Weekly Tracker'!$J$2:$J$766),"")</f>
        <v/>
      </c>
      <c r="K1398" s="9">
        <f>IFERROR(LOOKUP(2,1/('Weekly Tracker'!$E$2:$E$766=$A1398)/('Weekly Tracker'!$N$2:$N$766&lt;&gt;""),'Weekly Tracker'!$N$2:$N$766),"")</f>
        <v/>
      </c>
      <c r="L1398" s="9">
        <f>IFERROR(LOOKUP(2,1/('Weekly Tracker'!$E$2:$E$766=$A1398)/('Weekly Tracker'!$O$2:$O$766&lt;&gt;""),'Weekly Tracker'!$O$2:$O$766),"")</f>
        <v/>
      </c>
    </row>
    <row r="1399">
      <c r="A1399" s="9" t="inlineStr">
        <is>
          <t>Firose Bannu</t>
        </is>
      </c>
      <c r="B1399" s="9" t="inlineStr">
        <is>
          <t>919597868137</t>
        </is>
      </c>
      <c r="C1399" s="9" t="n"/>
      <c r="D1399" s="9" t="n"/>
      <c r="E1399" s="9" t="n"/>
      <c r="F1399" s="9">
        <f>IFERROR(LOOKUP(2,1/('Weekly Tracker'!$E$2:$E$766=$A1399)/('Weekly Tracker'!$F$2:$F$766&lt;&gt;""),'Weekly Tracker'!$F$2:$F$766),"")</f>
        <v/>
      </c>
      <c r="G1399" s="16">
        <f>IF(F1399&lt;&gt;"",LOOKUP(2,1/('Weekly Tracker'!$E$2:$E$766=$A1399)/('Weekly Tracker'!$F$2:$F$766&lt;&gt;""),'Weekly Tracker'!$G$2:$G$766),"")</f>
        <v/>
      </c>
      <c r="H1399" s="9">
        <f>IFERROR(LOOKUP(2,1/('Weekly Tracker'!$E$2:$E$766=$A1399)/('Weekly Tracker'!$H$2:$H$766&lt;&gt;""),'Weekly Tracker'!$H$2:$H$766),"")</f>
        <v/>
      </c>
      <c r="I1399" s="16">
        <f>IF(H1399&lt;&gt;"",LOOKUP(2,1/('Weekly Tracker'!$E$2:$E$766=$A1399)/('Weekly Tracker'!$H$2:$H$766&lt;&gt;""),'Weekly Tracker'!$I$2:$I$766),"")</f>
        <v/>
      </c>
      <c r="J1399" s="9">
        <f>IFERROR(LOOKUP(2,1/('Weekly Tracker'!$E$2:$E$766=$A1399)/('Weekly Tracker'!$J$2:$J$766&lt;&gt;""),'Weekly Tracker'!$J$2:$J$766),"")</f>
        <v/>
      </c>
      <c r="K1399" s="9">
        <f>IFERROR(LOOKUP(2,1/('Weekly Tracker'!$E$2:$E$766=$A1399)/('Weekly Tracker'!$N$2:$N$766&lt;&gt;""),'Weekly Tracker'!$N$2:$N$766),"")</f>
        <v/>
      </c>
      <c r="L1399" s="9">
        <f>IFERROR(LOOKUP(2,1/('Weekly Tracker'!$E$2:$E$766=$A1399)/('Weekly Tracker'!$O$2:$O$766&lt;&gt;""),'Weekly Tracker'!$O$2:$O$766),"")</f>
        <v/>
      </c>
    </row>
    <row r="1400">
      <c r="A1400" s="9" t="inlineStr">
        <is>
          <t>Ashwin Grp ucen</t>
        </is>
      </c>
      <c r="B1400" s="9" t="inlineStr">
        <is>
          <t>919597494966</t>
        </is>
      </c>
      <c r="C1400" s="9" t="n"/>
      <c r="D1400" s="9" t="n"/>
      <c r="E1400" s="9" t="n"/>
      <c r="F1400" s="9">
        <f>IFERROR(LOOKUP(2,1/('Weekly Tracker'!$E$2:$E$766=$A1400)/('Weekly Tracker'!$F$2:$F$766&lt;&gt;""),'Weekly Tracker'!$F$2:$F$766),"")</f>
        <v/>
      </c>
      <c r="G1400" s="16">
        <f>IF(F1400&lt;&gt;"",LOOKUP(2,1/('Weekly Tracker'!$E$2:$E$766=$A1400)/('Weekly Tracker'!$F$2:$F$766&lt;&gt;""),'Weekly Tracker'!$G$2:$G$766),"")</f>
        <v/>
      </c>
      <c r="H1400" s="9">
        <f>IFERROR(LOOKUP(2,1/('Weekly Tracker'!$E$2:$E$766=$A1400)/('Weekly Tracker'!$H$2:$H$766&lt;&gt;""),'Weekly Tracker'!$H$2:$H$766),"")</f>
        <v/>
      </c>
      <c r="I1400" s="16">
        <f>IF(H1400&lt;&gt;"",LOOKUP(2,1/('Weekly Tracker'!$E$2:$E$766=$A1400)/('Weekly Tracker'!$H$2:$H$766&lt;&gt;""),'Weekly Tracker'!$I$2:$I$766),"")</f>
        <v/>
      </c>
      <c r="J1400" s="9">
        <f>IFERROR(LOOKUP(2,1/('Weekly Tracker'!$E$2:$E$766=$A1400)/('Weekly Tracker'!$J$2:$J$766&lt;&gt;""),'Weekly Tracker'!$J$2:$J$766),"")</f>
        <v/>
      </c>
      <c r="K1400" s="9">
        <f>IFERROR(LOOKUP(2,1/('Weekly Tracker'!$E$2:$E$766=$A1400)/('Weekly Tracker'!$N$2:$N$766&lt;&gt;""),'Weekly Tracker'!$N$2:$N$766),"")</f>
        <v/>
      </c>
      <c r="L1400" s="9">
        <f>IFERROR(LOOKUP(2,1/('Weekly Tracker'!$E$2:$E$766=$A1400)/('Weekly Tracker'!$O$2:$O$766&lt;&gt;""),'Weekly Tracker'!$O$2:$O$766),"")</f>
        <v/>
      </c>
    </row>
    <row r="1401">
      <c r="A1401" s="9" t="inlineStr">
        <is>
          <t>Laxmanan TM Verz</t>
        </is>
      </c>
      <c r="B1401" s="9" t="inlineStr">
        <is>
          <t>7397247015</t>
        </is>
      </c>
      <c r="C1401" s="9" t="n"/>
      <c r="D1401" s="9" t="n"/>
      <c r="E1401" s="9" t="n"/>
      <c r="F1401" s="9">
        <f>IFERROR(LOOKUP(2,1/('Weekly Tracker'!$E$2:$E$766=$A1401)/('Weekly Tracker'!$F$2:$F$766&lt;&gt;""),'Weekly Tracker'!$F$2:$F$766),"")</f>
        <v/>
      </c>
      <c r="G1401" s="16">
        <f>IF(F1401&lt;&gt;"",LOOKUP(2,1/('Weekly Tracker'!$E$2:$E$766=$A1401)/('Weekly Tracker'!$F$2:$F$766&lt;&gt;""),'Weekly Tracker'!$G$2:$G$766),"")</f>
        <v/>
      </c>
      <c r="H1401" s="9">
        <f>IFERROR(LOOKUP(2,1/('Weekly Tracker'!$E$2:$E$766=$A1401)/('Weekly Tracker'!$H$2:$H$766&lt;&gt;""),'Weekly Tracker'!$H$2:$H$766),"")</f>
        <v/>
      </c>
      <c r="I1401" s="16">
        <f>IF(H1401&lt;&gt;"",LOOKUP(2,1/('Weekly Tracker'!$E$2:$E$766=$A1401)/('Weekly Tracker'!$H$2:$H$766&lt;&gt;""),'Weekly Tracker'!$I$2:$I$766),"")</f>
        <v/>
      </c>
      <c r="J1401" s="9">
        <f>IFERROR(LOOKUP(2,1/('Weekly Tracker'!$E$2:$E$766=$A1401)/('Weekly Tracker'!$J$2:$J$766&lt;&gt;""),'Weekly Tracker'!$J$2:$J$766),"")</f>
        <v/>
      </c>
      <c r="K1401" s="9">
        <f>IFERROR(LOOKUP(2,1/('Weekly Tracker'!$E$2:$E$766=$A1401)/('Weekly Tracker'!$N$2:$N$766&lt;&gt;""),'Weekly Tracker'!$N$2:$N$766),"")</f>
        <v/>
      </c>
      <c r="L1401" s="9">
        <f>IFERROR(LOOKUP(2,1/('Weekly Tracker'!$E$2:$E$766=$A1401)/('Weekly Tracker'!$O$2:$O$766&lt;&gt;""),'Weekly Tracker'!$O$2:$O$766),"")</f>
        <v/>
      </c>
    </row>
    <row r="1402">
      <c r="A1402" s="9" t="inlineStr">
        <is>
          <t>Swathilakshmi Elite Nutrition</t>
        </is>
      </c>
      <c r="B1402" s="9" t="inlineStr">
        <is>
          <t>917418002217</t>
        </is>
      </c>
      <c r="C1402" s="9" t="n"/>
      <c r="D1402" s="9" t="n"/>
      <c r="E1402" s="9" t="n"/>
      <c r="F1402" s="9">
        <f>IFERROR(LOOKUP(2,1/('Weekly Tracker'!$E$2:$E$766=$A1402)/('Weekly Tracker'!$F$2:$F$766&lt;&gt;""),'Weekly Tracker'!$F$2:$F$766),"")</f>
        <v/>
      </c>
      <c r="G1402" s="16">
        <f>IF(F1402&lt;&gt;"",LOOKUP(2,1/('Weekly Tracker'!$E$2:$E$766=$A1402)/('Weekly Tracker'!$F$2:$F$766&lt;&gt;""),'Weekly Tracker'!$G$2:$G$766),"")</f>
        <v/>
      </c>
      <c r="H1402" s="9">
        <f>IFERROR(LOOKUP(2,1/('Weekly Tracker'!$E$2:$E$766=$A1402)/('Weekly Tracker'!$H$2:$H$766&lt;&gt;""),'Weekly Tracker'!$H$2:$H$766),"")</f>
        <v/>
      </c>
      <c r="I1402" s="16">
        <f>IF(H1402&lt;&gt;"",LOOKUP(2,1/('Weekly Tracker'!$E$2:$E$766=$A1402)/('Weekly Tracker'!$H$2:$H$766&lt;&gt;""),'Weekly Tracker'!$I$2:$I$766),"")</f>
        <v/>
      </c>
      <c r="J1402" s="9">
        <f>IFERROR(LOOKUP(2,1/('Weekly Tracker'!$E$2:$E$766=$A1402)/('Weekly Tracker'!$J$2:$J$766&lt;&gt;""),'Weekly Tracker'!$J$2:$J$766),"")</f>
        <v/>
      </c>
      <c r="K1402" s="9">
        <f>IFERROR(LOOKUP(2,1/('Weekly Tracker'!$E$2:$E$766=$A1402)/('Weekly Tracker'!$N$2:$N$766&lt;&gt;""),'Weekly Tracker'!$N$2:$N$766),"")</f>
        <v/>
      </c>
      <c r="L1402" s="9">
        <f>IFERROR(LOOKUP(2,1/('Weekly Tracker'!$E$2:$E$766=$A1402)/('Weekly Tracker'!$O$2:$O$766&lt;&gt;""),'Weekly Tracker'!$O$2:$O$766),"")</f>
        <v/>
      </c>
    </row>
    <row r="1403">
      <c r="A1403" s="9" t="inlineStr">
        <is>
          <t>Vicky BB</t>
        </is>
      </c>
      <c r="B1403" s="9" t="inlineStr">
        <is>
          <t>918610139652</t>
        </is>
      </c>
      <c r="C1403" s="9" t="n"/>
      <c r="D1403" s="9" t="n"/>
      <c r="E1403" s="9" t="n"/>
      <c r="F1403" s="9">
        <f>IFERROR(LOOKUP(2,1/('Weekly Tracker'!$E$2:$E$766=$A1403)/('Weekly Tracker'!$F$2:$F$766&lt;&gt;""),'Weekly Tracker'!$F$2:$F$766),"")</f>
        <v/>
      </c>
      <c r="G1403" s="16">
        <f>IF(F1403&lt;&gt;"",LOOKUP(2,1/('Weekly Tracker'!$E$2:$E$766=$A1403)/('Weekly Tracker'!$F$2:$F$766&lt;&gt;""),'Weekly Tracker'!$G$2:$G$766),"")</f>
        <v/>
      </c>
      <c r="H1403" s="9">
        <f>IFERROR(LOOKUP(2,1/('Weekly Tracker'!$E$2:$E$766=$A1403)/('Weekly Tracker'!$H$2:$H$766&lt;&gt;""),'Weekly Tracker'!$H$2:$H$766),"")</f>
        <v/>
      </c>
      <c r="I1403" s="16">
        <f>IF(H1403&lt;&gt;"",LOOKUP(2,1/('Weekly Tracker'!$E$2:$E$766=$A1403)/('Weekly Tracker'!$H$2:$H$766&lt;&gt;""),'Weekly Tracker'!$I$2:$I$766),"")</f>
        <v/>
      </c>
      <c r="J1403" s="9">
        <f>IFERROR(LOOKUP(2,1/('Weekly Tracker'!$E$2:$E$766=$A1403)/('Weekly Tracker'!$J$2:$J$766&lt;&gt;""),'Weekly Tracker'!$J$2:$J$766),"")</f>
        <v/>
      </c>
      <c r="K1403" s="9">
        <f>IFERROR(LOOKUP(2,1/('Weekly Tracker'!$E$2:$E$766=$A1403)/('Weekly Tracker'!$N$2:$N$766&lt;&gt;""),'Weekly Tracker'!$N$2:$N$766),"")</f>
        <v/>
      </c>
      <c r="L1403" s="9">
        <f>IFERROR(LOOKUP(2,1/('Weekly Tracker'!$E$2:$E$766=$A1403)/('Weekly Tracker'!$O$2:$O$766&lt;&gt;""),'Weekly Tracker'!$O$2:$O$766),"")</f>
        <v/>
      </c>
    </row>
    <row r="1404">
      <c r="A1404" s="9" t="inlineStr">
        <is>
          <t>M K Saravanan FB</t>
        </is>
      </c>
      <c r="B1404" s="9" t="inlineStr">
        <is>
          <t>917904737493</t>
        </is>
      </c>
      <c r="C1404" s="9" t="n"/>
      <c r="D1404" s="9" t="n"/>
      <c r="E1404" s="9" t="n"/>
      <c r="F1404" s="9">
        <f>IFERROR(LOOKUP(2,1/('Weekly Tracker'!$E$2:$E$766=$A1404)/('Weekly Tracker'!$F$2:$F$766&lt;&gt;""),'Weekly Tracker'!$F$2:$F$766),"")</f>
        <v/>
      </c>
      <c r="G1404" s="16">
        <f>IF(F1404&lt;&gt;"",LOOKUP(2,1/('Weekly Tracker'!$E$2:$E$766=$A1404)/('Weekly Tracker'!$F$2:$F$766&lt;&gt;""),'Weekly Tracker'!$G$2:$G$766),"")</f>
        <v/>
      </c>
      <c r="H1404" s="9">
        <f>IFERROR(LOOKUP(2,1/('Weekly Tracker'!$E$2:$E$766=$A1404)/('Weekly Tracker'!$H$2:$H$766&lt;&gt;""),'Weekly Tracker'!$H$2:$H$766),"")</f>
        <v/>
      </c>
      <c r="I1404" s="16">
        <f>IF(H1404&lt;&gt;"",LOOKUP(2,1/('Weekly Tracker'!$E$2:$E$766=$A1404)/('Weekly Tracker'!$H$2:$H$766&lt;&gt;""),'Weekly Tracker'!$I$2:$I$766),"")</f>
        <v/>
      </c>
      <c r="J1404" s="9">
        <f>IFERROR(LOOKUP(2,1/('Weekly Tracker'!$E$2:$E$766=$A1404)/('Weekly Tracker'!$J$2:$J$766&lt;&gt;""),'Weekly Tracker'!$J$2:$J$766),"")</f>
        <v/>
      </c>
      <c r="K1404" s="9">
        <f>IFERROR(LOOKUP(2,1/('Weekly Tracker'!$E$2:$E$766=$A1404)/('Weekly Tracker'!$N$2:$N$766&lt;&gt;""),'Weekly Tracker'!$N$2:$N$766),"")</f>
        <v/>
      </c>
      <c r="L1404" s="9">
        <f>IFERROR(LOOKUP(2,1/('Weekly Tracker'!$E$2:$E$766=$A1404)/('Weekly Tracker'!$O$2:$O$766&lt;&gt;""),'Weekly Tracker'!$O$2:$O$766),"")</f>
        <v/>
      </c>
    </row>
    <row r="1405">
      <c r="A1405" s="9" t="inlineStr">
        <is>
          <t>Prabakaran Mech</t>
        </is>
      </c>
      <c r="B1405" s="9" t="inlineStr">
        <is>
          <t>919677447081</t>
        </is>
      </c>
      <c r="C1405" s="9" t="n"/>
      <c r="D1405" s="9" t="n"/>
      <c r="E1405" s="9" t="n"/>
      <c r="F1405" s="9">
        <f>IFERROR(LOOKUP(2,1/('Weekly Tracker'!$E$2:$E$766=$A1405)/('Weekly Tracker'!$F$2:$F$766&lt;&gt;""),'Weekly Tracker'!$F$2:$F$766),"")</f>
        <v/>
      </c>
      <c r="G1405" s="16">
        <f>IF(F1405&lt;&gt;"",LOOKUP(2,1/('Weekly Tracker'!$E$2:$E$766=$A1405)/('Weekly Tracker'!$F$2:$F$766&lt;&gt;""),'Weekly Tracker'!$G$2:$G$766),"")</f>
        <v/>
      </c>
      <c r="H1405" s="9">
        <f>IFERROR(LOOKUP(2,1/('Weekly Tracker'!$E$2:$E$766=$A1405)/('Weekly Tracker'!$H$2:$H$766&lt;&gt;""),'Weekly Tracker'!$H$2:$H$766),"")</f>
        <v/>
      </c>
      <c r="I1405" s="16">
        <f>IF(H1405&lt;&gt;"",LOOKUP(2,1/('Weekly Tracker'!$E$2:$E$766=$A1405)/('Weekly Tracker'!$H$2:$H$766&lt;&gt;""),'Weekly Tracker'!$I$2:$I$766),"")</f>
        <v/>
      </c>
      <c r="J1405" s="9">
        <f>IFERROR(LOOKUP(2,1/('Weekly Tracker'!$E$2:$E$766=$A1405)/('Weekly Tracker'!$J$2:$J$766&lt;&gt;""),'Weekly Tracker'!$J$2:$J$766),"")</f>
        <v/>
      </c>
      <c r="K1405" s="9">
        <f>IFERROR(LOOKUP(2,1/('Weekly Tracker'!$E$2:$E$766=$A1405)/('Weekly Tracker'!$N$2:$N$766&lt;&gt;""),'Weekly Tracker'!$N$2:$N$766),"")</f>
        <v/>
      </c>
      <c r="L1405" s="9">
        <f>IFERROR(LOOKUP(2,1/('Weekly Tracker'!$E$2:$E$766=$A1405)/('Weekly Tracker'!$O$2:$O$766&lt;&gt;""),'Weekly Tracker'!$O$2:$O$766),"")</f>
        <v/>
      </c>
    </row>
    <row r="1406">
      <c r="A1406" s="9" t="inlineStr">
        <is>
          <t>Venkatesh Karupasamy FB</t>
        </is>
      </c>
      <c r="B1406" s="9" t="inlineStr">
        <is>
          <t>7667179320</t>
        </is>
      </c>
      <c r="C1406" s="9" t="n"/>
      <c r="D1406" s="9" t="n"/>
      <c r="E1406" s="9" t="n"/>
      <c r="F1406" s="9">
        <f>IFERROR(LOOKUP(2,1/('Weekly Tracker'!$E$2:$E$766=$A1406)/('Weekly Tracker'!$F$2:$F$766&lt;&gt;""),'Weekly Tracker'!$F$2:$F$766),"")</f>
        <v/>
      </c>
      <c r="G1406" s="16">
        <f>IF(F1406&lt;&gt;"",LOOKUP(2,1/('Weekly Tracker'!$E$2:$E$766=$A1406)/('Weekly Tracker'!$F$2:$F$766&lt;&gt;""),'Weekly Tracker'!$G$2:$G$766),"")</f>
        <v/>
      </c>
      <c r="H1406" s="9">
        <f>IFERROR(LOOKUP(2,1/('Weekly Tracker'!$E$2:$E$766=$A1406)/('Weekly Tracker'!$H$2:$H$766&lt;&gt;""),'Weekly Tracker'!$H$2:$H$766),"")</f>
        <v/>
      </c>
      <c r="I1406" s="16">
        <f>IF(H1406&lt;&gt;"",LOOKUP(2,1/('Weekly Tracker'!$E$2:$E$766=$A1406)/('Weekly Tracker'!$H$2:$H$766&lt;&gt;""),'Weekly Tracker'!$I$2:$I$766),"")</f>
        <v/>
      </c>
      <c r="J1406" s="9">
        <f>IFERROR(LOOKUP(2,1/('Weekly Tracker'!$E$2:$E$766=$A1406)/('Weekly Tracker'!$J$2:$J$766&lt;&gt;""),'Weekly Tracker'!$J$2:$J$766),"")</f>
        <v/>
      </c>
      <c r="K1406" s="9">
        <f>IFERROR(LOOKUP(2,1/('Weekly Tracker'!$E$2:$E$766=$A1406)/('Weekly Tracker'!$N$2:$N$766&lt;&gt;""),'Weekly Tracker'!$N$2:$N$766),"")</f>
        <v/>
      </c>
      <c r="L1406" s="9">
        <f>IFERROR(LOOKUP(2,1/('Weekly Tracker'!$E$2:$E$766=$A1406)/('Weekly Tracker'!$O$2:$O$766&lt;&gt;""),'Weekly Tracker'!$O$2:$O$766),"")</f>
        <v/>
      </c>
    </row>
    <row r="1407">
      <c r="A1407" s="9" t="inlineStr">
        <is>
          <t>Brindha ECE</t>
        </is>
      </c>
      <c r="B1407" s="9" t="inlineStr">
        <is>
          <t>919787348371</t>
        </is>
      </c>
      <c r="C1407" s="9" t="n"/>
      <c r="D1407" s="9" t="n"/>
      <c r="E1407" s="9" t="n"/>
      <c r="F1407" s="9">
        <f>IFERROR(LOOKUP(2,1/('Weekly Tracker'!$E$2:$E$766=$A1407)/('Weekly Tracker'!$F$2:$F$766&lt;&gt;""),'Weekly Tracker'!$F$2:$F$766),"")</f>
        <v/>
      </c>
      <c r="G1407" s="16">
        <f>IF(F1407&lt;&gt;"",LOOKUP(2,1/('Weekly Tracker'!$E$2:$E$766=$A1407)/('Weekly Tracker'!$F$2:$F$766&lt;&gt;""),'Weekly Tracker'!$G$2:$G$766),"")</f>
        <v/>
      </c>
      <c r="H1407" s="9">
        <f>IFERROR(LOOKUP(2,1/('Weekly Tracker'!$E$2:$E$766=$A1407)/('Weekly Tracker'!$H$2:$H$766&lt;&gt;""),'Weekly Tracker'!$H$2:$H$766),"")</f>
        <v/>
      </c>
      <c r="I1407" s="16">
        <f>IF(H1407&lt;&gt;"",LOOKUP(2,1/('Weekly Tracker'!$E$2:$E$766=$A1407)/('Weekly Tracker'!$H$2:$H$766&lt;&gt;""),'Weekly Tracker'!$I$2:$I$766),"")</f>
        <v/>
      </c>
      <c r="J1407" s="9">
        <f>IFERROR(LOOKUP(2,1/('Weekly Tracker'!$E$2:$E$766=$A1407)/('Weekly Tracker'!$J$2:$J$766&lt;&gt;""),'Weekly Tracker'!$J$2:$J$766),"")</f>
        <v/>
      </c>
      <c r="K1407" s="9">
        <f>IFERROR(LOOKUP(2,1/('Weekly Tracker'!$E$2:$E$766=$A1407)/('Weekly Tracker'!$N$2:$N$766&lt;&gt;""),'Weekly Tracker'!$N$2:$N$766),"")</f>
        <v/>
      </c>
      <c r="L1407" s="9">
        <f>IFERROR(LOOKUP(2,1/('Weekly Tracker'!$E$2:$E$766=$A1407)/('Weekly Tracker'!$O$2:$O$766&lt;&gt;""),'Weekly Tracker'!$O$2:$O$766),"")</f>
        <v/>
      </c>
    </row>
    <row r="1408">
      <c r="A1408" s="9" t="inlineStr">
        <is>
          <t>Raja Pandiyan Clg</t>
        </is>
      </c>
      <c r="B1408" s="9" t="inlineStr">
        <is>
          <t>8838613381</t>
        </is>
      </c>
      <c r="C1408" s="9" t="n"/>
      <c r="D1408" s="9" t="n"/>
      <c r="E1408" s="9" t="n"/>
      <c r="F1408" s="9">
        <f>IFERROR(LOOKUP(2,1/('Weekly Tracker'!$E$2:$E$766=$A1408)/('Weekly Tracker'!$F$2:$F$766&lt;&gt;""),'Weekly Tracker'!$F$2:$F$766),"")</f>
        <v/>
      </c>
      <c r="G1408" s="16">
        <f>IF(F1408&lt;&gt;"",LOOKUP(2,1/('Weekly Tracker'!$E$2:$E$766=$A1408)/('Weekly Tracker'!$F$2:$F$766&lt;&gt;""),'Weekly Tracker'!$G$2:$G$766),"")</f>
        <v/>
      </c>
      <c r="H1408" s="9">
        <f>IFERROR(LOOKUP(2,1/('Weekly Tracker'!$E$2:$E$766=$A1408)/('Weekly Tracker'!$H$2:$H$766&lt;&gt;""),'Weekly Tracker'!$H$2:$H$766),"")</f>
        <v/>
      </c>
      <c r="I1408" s="16">
        <f>IF(H1408&lt;&gt;"",LOOKUP(2,1/('Weekly Tracker'!$E$2:$E$766=$A1408)/('Weekly Tracker'!$H$2:$H$766&lt;&gt;""),'Weekly Tracker'!$I$2:$I$766),"")</f>
        <v/>
      </c>
      <c r="J1408" s="9">
        <f>IFERROR(LOOKUP(2,1/('Weekly Tracker'!$E$2:$E$766=$A1408)/('Weekly Tracker'!$J$2:$J$766&lt;&gt;""),'Weekly Tracker'!$J$2:$J$766),"")</f>
        <v/>
      </c>
      <c r="K1408" s="9">
        <f>IFERROR(LOOKUP(2,1/('Weekly Tracker'!$E$2:$E$766=$A1408)/('Weekly Tracker'!$N$2:$N$766&lt;&gt;""),'Weekly Tracker'!$N$2:$N$766),"")</f>
        <v/>
      </c>
      <c r="L1408" s="9">
        <f>IFERROR(LOOKUP(2,1/('Weekly Tracker'!$E$2:$E$766=$A1408)/('Weekly Tracker'!$O$2:$O$766&lt;&gt;""),'Weekly Tracker'!$O$2:$O$766),"")</f>
        <v/>
      </c>
    </row>
    <row r="1409">
      <c r="A1409" s="9" t="inlineStr">
        <is>
          <t>VelMurugan Mech</t>
        </is>
      </c>
      <c r="B1409" s="9" t="inlineStr">
        <is>
          <t>917904675007</t>
        </is>
      </c>
      <c r="C1409" s="9" t="n"/>
      <c r="D1409" s="9" t="n"/>
      <c r="E1409" s="9" t="n"/>
      <c r="F1409" s="9">
        <f>IFERROR(LOOKUP(2,1/('Weekly Tracker'!$E$2:$E$766=$A1409)/('Weekly Tracker'!$F$2:$F$766&lt;&gt;""),'Weekly Tracker'!$F$2:$F$766),"")</f>
        <v/>
      </c>
      <c r="G1409" s="16">
        <f>IF(F1409&lt;&gt;"",LOOKUP(2,1/('Weekly Tracker'!$E$2:$E$766=$A1409)/('Weekly Tracker'!$F$2:$F$766&lt;&gt;""),'Weekly Tracker'!$G$2:$G$766),"")</f>
        <v/>
      </c>
      <c r="H1409" s="9">
        <f>IFERROR(LOOKUP(2,1/('Weekly Tracker'!$E$2:$E$766=$A1409)/('Weekly Tracker'!$H$2:$H$766&lt;&gt;""),'Weekly Tracker'!$H$2:$H$766),"")</f>
        <v/>
      </c>
      <c r="I1409" s="16">
        <f>IF(H1409&lt;&gt;"",LOOKUP(2,1/('Weekly Tracker'!$E$2:$E$766=$A1409)/('Weekly Tracker'!$H$2:$H$766&lt;&gt;""),'Weekly Tracker'!$I$2:$I$766),"")</f>
        <v/>
      </c>
      <c r="J1409" s="9">
        <f>IFERROR(LOOKUP(2,1/('Weekly Tracker'!$E$2:$E$766=$A1409)/('Weekly Tracker'!$J$2:$J$766&lt;&gt;""),'Weekly Tracker'!$J$2:$J$766),"")</f>
        <v/>
      </c>
      <c r="K1409" s="9">
        <f>IFERROR(LOOKUP(2,1/('Weekly Tracker'!$E$2:$E$766=$A1409)/('Weekly Tracker'!$N$2:$N$766&lt;&gt;""),'Weekly Tracker'!$N$2:$N$766),"")</f>
        <v/>
      </c>
      <c r="L1409" s="9">
        <f>IFERROR(LOOKUP(2,1/('Weekly Tracker'!$E$2:$E$766=$A1409)/('Weekly Tracker'!$O$2:$O$766&lt;&gt;""),'Weekly Tracker'!$O$2:$O$766),"")</f>
        <v/>
      </c>
    </row>
    <row r="1410">
      <c r="A1410" s="9" t="inlineStr">
        <is>
          <t>Sathish ja. eve</t>
        </is>
      </c>
      <c r="B1410" s="9" t="inlineStr">
        <is>
          <t>918939515008</t>
        </is>
      </c>
      <c r="C1410" s="9" t="n"/>
      <c r="D1410" s="9" t="n"/>
      <c r="E1410" s="9" t="n"/>
      <c r="F1410" s="9">
        <f>IFERROR(LOOKUP(2,1/('Weekly Tracker'!$E$2:$E$766=$A1410)/('Weekly Tracker'!$F$2:$F$766&lt;&gt;""),'Weekly Tracker'!$F$2:$F$766),"")</f>
        <v/>
      </c>
      <c r="G1410" s="16">
        <f>IF(F1410&lt;&gt;"",LOOKUP(2,1/('Weekly Tracker'!$E$2:$E$766=$A1410)/('Weekly Tracker'!$F$2:$F$766&lt;&gt;""),'Weekly Tracker'!$G$2:$G$766),"")</f>
        <v/>
      </c>
      <c r="H1410" s="9">
        <f>IFERROR(LOOKUP(2,1/('Weekly Tracker'!$E$2:$E$766=$A1410)/('Weekly Tracker'!$H$2:$H$766&lt;&gt;""),'Weekly Tracker'!$H$2:$H$766),"")</f>
        <v/>
      </c>
      <c r="I1410" s="16">
        <f>IF(H1410&lt;&gt;"",LOOKUP(2,1/('Weekly Tracker'!$E$2:$E$766=$A1410)/('Weekly Tracker'!$H$2:$H$766&lt;&gt;""),'Weekly Tracker'!$I$2:$I$766),"")</f>
        <v/>
      </c>
      <c r="J1410" s="9">
        <f>IFERROR(LOOKUP(2,1/('Weekly Tracker'!$E$2:$E$766=$A1410)/('Weekly Tracker'!$J$2:$J$766&lt;&gt;""),'Weekly Tracker'!$J$2:$J$766),"")</f>
        <v/>
      </c>
      <c r="K1410" s="9">
        <f>IFERROR(LOOKUP(2,1/('Weekly Tracker'!$E$2:$E$766=$A1410)/('Weekly Tracker'!$N$2:$N$766&lt;&gt;""),'Weekly Tracker'!$N$2:$N$766),"")</f>
        <v/>
      </c>
      <c r="L1410" s="9">
        <f>IFERROR(LOOKUP(2,1/('Weekly Tracker'!$E$2:$E$766=$A1410)/('Weekly Tracker'!$O$2:$O$766&lt;&gt;""),'Weekly Tracker'!$O$2:$O$766),"")</f>
        <v/>
      </c>
    </row>
    <row r="1411">
      <c r="A1411" s="9" t="inlineStr">
        <is>
          <t>SermaRaj FB</t>
        </is>
      </c>
      <c r="B1411" s="9" t="inlineStr">
        <is>
          <t>8148950575</t>
        </is>
      </c>
      <c r="C1411" s="9" t="n"/>
      <c r="D1411" s="9" t="n"/>
      <c r="E1411" s="9" t="n"/>
      <c r="F1411" s="9">
        <f>IFERROR(LOOKUP(2,1/('Weekly Tracker'!$E$2:$E$766=$A1411)/('Weekly Tracker'!$F$2:$F$766&lt;&gt;""),'Weekly Tracker'!$F$2:$F$766),"")</f>
        <v/>
      </c>
      <c r="G1411" s="16">
        <f>IF(F1411&lt;&gt;"",LOOKUP(2,1/('Weekly Tracker'!$E$2:$E$766=$A1411)/('Weekly Tracker'!$F$2:$F$766&lt;&gt;""),'Weekly Tracker'!$G$2:$G$766),"")</f>
        <v/>
      </c>
      <c r="H1411" s="9">
        <f>IFERROR(LOOKUP(2,1/('Weekly Tracker'!$E$2:$E$766=$A1411)/('Weekly Tracker'!$H$2:$H$766&lt;&gt;""),'Weekly Tracker'!$H$2:$H$766),"")</f>
        <v/>
      </c>
      <c r="I1411" s="16">
        <f>IF(H1411&lt;&gt;"",LOOKUP(2,1/('Weekly Tracker'!$E$2:$E$766=$A1411)/('Weekly Tracker'!$H$2:$H$766&lt;&gt;""),'Weekly Tracker'!$I$2:$I$766),"")</f>
        <v/>
      </c>
      <c r="J1411" s="9">
        <f>IFERROR(LOOKUP(2,1/('Weekly Tracker'!$E$2:$E$766=$A1411)/('Weekly Tracker'!$J$2:$J$766&lt;&gt;""),'Weekly Tracker'!$J$2:$J$766),"")</f>
        <v/>
      </c>
      <c r="K1411" s="9">
        <f>IFERROR(LOOKUP(2,1/('Weekly Tracker'!$E$2:$E$766=$A1411)/('Weekly Tracker'!$N$2:$N$766&lt;&gt;""),'Weekly Tracker'!$N$2:$N$766),"")</f>
        <v/>
      </c>
      <c r="L1411" s="9">
        <f>IFERROR(LOOKUP(2,1/('Weekly Tracker'!$E$2:$E$766=$A1411)/('Weekly Tracker'!$O$2:$O$766&lt;&gt;""),'Weekly Tracker'!$O$2:$O$766),"")</f>
        <v/>
      </c>
    </row>
    <row r="1412">
      <c r="A1412" s="9" t="inlineStr">
        <is>
          <t>Krishnan Urja</t>
        </is>
      </c>
      <c r="B1412" s="9" t="inlineStr">
        <is>
          <t>919790950481</t>
        </is>
      </c>
      <c r="C1412" s="9" t="n"/>
      <c r="D1412" s="9" t="n"/>
      <c r="E1412" s="9" t="n"/>
      <c r="F1412" s="9">
        <f>IFERROR(LOOKUP(2,1/('Weekly Tracker'!$E$2:$E$766=$A1412)/('Weekly Tracker'!$F$2:$F$766&lt;&gt;""),'Weekly Tracker'!$F$2:$F$766),"")</f>
        <v/>
      </c>
      <c r="G1412" s="16">
        <f>IF(F1412&lt;&gt;"",LOOKUP(2,1/('Weekly Tracker'!$E$2:$E$766=$A1412)/('Weekly Tracker'!$F$2:$F$766&lt;&gt;""),'Weekly Tracker'!$G$2:$G$766),"")</f>
        <v/>
      </c>
      <c r="H1412" s="9">
        <f>IFERROR(LOOKUP(2,1/('Weekly Tracker'!$E$2:$E$766=$A1412)/('Weekly Tracker'!$H$2:$H$766&lt;&gt;""),'Weekly Tracker'!$H$2:$H$766),"")</f>
        <v/>
      </c>
      <c r="I1412" s="16">
        <f>IF(H1412&lt;&gt;"",LOOKUP(2,1/('Weekly Tracker'!$E$2:$E$766=$A1412)/('Weekly Tracker'!$H$2:$H$766&lt;&gt;""),'Weekly Tracker'!$I$2:$I$766),"")</f>
        <v/>
      </c>
      <c r="J1412" s="9">
        <f>IFERROR(LOOKUP(2,1/('Weekly Tracker'!$E$2:$E$766=$A1412)/('Weekly Tracker'!$J$2:$J$766&lt;&gt;""),'Weekly Tracker'!$J$2:$J$766),"")</f>
        <v/>
      </c>
      <c r="K1412" s="9">
        <f>IFERROR(LOOKUP(2,1/('Weekly Tracker'!$E$2:$E$766=$A1412)/('Weekly Tracker'!$N$2:$N$766&lt;&gt;""),'Weekly Tracker'!$N$2:$N$766),"")</f>
        <v/>
      </c>
      <c r="L1412" s="9">
        <f>IFERROR(LOOKUP(2,1/('Weekly Tracker'!$E$2:$E$766=$A1412)/('Weekly Tracker'!$O$2:$O$766&lt;&gt;""),'Weekly Tracker'!$O$2:$O$766),"")</f>
        <v/>
      </c>
    </row>
    <row r="1413">
      <c r="A1413" s="9" t="inlineStr">
        <is>
          <t>Madhan Nadar Scl</t>
        </is>
      </c>
      <c r="B1413" s="9" t="inlineStr">
        <is>
          <t>919677751813</t>
        </is>
      </c>
      <c r="C1413" s="9" t="n"/>
      <c r="D1413" s="9" t="n"/>
      <c r="E1413" s="9" t="n"/>
      <c r="F1413" s="9">
        <f>IFERROR(LOOKUP(2,1/('Weekly Tracker'!$E$2:$E$766=$A1413)/('Weekly Tracker'!$F$2:$F$766&lt;&gt;""),'Weekly Tracker'!$F$2:$F$766),"")</f>
        <v/>
      </c>
      <c r="G1413" s="16">
        <f>IF(F1413&lt;&gt;"",LOOKUP(2,1/('Weekly Tracker'!$E$2:$E$766=$A1413)/('Weekly Tracker'!$F$2:$F$766&lt;&gt;""),'Weekly Tracker'!$G$2:$G$766),"")</f>
        <v/>
      </c>
      <c r="H1413" s="9">
        <f>IFERROR(LOOKUP(2,1/('Weekly Tracker'!$E$2:$E$766=$A1413)/('Weekly Tracker'!$H$2:$H$766&lt;&gt;""),'Weekly Tracker'!$H$2:$H$766),"")</f>
        <v/>
      </c>
      <c r="I1413" s="16">
        <f>IF(H1413&lt;&gt;"",LOOKUP(2,1/('Weekly Tracker'!$E$2:$E$766=$A1413)/('Weekly Tracker'!$H$2:$H$766&lt;&gt;""),'Weekly Tracker'!$I$2:$I$766),"")</f>
        <v/>
      </c>
      <c r="J1413" s="9">
        <f>IFERROR(LOOKUP(2,1/('Weekly Tracker'!$E$2:$E$766=$A1413)/('Weekly Tracker'!$J$2:$J$766&lt;&gt;""),'Weekly Tracker'!$J$2:$J$766),"")</f>
        <v/>
      </c>
      <c r="K1413" s="9">
        <f>IFERROR(LOOKUP(2,1/('Weekly Tracker'!$E$2:$E$766=$A1413)/('Weekly Tracker'!$N$2:$N$766&lt;&gt;""),'Weekly Tracker'!$N$2:$N$766),"")</f>
        <v/>
      </c>
      <c r="L1413" s="9">
        <f>IFERROR(LOOKUP(2,1/('Weekly Tracker'!$E$2:$E$766=$A1413)/('Weekly Tracker'!$O$2:$O$766&lt;&gt;""),'Weekly Tracker'!$O$2:$O$766),"")</f>
        <v/>
      </c>
    </row>
    <row r="1414">
      <c r="A1414" s="9" t="inlineStr">
        <is>
          <t>Utpal Singh HCL</t>
        </is>
      </c>
      <c r="B1414" s="9" t="inlineStr">
        <is>
          <t>8116249634</t>
        </is>
      </c>
      <c r="C1414" s="9" t="n"/>
      <c r="D1414" s="9" t="n"/>
      <c r="E1414" s="9" t="n"/>
      <c r="F1414" s="9">
        <f>IFERROR(LOOKUP(2,1/('Weekly Tracker'!$E$2:$E$766=$A1414)/('Weekly Tracker'!$F$2:$F$766&lt;&gt;""),'Weekly Tracker'!$F$2:$F$766),"")</f>
        <v/>
      </c>
      <c r="G1414" s="16">
        <f>IF(F1414&lt;&gt;"",LOOKUP(2,1/('Weekly Tracker'!$E$2:$E$766=$A1414)/('Weekly Tracker'!$F$2:$F$766&lt;&gt;""),'Weekly Tracker'!$G$2:$G$766),"")</f>
        <v/>
      </c>
      <c r="H1414" s="9">
        <f>IFERROR(LOOKUP(2,1/('Weekly Tracker'!$E$2:$E$766=$A1414)/('Weekly Tracker'!$H$2:$H$766&lt;&gt;""),'Weekly Tracker'!$H$2:$H$766),"")</f>
        <v/>
      </c>
      <c r="I1414" s="16">
        <f>IF(H1414&lt;&gt;"",LOOKUP(2,1/('Weekly Tracker'!$E$2:$E$766=$A1414)/('Weekly Tracker'!$H$2:$H$766&lt;&gt;""),'Weekly Tracker'!$I$2:$I$766),"")</f>
        <v/>
      </c>
      <c r="J1414" s="9">
        <f>IFERROR(LOOKUP(2,1/('Weekly Tracker'!$E$2:$E$766=$A1414)/('Weekly Tracker'!$J$2:$J$766&lt;&gt;""),'Weekly Tracker'!$J$2:$J$766),"")</f>
        <v/>
      </c>
      <c r="K1414" s="9">
        <f>IFERROR(LOOKUP(2,1/('Weekly Tracker'!$E$2:$E$766=$A1414)/('Weekly Tracker'!$N$2:$N$766&lt;&gt;""),'Weekly Tracker'!$N$2:$N$766),"")</f>
        <v/>
      </c>
      <c r="L1414" s="9">
        <f>IFERROR(LOOKUP(2,1/('Weekly Tracker'!$E$2:$E$766=$A1414)/('Weekly Tracker'!$O$2:$O$766&lt;&gt;""),'Weekly Tracker'!$O$2:$O$766),"")</f>
        <v/>
      </c>
    </row>
    <row r="1415">
      <c r="A1415" s="9" t="inlineStr">
        <is>
          <t>Vaira Muthu Grp Ucen</t>
        </is>
      </c>
      <c r="B1415" s="9" t="inlineStr">
        <is>
          <t>919543777802</t>
        </is>
      </c>
      <c r="C1415" s="9" t="n"/>
      <c r="D1415" s="9" t="n"/>
      <c r="E1415" s="9" t="n"/>
      <c r="F1415" s="9">
        <f>IFERROR(LOOKUP(2,1/('Weekly Tracker'!$E$2:$E$766=$A1415)/('Weekly Tracker'!$F$2:$F$766&lt;&gt;""),'Weekly Tracker'!$F$2:$F$766),"")</f>
        <v/>
      </c>
      <c r="G1415" s="16">
        <f>IF(F1415&lt;&gt;"",LOOKUP(2,1/('Weekly Tracker'!$E$2:$E$766=$A1415)/('Weekly Tracker'!$F$2:$F$766&lt;&gt;""),'Weekly Tracker'!$G$2:$G$766),"")</f>
        <v/>
      </c>
      <c r="H1415" s="9">
        <f>IFERROR(LOOKUP(2,1/('Weekly Tracker'!$E$2:$E$766=$A1415)/('Weekly Tracker'!$H$2:$H$766&lt;&gt;""),'Weekly Tracker'!$H$2:$H$766),"")</f>
        <v/>
      </c>
      <c r="I1415" s="16">
        <f>IF(H1415&lt;&gt;"",LOOKUP(2,1/('Weekly Tracker'!$E$2:$E$766=$A1415)/('Weekly Tracker'!$H$2:$H$766&lt;&gt;""),'Weekly Tracker'!$I$2:$I$766),"")</f>
        <v/>
      </c>
      <c r="J1415" s="9">
        <f>IFERROR(LOOKUP(2,1/('Weekly Tracker'!$E$2:$E$766=$A1415)/('Weekly Tracker'!$J$2:$J$766&lt;&gt;""),'Weekly Tracker'!$J$2:$J$766),"")</f>
        <v/>
      </c>
      <c r="K1415" s="9">
        <f>IFERROR(LOOKUP(2,1/('Weekly Tracker'!$E$2:$E$766=$A1415)/('Weekly Tracker'!$N$2:$N$766&lt;&gt;""),'Weekly Tracker'!$N$2:$N$766),"")</f>
        <v/>
      </c>
      <c r="L1415" s="9">
        <f>IFERROR(LOOKUP(2,1/('Weekly Tracker'!$E$2:$E$766=$A1415)/('Weekly Tracker'!$O$2:$O$766&lt;&gt;""),'Weekly Tracker'!$O$2:$O$766),"")</f>
        <v/>
      </c>
    </row>
    <row r="1416">
      <c r="A1416" s="9" t="inlineStr">
        <is>
          <t>Anzar Anz GP</t>
        </is>
      </c>
      <c r="B1416" s="9" t="inlineStr">
        <is>
          <t>918220166789</t>
        </is>
      </c>
      <c r="C1416" s="9" t="n"/>
      <c r="D1416" s="9" t="n"/>
      <c r="E1416" s="9" t="n"/>
      <c r="F1416" s="9">
        <f>IFERROR(LOOKUP(2,1/('Weekly Tracker'!$E$2:$E$766=$A1416)/('Weekly Tracker'!$F$2:$F$766&lt;&gt;""),'Weekly Tracker'!$F$2:$F$766),"")</f>
        <v/>
      </c>
      <c r="G1416" s="16">
        <f>IF(F1416&lt;&gt;"",LOOKUP(2,1/('Weekly Tracker'!$E$2:$E$766=$A1416)/('Weekly Tracker'!$F$2:$F$766&lt;&gt;""),'Weekly Tracker'!$G$2:$G$766),"")</f>
        <v/>
      </c>
      <c r="H1416" s="9">
        <f>IFERROR(LOOKUP(2,1/('Weekly Tracker'!$E$2:$E$766=$A1416)/('Weekly Tracker'!$H$2:$H$766&lt;&gt;""),'Weekly Tracker'!$H$2:$H$766),"")</f>
        <v/>
      </c>
      <c r="I1416" s="16">
        <f>IF(H1416&lt;&gt;"",LOOKUP(2,1/('Weekly Tracker'!$E$2:$E$766=$A1416)/('Weekly Tracker'!$H$2:$H$766&lt;&gt;""),'Weekly Tracker'!$I$2:$I$766),"")</f>
        <v/>
      </c>
      <c r="J1416" s="9">
        <f>IFERROR(LOOKUP(2,1/('Weekly Tracker'!$E$2:$E$766=$A1416)/('Weekly Tracker'!$J$2:$J$766&lt;&gt;""),'Weekly Tracker'!$J$2:$J$766),"")</f>
        <v/>
      </c>
      <c r="K1416" s="9">
        <f>IFERROR(LOOKUP(2,1/('Weekly Tracker'!$E$2:$E$766=$A1416)/('Weekly Tracker'!$N$2:$N$766&lt;&gt;""),'Weekly Tracker'!$N$2:$N$766),"")</f>
        <v/>
      </c>
      <c r="L1416" s="9">
        <f>IFERROR(LOOKUP(2,1/('Weekly Tracker'!$E$2:$E$766=$A1416)/('Weekly Tracker'!$O$2:$O$766&lt;&gt;""),'Weekly Tracker'!$O$2:$O$766),"")</f>
        <v/>
      </c>
    </row>
    <row r="1417">
      <c r="A1417" s="9" t="inlineStr">
        <is>
          <t>Vishnu Cab Kdnl</t>
        </is>
      </c>
      <c r="B1417" s="9" t="inlineStr">
        <is>
          <t>919600936247</t>
        </is>
      </c>
      <c r="C1417" s="9" t="n"/>
      <c r="D1417" s="9" t="n"/>
      <c r="E1417" s="9" t="n"/>
      <c r="F1417" s="9">
        <f>IFERROR(LOOKUP(2,1/('Weekly Tracker'!$E$2:$E$766=$A1417)/('Weekly Tracker'!$F$2:$F$766&lt;&gt;""),'Weekly Tracker'!$F$2:$F$766),"")</f>
        <v/>
      </c>
      <c r="G1417" s="16">
        <f>IF(F1417&lt;&gt;"",LOOKUP(2,1/('Weekly Tracker'!$E$2:$E$766=$A1417)/('Weekly Tracker'!$F$2:$F$766&lt;&gt;""),'Weekly Tracker'!$G$2:$G$766),"")</f>
        <v/>
      </c>
      <c r="H1417" s="9">
        <f>IFERROR(LOOKUP(2,1/('Weekly Tracker'!$E$2:$E$766=$A1417)/('Weekly Tracker'!$H$2:$H$766&lt;&gt;""),'Weekly Tracker'!$H$2:$H$766),"")</f>
        <v/>
      </c>
      <c r="I1417" s="16">
        <f>IF(H1417&lt;&gt;"",LOOKUP(2,1/('Weekly Tracker'!$E$2:$E$766=$A1417)/('Weekly Tracker'!$H$2:$H$766&lt;&gt;""),'Weekly Tracker'!$I$2:$I$766),"")</f>
        <v/>
      </c>
      <c r="J1417" s="9">
        <f>IFERROR(LOOKUP(2,1/('Weekly Tracker'!$E$2:$E$766=$A1417)/('Weekly Tracker'!$J$2:$J$766&lt;&gt;""),'Weekly Tracker'!$J$2:$J$766),"")</f>
        <v/>
      </c>
      <c r="K1417" s="9">
        <f>IFERROR(LOOKUP(2,1/('Weekly Tracker'!$E$2:$E$766=$A1417)/('Weekly Tracker'!$N$2:$N$766&lt;&gt;""),'Weekly Tracker'!$N$2:$N$766),"")</f>
        <v/>
      </c>
      <c r="L1417" s="9">
        <f>IFERROR(LOOKUP(2,1/('Weekly Tracker'!$E$2:$E$766=$A1417)/('Weekly Tracker'!$O$2:$O$766&lt;&gt;""),'Weekly Tracker'!$O$2:$O$766),"")</f>
        <v/>
      </c>
    </row>
    <row r="1418">
      <c r="A1418" s="9" t="inlineStr">
        <is>
          <t>Naveen Urja</t>
        </is>
      </c>
      <c r="B1418" s="9" t="inlineStr">
        <is>
          <t>919445747569</t>
        </is>
      </c>
      <c r="C1418" s="9" t="n"/>
      <c r="D1418" s="9" t="n"/>
      <c r="E1418" s="9" t="n"/>
      <c r="F1418" s="9">
        <f>IFERROR(LOOKUP(2,1/('Weekly Tracker'!$E$2:$E$766=$A1418)/('Weekly Tracker'!$F$2:$F$766&lt;&gt;""),'Weekly Tracker'!$F$2:$F$766),"")</f>
        <v/>
      </c>
      <c r="G1418" s="16">
        <f>IF(F1418&lt;&gt;"",LOOKUP(2,1/('Weekly Tracker'!$E$2:$E$766=$A1418)/('Weekly Tracker'!$F$2:$F$766&lt;&gt;""),'Weekly Tracker'!$G$2:$G$766),"")</f>
        <v/>
      </c>
      <c r="H1418" s="9">
        <f>IFERROR(LOOKUP(2,1/('Weekly Tracker'!$E$2:$E$766=$A1418)/('Weekly Tracker'!$H$2:$H$766&lt;&gt;""),'Weekly Tracker'!$H$2:$H$766),"")</f>
        <v/>
      </c>
      <c r="I1418" s="16">
        <f>IF(H1418&lt;&gt;"",LOOKUP(2,1/('Weekly Tracker'!$E$2:$E$766=$A1418)/('Weekly Tracker'!$H$2:$H$766&lt;&gt;""),'Weekly Tracker'!$I$2:$I$766),"")</f>
        <v/>
      </c>
      <c r="J1418" s="9">
        <f>IFERROR(LOOKUP(2,1/('Weekly Tracker'!$E$2:$E$766=$A1418)/('Weekly Tracker'!$J$2:$J$766&lt;&gt;""),'Weekly Tracker'!$J$2:$J$766),"")</f>
        <v/>
      </c>
      <c r="K1418" s="9">
        <f>IFERROR(LOOKUP(2,1/('Weekly Tracker'!$E$2:$E$766=$A1418)/('Weekly Tracker'!$N$2:$N$766&lt;&gt;""),'Weekly Tracker'!$N$2:$N$766),"")</f>
        <v/>
      </c>
      <c r="L1418" s="9">
        <f>IFERROR(LOOKUP(2,1/('Weekly Tracker'!$E$2:$E$766=$A1418)/('Weekly Tracker'!$O$2:$O$766&lt;&gt;""),'Weekly Tracker'!$O$2:$O$766),"")</f>
        <v/>
      </c>
    </row>
    <row r="1419">
      <c r="A1419" s="9" t="inlineStr">
        <is>
          <t>Mahesh Kumar FB</t>
        </is>
      </c>
      <c r="B1419" s="9" t="inlineStr">
        <is>
          <t>9500261723</t>
        </is>
      </c>
      <c r="C1419" s="9" t="n"/>
      <c r="D1419" s="9" t="n"/>
      <c r="E1419" s="9" t="n"/>
      <c r="F1419" s="9">
        <f>IFERROR(LOOKUP(2,1/('Weekly Tracker'!$E$2:$E$766=$A1419)/('Weekly Tracker'!$F$2:$F$766&lt;&gt;""),'Weekly Tracker'!$F$2:$F$766),"")</f>
        <v/>
      </c>
      <c r="G1419" s="16">
        <f>IF(F1419&lt;&gt;"",LOOKUP(2,1/('Weekly Tracker'!$E$2:$E$766=$A1419)/('Weekly Tracker'!$F$2:$F$766&lt;&gt;""),'Weekly Tracker'!$G$2:$G$766),"")</f>
        <v/>
      </c>
      <c r="H1419" s="9">
        <f>IFERROR(LOOKUP(2,1/('Weekly Tracker'!$E$2:$E$766=$A1419)/('Weekly Tracker'!$H$2:$H$766&lt;&gt;""),'Weekly Tracker'!$H$2:$H$766),"")</f>
        <v/>
      </c>
      <c r="I1419" s="16">
        <f>IF(H1419&lt;&gt;"",LOOKUP(2,1/('Weekly Tracker'!$E$2:$E$766=$A1419)/('Weekly Tracker'!$H$2:$H$766&lt;&gt;""),'Weekly Tracker'!$I$2:$I$766),"")</f>
        <v/>
      </c>
      <c r="J1419" s="9">
        <f>IFERROR(LOOKUP(2,1/('Weekly Tracker'!$E$2:$E$766=$A1419)/('Weekly Tracker'!$J$2:$J$766&lt;&gt;""),'Weekly Tracker'!$J$2:$J$766),"")</f>
        <v/>
      </c>
      <c r="K1419" s="9">
        <f>IFERROR(LOOKUP(2,1/('Weekly Tracker'!$E$2:$E$766=$A1419)/('Weekly Tracker'!$N$2:$N$766&lt;&gt;""),'Weekly Tracker'!$N$2:$N$766),"")</f>
        <v/>
      </c>
      <c r="L1419" s="9">
        <f>IFERROR(LOOKUP(2,1/('Weekly Tracker'!$E$2:$E$766=$A1419)/('Weekly Tracker'!$O$2:$O$766&lt;&gt;""),'Weekly Tracker'!$O$2:$O$766),"")</f>
        <v/>
      </c>
    </row>
    <row r="1420">
      <c r="A1420" s="9" t="inlineStr">
        <is>
          <t>Karthick Palani BW</t>
        </is>
      </c>
      <c r="B1420" s="9" t="inlineStr">
        <is>
          <t>919952588723</t>
        </is>
      </c>
      <c r="C1420" s="9" t="n"/>
      <c r="D1420" s="9" t="n"/>
      <c r="E1420" s="9" t="n"/>
      <c r="F1420" s="9">
        <f>IFERROR(LOOKUP(2,1/('Weekly Tracker'!$E$2:$E$766=$A1420)/('Weekly Tracker'!$F$2:$F$766&lt;&gt;""),'Weekly Tracker'!$F$2:$F$766),"")</f>
        <v/>
      </c>
      <c r="G1420" s="16">
        <f>IF(F1420&lt;&gt;"",LOOKUP(2,1/('Weekly Tracker'!$E$2:$E$766=$A1420)/('Weekly Tracker'!$F$2:$F$766&lt;&gt;""),'Weekly Tracker'!$G$2:$G$766),"")</f>
        <v/>
      </c>
      <c r="H1420" s="9">
        <f>IFERROR(LOOKUP(2,1/('Weekly Tracker'!$E$2:$E$766=$A1420)/('Weekly Tracker'!$H$2:$H$766&lt;&gt;""),'Weekly Tracker'!$H$2:$H$766),"")</f>
        <v/>
      </c>
      <c r="I1420" s="16">
        <f>IF(H1420&lt;&gt;"",LOOKUP(2,1/('Weekly Tracker'!$E$2:$E$766=$A1420)/('Weekly Tracker'!$H$2:$H$766&lt;&gt;""),'Weekly Tracker'!$I$2:$I$766),"")</f>
        <v/>
      </c>
      <c r="J1420" s="9">
        <f>IFERROR(LOOKUP(2,1/('Weekly Tracker'!$E$2:$E$766=$A1420)/('Weekly Tracker'!$J$2:$J$766&lt;&gt;""),'Weekly Tracker'!$J$2:$J$766),"")</f>
        <v/>
      </c>
      <c r="K1420" s="9">
        <f>IFERROR(LOOKUP(2,1/('Weekly Tracker'!$E$2:$E$766=$A1420)/('Weekly Tracker'!$N$2:$N$766&lt;&gt;""),'Weekly Tracker'!$N$2:$N$766),"")</f>
        <v/>
      </c>
      <c r="L1420" s="9">
        <f>IFERROR(LOOKUP(2,1/('Weekly Tracker'!$E$2:$E$766=$A1420)/('Weekly Tracker'!$O$2:$O$766&lt;&gt;""),'Weekly Tracker'!$O$2:$O$766),"")</f>
        <v/>
      </c>
    </row>
    <row r="1421">
      <c r="A1421" s="9" t="inlineStr">
        <is>
          <t>Manikandan Ifco</t>
        </is>
      </c>
      <c r="B1421" s="9" t="inlineStr">
        <is>
          <t>919790764249</t>
        </is>
      </c>
      <c r="C1421" s="9" t="n"/>
      <c r="D1421" s="9" t="n"/>
      <c r="E1421" s="9" t="n"/>
      <c r="F1421" s="9">
        <f>IFERROR(LOOKUP(2,1/('Weekly Tracker'!$E$2:$E$766=$A1421)/('Weekly Tracker'!$F$2:$F$766&lt;&gt;""),'Weekly Tracker'!$F$2:$F$766),"")</f>
        <v/>
      </c>
      <c r="G1421" s="16">
        <f>IF(F1421&lt;&gt;"",LOOKUP(2,1/('Weekly Tracker'!$E$2:$E$766=$A1421)/('Weekly Tracker'!$F$2:$F$766&lt;&gt;""),'Weekly Tracker'!$G$2:$G$766),"")</f>
        <v/>
      </c>
      <c r="H1421" s="9">
        <f>IFERROR(LOOKUP(2,1/('Weekly Tracker'!$E$2:$E$766=$A1421)/('Weekly Tracker'!$H$2:$H$766&lt;&gt;""),'Weekly Tracker'!$H$2:$H$766),"")</f>
        <v/>
      </c>
      <c r="I1421" s="16">
        <f>IF(H1421&lt;&gt;"",LOOKUP(2,1/('Weekly Tracker'!$E$2:$E$766=$A1421)/('Weekly Tracker'!$H$2:$H$766&lt;&gt;""),'Weekly Tracker'!$I$2:$I$766),"")</f>
        <v/>
      </c>
      <c r="J1421" s="9">
        <f>IFERROR(LOOKUP(2,1/('Weekly Tracker'!$E$2:$E$766=$A1421)/('Weekly Tracker'!$J$2:$J$766&lt;&gt;""),'Weekly Tracker'!$J$2:$J$766),"")</f>
        <v/>
      </c>
      <c r="K1421" s="9">
        <f>IFERROR(LOOKUP(2,1/('Weekly Tracker'!$E$2:$E$766=$A1421)/('Weekly Tracker'!$N$2:$N$766&lt;&gt;""),'Weekly Tracker'!$N$2:$N$766),"")</f>
        <v/>
      </c>
      <c r="L1421" s="9">
        <f>IFERROR(LOOKUP(2,1/('Weekly Tracker'!$E$2:$E$766=$A1421)/('Weekly Tracker'!$O$2:$O$766&lt;&gt;""),'Weekly Tracker'!$O$2:$O$766),"")</f>
        <v/>
      </c>
    </row>
    <row r="1422">
      <c r="A1422" s="9" t="inlineStr">
        <is>
          <t>Akka Vodafone</t>
        </is>
      </c>
      <c r="B1422" s="9" t="inlineStr">
        <is>
          <t>919176602728</t>
        </is>
      </c>
      <c r="C1422" s="9" t="n"/>
      <c r="D1422" s="9" t="n"/>
      <c r="E1422" s="9" t="n"/>
      <c r="F1422" s="9">
        <f>IFERROR(LOOKUP(2,1/('Weekly Tracker'!$E$2:$E$766=$A1422)/('Weekly Tracker'!$F$2:$F$766&lt;&gt;""),'Weekly Tracker'!$F$2:$F$766),"")</f>
        <v/>
      </c>
      <c r="G1422" s="16">
        <f>IF(F1422&lt;&gt;"",LOOKUP(2,1/('Weekly Tracker'!$E$2:$E$766=$A1422)/('Weekly Tracker'!$F$2:$F$766&lt;&gt;""),'Weekly Tracker'!$G$2:$G$766),"")</f>
        <v/>
      </c>
      <c r="H1422" s="9">
        <f>IFERROR(LOOKUP(2,1/('Weekly Tracker'!$E$2:$E$766=$A1422)/('Weekly Tracker'!$H$2:$H$766&lt;&gt;""),'Weekly Tracker'!$H$2:$H$766),"")</f>
        <v/>
      </c>
      <c r="I1422" s="16">
        <f>IF(H1422&lt;&gt;"",LOOKUP(2,1/('Weekly Tracker'!$E$2:$E$766=$A1422)/('Weekly Tracker'!$H$2:$H$766&lt;&gt;""),'Weekly Tracker'!$I$2:$I$766),"")</f>
        <v/>
      </c>
      <c r="J1422" s="9">
        <f>IFERROR(LOOKUP(2,1/('Weekly Tracker'!$E$2:$E$766=$A1422)/('Weekly Tracker'!$J$2:$J$766&lt;&gt;""),'Weekly Tracker'!$J$2:$J$766),"")</f>
        <v/>
      </c>
      <c r="K1422" s="9">
        <f>IFERROR(LOOKUP(2,1/('Weekly Tracker'!$E$2:$E$766=$A1422)/('Weekly Tracker'!$N$2:$N$766&lt;&gt;""),'Weekly Tracker'!$N$2:$N$766),"")</f>
        <v/>
      </c>
      <c r="L1422" s="9">
        <f>IFERROR(LOOKUP(2,1/('Weekly Tracker'!$E$2:$E$766=$A1422)/('Weekly Tracker'!$O$2:$O$766&lt;&gt;""),'Weekly Tracker'!$O$2:$O$766),"")</f>
        <v/>
      </c>
    </row>
    <row r="1423">
      <c r="A1423" s="9" t="inlineStr">
        <is>
          <t>Joel Johnson Insta</t>
        </is>
      </c>
      <c r="B1423" s="9" t="inlineStr">
        <is>
          <t>917702504717</t>
        </is>
      </c>
      <c r="C1423" s="9" t="n"/>
      <c r="D1423" s="9" t="n"/>
      <c r="E1423" s="9" t="n"/>
      <c r="F1423" s="9">
        <f>IFERROR(LOOKUP(2,1/('Weekly Tracker'!$E$2:$E$766=$A1423)/('Weekly Tracker'!$F$2:$F$766&lt;&gt;""),'Weekly Tracker'!$F$2:$F$766),"")</f>
        <v/>
      </c>
      <c r="G1423" s="16">
        <f>IF(F1423&lt;&gt;"",LOOKUP(2,1/('Weekly Tracker'!$E$2:$E$766=$A1423)/('Weekly Tracker'!$F$2:$F$766&lt;&gt;""),'Weekly Tracker'!$G$2:$G$766),"")</f>
        <v/>
      </c>
      <c r="H1423" s="9">
        <f>IFERROR(LOOKUP(2,1/('Weekly Tracker'!$E$2:$E$766=$A1423)/('Weekly Tracker'!$H$2:$H$766&lt;&gt;""),'Weekly Tracker'!$H$2:$H$766),"")</f>
        <v/>
      </c>
      <c r="I1423" s="16">
        <f>IF(H1423&lt;&gt;"",LOOKUP(2,1/('Weekly Tracker'!$E$2:$E$766=$A1423)/('Weekly Tracker'!$H$2:$H$766&lt;&gt;""),'Weekly Tracker'!$I$2:$I$766),"")</f>
        <v/>
      </c>
      <c r="J1423" s="9">
        <f>IFERROR(LOOKUP(2,1/('Weekly Tracker'!$E$2:$E$766=$A1423)/('Weekly Tracker'!$J$2:$J$766&lt;&gt;""),'Weekly Tracker'!$J$2:$J$766),"")</f>
        <v/>
      </c>
      <c r="K1423" s="9">
        <f>IFERROR(LOOKUP(2,1/('Weekly Tracker'!$E$2:$E$766=$A1423)/('Weekly Tracker'!$N$2:$N$766&lt;&gt;""),'Weekly Tracker'!$N$2:$N$766),"")</f>
        <v/>
      </c>
      <c r="L1423" s="9">
        <f>IFERROR(LOOKUP(2,1/('Weekly Tracker'!$E$2:$E$766=$A1423)/('Weekly Tracker'!$O$2:$O$766&lt;&gt;""),'Weekly Tracker'!$O$2:$O$766),"")</f>
        <v/>
      </c>
    </row>
    <row r="1424">
      <c r="A1424" s="9" t="inlineStr">
        <is>
          <t>KG Prasath FB</t>
        </is>
      </c>
      <c r="B1424" s="9" t="inlineStr">
        <is>
          <t>918610024815, 917373503911</t>
        </is>
      </c>
      <c r="C1424" s="9" t="n"/>
      <c r="D1424" s="9" t="n"/>
      <c r="E1424" s="9" t="n"/>
      <c r="F1424" s="9">
        <f>IFERROR(LOOKUP(2,1/('Weekly Tracker'!$E$2:$E$766=$A1424)/('Weekly Tracker'!$F$2:$F$766&lt;&gt;""),'Weekly Tracker'!$F$2:$F$766),"")</f>
        <v/>
      </c>
      <c r="G1424" s="16">
        <f>IF(F1424&lt;&gt;"",LOOKUP(2,1/('Weekly Tracker'!$E$2:$E$766=$A1424)/('Weekly Tracker'!$F$2:$F$766&lt;&gt;""),'Weekly Tracker'!$G$2:$G$766),"")</f>
        <v/>
      </c>
      <c r="H1424" s="9">
        <f>IFERROR(LOOKUP(2,1/('Weekly Tracker'!$E$2:$E$766=$A1424)/('Weekly Tracker'!$H$2:$H$766&lt;&gt;""),'Weekly Tracker'!$H$2:$H$766),"")</f>
        <v/>
      </c>
      <c r="I1424" s="16">
        <f>IF(H1424&lt;&gt;"",LOOKUP(2,1/('Weekly Tracker'!$E$2:$E$766=$A1424)/('Weekly Tracker'!$H$2:$H$766&lt;&gt;""),'Weekly Tracker'!$I$2:$I$766),"")</f>
        <v/>
      </c>
      <c r="J1424" s="9">
        <f>IFERROR(LOOKUP(2,1/('Weekly Tracker'!$E$2:$E$766=$A1424)/('Weekly Tracker'!$J$2:$J$766&lt;&gt;""),'Weekly Tracker'!$J$2:$J$766),"")</f>
        <v/>
      </c>
      <c r="K1424" s="9">
        <f>IFERROR(LOOKUP(2,1/('Weekly Tracker'!$E$2:$E$766=$A1424)/('Weekly Tracker'!$N$2:$N$766&lt;&gt;""),'Weekly Tracker'!$N$2:$N$766),"")</f>
        <v/>
      </c>
      <c r="L1424" s="9">
        <f>IFERROR(LOOKUP(2,1/('Weekly Tracker'!$E$2:$E$766=$A1424)/('Weekly Tracker'!$O$2:$O$766&lt;&gt;""),'Weekly Tracker'!$O$2:$O$766),"")</f>
        <v/>
      </c>
    </row>
    <row r="1425">
      <c r="A1425" s="9" t="inlineStr">
        <is>
          <t>Puzhalvanan Junior</t>
        </is>
      </c>
      <c r="B1425" s="9" t="inlineStr">
        <is>
          <t>917010234239, +91 85088 76963</t>
        </is>
      </c>
      <c r="C1425" s="9" t="n"/>
      <c r="D1425" s="9" t="n"/>
      <c r="E1425" s="9" t="n"/>
      <c r="F1425" s="9">
        <f>IFERROR(LOOKUP(2,1/('Weekly Tracker'!$E$2:$E$766=$A1425)/('Weekly Tracker'!$F$2:$F$766&lt;&gt;""),'Weekly Tracker'!$F$2:$F$766),"")</f>
        <v/>
      </c>
      <c r="G1425" s="16">
        <f>IF(F1425&lt;&gt;"",LOOKUP(2,1/('Weekly Tracker'!$E$2:$E$766=$A1425)/('Weekly Tracker'!$F$2:$F$766&lt;&gt;""),'Weekly Tracker'!$G$2:$G$766),"")</f>
        <v/>
      </c>
      <c r="H1425" s="9">
        <f>IFERROR(LOOKUP(2,1/('Weekly Tracker'!$E$2:$E$766=$A1425)/('Weekly Tracker'!$H$2:$H$766&lt;&gt;""),'Weekly Tracker'!$H$2:$H$766),"")</f>
        <v/>
      </c>
      <c r="I1425" s="16">
        <f>IF(H1425&lt;&gt;"",LOOKUP(2,1/('Weekly Tracker'!$E$2:$E$766=$A1425)/('Weekly Tracker'!$H$2:$H$766&lt;&gt;""),'Weekly Tracker'!$I$2:$I$766),"")</f>
        <v/>
      </c>
      <c r="J1425" s="9">
        <f>IFERROR(LOOKUP(2,1/('Weekly Tracker'!$E$2:$E$766=$A1425)/('Weekly Tracker'!$J$2:$J$766&lt;&gt;""),'Weekly Tracker'!$J$2:$J$766),"")</f>
        <v/>
      </c>
      <c r="K1425" s="9">
        <f>IFERROR(LOOKUP(2,1/('Weekly Tracker'!$E$2:$E$766=$A1425)/('Weekly Tracker'!$N$2:$N$766&lt;&gt;""),'Weekly Tracker'!$N$2:$N$766),"")</f>
        <v/>
      </c>
      <c r="L1425" s="9">
        <f>IFERROR(LOOKUP(2,1/('Weekly Tracker'!$E$2:$E$766=$A1425)/('Weekly Tracker'!$O$2:$O$766&lt;&gt;""),'Weekly Tracker'!$O$2:$O$766),"")</f>
        <v/>
      </c>
    </row>
    <row r="1426">
      <c r="A1426" s="9" t="inlineStr">
        <is>
          <t>Tamilselvan Ramanathan FB</t>
        </is>
      </c>
      <c r="B1426" s="9" t="inlineStr">
        <is>
          <t>9677496468</t>
        </is>
      </c>
      <c r="C1426" s="9" t="n"/>
      <c r="D1426" s="9" t="n"/>
      <c r="E1426" s="9" t="n"/>
      <c r="F1426" s="9">
        <f>IFERROR(LOOKUP(2,1/('Weekly Tracker'!$E$2:$E$766=$A1426)/('Weekly Tracker'!$F$2:$F$766&lt;&gt;""),'Weekly Tracker'!$F$2:$F$766),"")</f>
        <v/>
      </c>
      <c r="G1426" s="16">
        <f>IF(F1426&lt;&gt;"",LOOKUP(2,1/('Weekly Tracker'!$E$2:$E$766=$A1426)/('Weekly Tracker'!$F$2:$F$766&lt;&gt;""),'Weekly Tracker'!$G$2:$G$766),"")</f>
        <v/>
      </c>
      <c r="H1426" s="9">
        <f>IFERROR(LOOKUP(2,1/('Weekly Tracker'!$E$2:$E$766=$A1426)/('Weekly Tracker'!$H$2:$H$766&lt;&gt;""),'Weekly Tracker'!$H$2:$H$766),"")</f>
        <v/>
      </c>
      <c r="I1426" s="16">
        <f>IF(H1426&lt;&gt;"",LOOKUP(2,1/('Weekly Tracker'!$E$2:$E$766=$A1426)/('Weekly Tracker'!$H$2:$H$766&lt;&gt;""),'Weekly Tracker'!$I$2:$I$766),"")</f>
        <v/>
      </c>
      <c r="J1426" s="9">
        <f>IFERROR(LOOKUP(2,1/('Weekly Tracker'!$E$2:$E$766=$A1426)/('Weekly Tracker'!$J$2:$J$766&lt;&gt;""),'Weekly Tracker'!$J$2:$J$766),"")</f>
        <v/>
      </c>
      <c r="K1426" s="9">
        <f>IFERROR(LOOKUP(2,1/('Weekly Tracker'!$E$2:$E$766=$A1426)/('Weekly Tracker'!$N$2:$N$766&lt;&gt;""),'Weekly Tracker'!$N$2:$N$766),"")</f>
        <v/>
      </c>
      <c r="L1426" s="9">
        <f>IFERROR(LOOKUP(2,1/('Weekly Tracker'!$E$2:$E$766=$A1426)/('Weekly Tracker'!$O$2:$O$766&lt;&gt;""),'Weekly Tracker'!$O$2:$O$766),"")</f>
        <v/>
      </c>
    </row>
    <row r="1427">
      <c r="A1427" s="9" t="inlineStr">
        <is>
          <t>Essakiraja FB</t>
        </is>
      </c>
      <c r="B1427" s="9" t="inlineStr">
        <is>
          <t>8300968508</t>
        </is>
      </c>
      <c r="C1427" s="9" t="n"/>
      <c r="D1427" s="9" t="n"/>
      <c r="E1427" s="9" t="n"/>
      <c r="F1427" s="9">
        <f>IFERROR(LOOKUP(2,1/('Weekly Tracker'!$E$2:$E$766=$A1427)/('Weekly Tracker'!$F$2:$F$766&lt;&gt;""),'Weekly Tracker'!$F$2:$F$766),"")</f>
        <v/>
      </c>
      <c r="G1427" s="16">
        <f>IF(F1427&lt;&gt;"",LOOKUP(2,1/('Weekly Tracker'!$E$2:$E$766=$A1427)/('Weekly Tracker'!$F$2:$F$766&lt;&gt;""),'Weekly Tracker'!$G$2:$G$766),"")</f>
        <v/>
      </c>
      <c r="H1427" s="9">
        <f>IFERROR(LOOKUP(2,1/('Weekly Tracker'!$E$2:$E$766=$A1427)/('Weekly Tracker'!$H$2:$H$766&lt;&gt;""),'Weekly Tracker'!$H$2:$H$766),"")</f>
        <v/>
      </c>
      <c r="I1427" s="16">
        <f>IF(H1427&lt;&gt;"",LOOKUP(2,1/('Weekly Tracker'!$E$2:$E$766=$A1427)/('Weekly Tracker'!$H$2:$H$766&lt;&gt;""),'Weekly Tracker'!$I$2:$I$766),"")</f>
        <v/>
      </c>
      <c r="J1427" s="9">
        <f>IFERROR(LOOKUP(2,1/('Weekly Tracker'!$E$2:$E$766=$A1427)/('Weekly Tracker'!$J$2:$J$766&lt;&gt;""),'Weekly Tracker'!$J$2:$J$766),"")</f>
        <v/>
      </c>
      <c r="K1427" s="9">
        <f>IFERROR(LOOKUP(2,1/('Weekly Tracker'!$E$2:$E$766=$A1427)/('Weekly Tracker'!$N$2:$N$766&lt;&gt;""),'Weekly Tracker'!$N$2:$N$766),"")</f>
        <v/>
      </c>
      <c r="L1427" s="9">
        <f>IFERROR(LOOKUP(2,1/('Weekly Tracker'!$E$2:$E$766=$A1427)/('Weekly Tracker'!$O$2:$O$766&lt;&gt;""),'Weekly Tracker'!$O$2:$O$766),"")</f>
        <v/>
      </c>
    </row>
    <row r="1428">
      <c r="A1428" s="9" t="inlineStr">
        <is>
          <t>Vivekanandan FB</t>
        </is>
      </c>
      <c r="B1428" s="9" t="inlineStr">
        <is>
          <t>8489359234</t>
        </is>
      </c>
      <c r="C1428" s="9" t="n"/>
      <c r="D1428" s="9" t="n"/>
      <c r="E1428" s="9" t="n"/>
      <c r="F1428" s="9">
        <f>IFERROR(LOOKUP(2,1/('Weekly Tracker'!$E$2:$E$766=$A1428)/('Weekly Tracker'!$F$2:$F$766&lt;&gt;""),'Weekly Tracker'!$F$2:$F$766),"")</f>
        <v/>
      </c>
      <c r="G1428" s="16">
        <f>IF(F1428&lt;&gt;"",LOOKUP(2,1/('Weekly Tracker'!$E$2:$E$766=$A1428)/('Weekly Tracker'!$F$2:$F$766&lt;&gt;""),'Weekly Tracker'!$G$2:$G$766),"")</f>
        <v/>
      </c>
      <c r="H1428" s="9">
        <f>IFERROR(LOOKUP(2,1/('Weekly Tracker'!$E$2:$E$766=$A1428)/('Weekly Tracker'!$H$2:$H$766&lt;&gt;""),'Weekly Tracker'!$H$2:$H$766),"")</f>
        <v/>
      </c>
      <c r="I1428" s="16">
        <f>IF(H1428&lt;&gt;"",LOOKUP(2,1/('Weekly Tracker'!$E$2:$E$766=$A1428)/('Weekly Tracker'!$H$2:$H$766&lt;&gt;""),'Weekly Tracker'!$I$2:$I$766),"")</f>
        <v/>
      </c>
      <c r="J1428" s="9">
        <f>IFERROR(LOOKUP(2,1/('Weekly Tracker'!$E$2:$E$766=$A1428)/('Weekly Tracker'!$J$2:$J$766&lt;&gt;""),'Weekly Tracker'!$J$2:$J$766),"")</f>
        <v/>
      </c>
      <c r="K1428" s="9">
        <f>IFERROR(LOOKUP(2,1/('Weekly Tracker'!$E$2:$E$766=$A1428)/('Weekly Tracker'!$N$2:$N$766&lt;&gt;""),'Weekly Tracker'!$N$2:$N$766),"")</f>
        <v/>
      </c>
      <c r="L1428" s="9">
        <f>IFERROR(LOOKUP(2,1/('Weekly Tracker'!$E$2:$E$766=$A1428)/('Weekly Tracker'!$O$2:$O$766&lt;&gt;""),'Weekly Tracker'!$O$2:$O$766),"")</f>
        <v/>
      </c>
    </row>
    <row r="1429">
      <c r="A1429" s="9" t="inlineStr">
        <is>
          <t>B DuraiRaj Bofili</t>
        </is>
      </c>
      <c r="B1429" s="9" t="inlineStr">
        <is>
          <t>9952911854</t>
        </is>
      </c>
      <c r="C1429" s="9" t="n"/>
      <c r="D1429" s="9" t="n"/>
      <c r="E1429" s="9" t="n"/>
      <c r="F1429" s="9">
        <f>IFERROR(LOOKUP(2,1/('Weekly Tracker'!$E$2:$E$766=$A1429)/('Weekly Tracker'!$F$2:$F$766&lt;&gt;""),'Weekly Tracker'!$F$2:$F$766),"")</f>
        <v/>
      </c>
      <c r="G1429" s="16">
        <f>IF(F1429&lt;&gt;"",LOOKUP(2,1/('Weekly Tracker'!$E$2:$E$766=$A1429)/('Weekly Tracker'!$F$2:$F$766&lt;&gt;""),'Weekly Tracker'!$G$2:$G$766),"")</f>
        <v/>
      </c>
      <c r="H1429" s="9">
        <f>IFERROR(LOOKUP(2,1/('Weekly Tracker'!$E$2:$E$766=$A1429)/('Weekly Tracker'!$H$2:$H$766&lt;&gt;""),'Weekly Tracker'!$H$2:$H$766),"")</f>
        <v/>
      </c>
      <c r="I1429" s="16">
        <f>IF(H1429&lt;&gt;"",LOOKUP(2,1/('Weekly Tracker'!$E$2:$E$766=$A1429)/('Weekly Tracker'!$H$2:$H$766&lt;&gt;""),'Weekly Tracker'!$I$2:$I$766),"")</f>
        <v/>
      </c>
      <c r="J1429" s="9">
        <f>IFERROR(LOOKUP(2,1/('Weekly Tracker'!$E$2:$E$766=$A1429)/('Weekly Tracker'!$J$2:$J$766&lt;&gt;""),'Weekly Tracker'!$J$2:$J$766),"")</f>
        <v/>
      </c>
      <c r="K1429" s="9">
        <f>IFERROR(LOOKUP(2,1/('Weekly Tracker'!$E$2:$E$766=$A1429)/('Weekly Tracker'!$N$2:$N$766&lt;&gt;""),'Weekly Tracker'!$N$2:$N$766),"")</f>
        <v/>
      </c>
      <c r="L1429" s="9">
        <f>IFERROR(LOOKUP(2,1/('Weekly Tracker'!$E$2:$E$766=$A1429)/('Weekly Tracker'!$O$2:$O$766&lt;&gt;""),'Weekly Tracker'!$O$2:$O$766),"")</f>
        <v/>
      </c>
    </row>
    <row r="1430">
      <c r="A1430" s="9" t="inlineStr">
        <is>
          <t>Jeya Kumar Amirtha Praksh</t>
        </is>
      </c>
      <c r="B1430" s="9" t="inlineStr">
        <is>
          <t>8925034376</t>
        </is>
      </c>
      <c r="C1430" s="9" t="n"/>
      <c r="D1430" s="9" t="n"/>
      <c r="E1430" s="9" t="n"/>
      <c r="F1430" s="9">
        <f>IFERROR(LOOKUP(2,1/('Weekly Tracker'!$E$2:$E$766=$A1430)/('Weekly Tracker'!$F$2:$F$766&lt;&gt;""),'Weekly Tracker'!$F$2:$F$766),"")</f>
        <v/>
      </c>
      <c r="G1430" s="16">
        <f>IF(F1430&lt;&gt;"",LOOKUP(2,1/('Weekly Tracker'!$E$2:$E$766=$A1430)/('Weekly Tracker'!$F$2:$F$766&lt;&gt;""),'Weekly Tracker'!$G$2:$G$766),"")</f>
        <v/>
      </c>
      <c r="H1430" s="9">
        <f>IFERROR(LOOKUP(2,1/('Weekly Tracker'!$E$2:$E$766=$A1430)/('Weekly Tracker'!$H$2:$H$766&lt;&gt;""),'Weekly Tracker'!$H$2:$H$766),"")</f>
        <v/>
      </c>
      <c r="I1430" s="16">
        <f>IF(H1430&lt;&gt;"",LOOKUP(2,1/('Weekly Tracker'!$E$2:$E$766=$A1430)/('Weekly Tracker'!$H$2:$H$766&lt;&gt;""),'Weekly Tracker'!$I$2:$I$766),"")</f>
        <v/>
      </c>
      <c r="J1430" s="9">
        <f>IFERROR(LOOKUP(2,1/('Weekly Tracker'!$E$2:$E$766=$A1430)/('Weekly Tracker'!$J$2:$J$766&lt;&gt;""),'Weekly Tracker'!$J$2:$J$766),"")</f>
        <v/>
      </c>
      <c r="K1430" s="9">
        <f>IFERROR(LOOKUP(2,1/('Weekly Tracker'!$E$2:$E$766=$A1430)/('Weekly Tracker'!$N$2:$N$766&lt;&gt;""),'Weekly Tracker'!$N$2:$N$766),"")</f>
        <v/>
      </c>
      <c r="L1430" s="9">
        <f>IFERROR(LOOKUP(2,1/('Weekly Tracker'!$E$2:$E$766=$A1430)/('Weekly Tracker'!$O$2:$O$766&lt;&gt;""),'Weekly Tracker'!$O$2:$O$766),"")</f>
        <v/>
      </c>
    </row>
    <row r="1431">
      <c r="A1431" s="9" t="inlineStr">
        <is>
          <t>Gautham Karthick FB</t>
        </is>
      </c>
      <c r="B1431" s="9" t="inlineStr">
        <is>
          <t>919597818495</t>
        </is>
      </c>
      <c r="C1431" s="9" t="n"/>
      <c r="D1431" s="9" t="n"/>
      <c r="E1431" s="9" t="n"/>
      <c r="F1431" s="9">
        <f>IFERROR(LOOKUP(2,1/('Weekly Tracker'!$E$2:$E$766=$A1431)/('Weekly Tracker'!$F$2:$F$766&lt;&gt;""),'Weekly Tracker'!$F$2:$F$766),"")</f>
        <v/>
      </c>
      <c r="G1431" s="16">
        <f>IF(F1431&lt;&gt;"",LOOKUP(2,1/('Weekly Tracker'!$E$2:$E$766=$A1431)/('Weekly Tracker'!$F$2:$F$766&lt;&gt;""),'Weekly Tracker'!$G$2:$G$766),"")</f>
        <v/>
      </c>
      <c r="H1431" s="9">
        <f>IFERROR(LOOKUP(2,1/('Weekly Tracker'!$E$2:$E$766=$A1431)/('Weekly Tracker'!$H$2:$H$766&lt;&gt;""),'Weekly Tracker'!$H$2:$H$766),"")</f>
        <v/>
      </c>
      <c r="I1431" s="16">
        <f>IF(H1431&lt;&gt;"",LOOKUP(2,1/('Weekly Tracker'!$E$2:$E$766=$A1431)/('Weekly Tracker'!$H$2:$H$766&lt;&gt;""),'Weekly Tracker'!$I$2:$I$766),"")</f>
        <v/>
      </c>
      <c r="J1431" s="9">
        <f>IFERROR(LOOKUP(2,1/('Weekly Tracker'!$E$2:$E$766=$A1431)/('Weekly Tracker'!$J$2:$J$766&lt;&gt;""),'Weekly Tracker'!$J$2:$J$766),"")</f>
        <v/>
      </c>
      <c r="K1431" s="9">
        <f>IFERROR(LOOKUP(2,1/('Weekly Tracker'!$E$2:$E$766=$A1431)/('Weekly Tracker'!$N$2:$N$766&lt;&gt;""),'Weekly Tracker'!$N$2:$N$766),"")</f>
        <v/>
      </c>
      <c r="L1431" s="9">
        <f>IFERROR(LOOKUP(2,1/('Weekly Tracker'!$E$2:$E$766=$A1431)/('Weekly Tracker'!$O$2:$O$766&lt;&gt;""),'Weekly Tracker'!$O$2:$O$766),"")</f>
        <v/>
      </c>
    </row>
    <row r="1432">
      <c r="A1432" s="9" t="inlineStr">
        <is>
          <t>Mohammad Rimzan HCL</t>
        </is>
      </c>
      <c r="B1432" s="9" t="inlineStr">
        <is>
          <t>94756512881</t>
        </is>
      </c>
      <c r="C1432" s="9" t="n"/>
      <c r="D1432" s="9" t="n"/>
      <c r="E1432" s="9" t="n"/>
      <c r="F1432" s="9">
        <f>IFERROR(LOOKUP(2,1/('Weekly Tracker'!$E$2:$E$766=$A1432)/('Weekly Tracker'!$F$2:$F$766&lt;&gt;""),'Weekly Tracker'!$F$2:$F$766),"")</f>
        <v/>
      </c>
      <c r="G1432" s="16">
        <f>IF(F1432&lt;&gt;"",LOOKUP(2,1/('Weekly Tracker'!$E$2:$E$766=$A1432)/('Weekly Tracker'!$F$2:$F$766&lt;&gt;""),'Weekly Tracker'!$G$2:$G$766),"")</f>
        <v/>
      </c>
      <c r="H1432" s="9">
        <f>IFERROR(LOOKUP(2,1/('Weekly Tracker'!$E$2:$E$766=$A1432)/('Weekly Tracker'!$H$2:$H$766&lt;&gt;""),'Weekly Tracker'!$H$2:$H$766),"")</f>
        <v/>
      </c>
      <c r="I1432" s="16">
        <f>IF(H1432&lt;&gt;"",LOOKUP(2,1/('Weekly Tracker'!$E$2:$E$766=$A1432)/('Weekly Tracker'!$H$2:$H$766&lt;&gt;""),'Weekly Tracker'!$I$2:$I$766),"")</f>
        <v/>
      </c>
      <c r="J1432" s="9">
        <f>IFERROR(LOOKUP(2,1/('Weekly Tracker'!$E$2:$E$766=$A1432)/('Weekly Tracker'!$J$2:$J$766&lt;&gt;""),'Weekly Tracker'!$J$2:$J$766),"")</f>
        <v/>
      </c>
      <c r="K1432" s="9">
        <f>IFERROR(LOOKUP(2,1/('Weekly Tracker'!$E$2:$E$766=$A1432)/('Weekly Tracker'!$N$2:$N$766&lt;&gt;""),'Weekly Tracker'!$N$2:$N$766),"")</f>
        <v/>
      </c>
      <c r="L1432" s="9">
        <f>IFERROR(LOOKUP(2,1/('Weekly Tracker'!$E$2:$E$766=$A1432)/('Weekly Tracker'!$O$2:$O$766&lt;&gt;""),'Weekly Tracker'!$O$2:$O$766),"")</f>
        <v/>
      </c>
    </row>
    <row r="1433">
      <c r="A1433" s="9" t="inlineStr">
        <is>
          <t>Sneha jeni Ucen Grp</t>
        </is>
      </c>
      <c r="B1433" s="9" t="inlineStr">
        <is>
          <t>919790221947</t>
        </is>
      </c>
      <c r="C1433" s="9" t="n"/>
      <c r="D1433" s="9" t="n"/>
      <c r="E1433" s="9" t="n"/>
      <c r="F1433" s="9">
        <f>IFERROR(LOOKUP(2,1/('Weekly Tracker'!$E$2:$E$766=$A1433)/('Weekly Tracker'!$F$2:$F$766&lt;&gt;""),'Weekly Tracker'!$F$2:$F$766),"")</f>
        <v/>
      </c>
      <c r="G1433" s="16">
        <f>IF(F1433&lt;&gt;"",LOOKUP(2,1/('Weekly Tracker'!$E$2:$E$766=$A1433)/('Weekly Tracker'!$F$2:$F$766&lt;&gt;""),'Weekly Tracker'!$G$2:$G$766),"")</f>
        <v/>
      </c>
      <c r="H1433" s="9">
        <f>IFERROR(LOOKUP(2,1/('Weekly Tracker'!$E$2:$E$766=$A1433)/('Weekly Tracker'!$H$2:$H$766&lt;&gt;""),'Weekly Tracker'!$H$2:$H$766),"")</f>
        <v/>
      </c>
      <c r="I1433" s="16">
        <f>IF(H1433&lt;&gt;"",LOOKUP(2,1/('Weekly Tracker'!$E$2:$E$766=$A1433)/('Weekly Tracker'!$H$2:$H$766&lt;&gt;""),'Weekly Tracker'!$I$2:$I$766),"")</f>
        <v/>
      </c>
      <c r="J1433" s="9">
        <f>IFERROR(LOOKUP(2,1/('Weekly Tracker'!$E$2:$E$766=$A1433)/('Weekly Tracker'!$J$2:$J$766&lt;&gt;""),'Weekly Tracker'!$J$2:$J$766),"")</f>
        <v/>
      </c>
      <c r="K1433" s="9">
        <f>IFERROR(LOOKUP(2,1/('Weekly Tracker'!$E$2:$E$766=$A1433)/('Weekly Tracker'!$N$2:$N$766&lt;&gt;""),'Weekly Tracker'!$N$2:$N$766),"")</f>
        <v/>
      </c>
      <c r="L1433" s="9">
        <f>IFERROR(LOOKUP(2,1/('Weekly Tracker'!$E$2:$E$766=$A1433)/('Weekly Tracker'!$O$2:$O$766&lt;&gt;""),'Weekly Tracker'!$O$2:$O$766),"")</f>
        <v/>
      </c>
    </row>
    <row r="1434">
      <c r="A1434" s="9" t="inlineStr">
        <is>
          <t>Bala Murugan Urja</t>
        </is>
      </c>
      <c r="B1434" s="9" t="inlineStr">
        <is>
          <t>919943055692</t>
        </is>
      </c>
      <c r="C1434" s="9" t="n"/>
      <c r="D1434" s="9" t="n"/>
      <c r="E1434" s="9" t="inlineStr">
        <is>
          <t>Tamil Nadu, India</t>
        </is>
      </c>
      <c r="F1434" s="9">
        <f>IFERROR(LOOKUP(2,1/('Weekly Tracker'!$E$2:$E$766=$A1434)/('Weekly Tracker'!$F$2:$F$766&lt;&gt;""),'Weekly Tracker'!$F$2:$F$766),"")</f>
        <v/>
      </c>
      <c r="G1434" s="16">
        <f>IF(F1434&lt;&gt;"",LOOKUP(2,1/('Weekly Tracker'!$E$2:$E$766=$A1434)/('Weekly Tracker'!$F$2:$F$766&lt;&gt;""),'Weekly Tracker'!$G$2:$G$766),"")</f>
        <v/>
      </c>
      <c r="H1434" s="9">
        <f>IFERROR(LOOKUP(2,1/('Weekly Tracker'!$E$2:$E$766=$A1434)/('Weekly Tracker'!$H$2:$H$766&lt;&gt;""),'Weekly Tracker'!$H$2:$H$766),"")</f>
        <v/>
      </c>
      <c r="I1434" s="16">
        <f>IF(H1434&lt;&gt;"",LOOKUP(2,1/('Weekly Tracker'!$E$2:$E$766=$A1434)/('Weekly Tracker'!$H$2:$H$766&lt;&gt;""),'Weekly Tracker'!$I$2:$I$766),"")</f>
        <v/>
      </c>
      <c r="J1434" s="9">
        <f>IFERROR(LOOKUP(2,1/('Weekly Tracker'!$E$2:$E$766=$A1434)/('Weekly Tracker'!$J$2:$J$766&lt;&gt;""),'Weekly Tracker'!$J$2:$J$766),"")</f>
        <v/>
      </c>
      <c r="K1434" s="9">
        <f>IFERROR(LOOKUP(2,1/('Weekly Tracker'!$E$2:$E$766=$A1434)/('Weekly Tracker'!$N$2:$N$766&lt;&gt;""),'Weekly Tracker'!$N$2:$N$766),"")</f>
        <v/>
      </c>
      <c r="L1434" s="9">
        <f>IFERROR(LOOKUP(2,1/('Weekly Tracker'!$E$2:$E$766=$A1434)/('Weekly Tracker'!$O$2:$O$766&lt;&gt;""),'Weekly Tracker'!$O$2:$O$766),"")</f>
        <v/>
      </c>
    </row>
    <row r="1435">
      <c r="A1435" s="9" t="inlineStr">
        <is>
          <t>Nithish R FB</t>
        </is>
      </c>
      <c r="B1435" s="9" t="inlineStr">
        <is>
          <t>9944576502</t>
        </is>
      </c>
      <c r="C1435" s="9" t="n"/>
      <c r="D1435" s="9" t="n"/>
      <c r="E1435" s="9" t="n"/>
      <c r="F1435" s="9">
        <f>IFERROR(LOOKUP(2,1/('Weekly Tracker'!$E$2:$E$766=$A1435)/('Weekly Tracker'!$F$2:$F$766&lt;&gt;""),'Weekly Tracker'!$F$2:$F$766),"")</f>
        <v/>
      </c>
      <c r="G1435" s="16">
        <f>IF(F1435&lt;&gt;"",LOOKUP(2,1/('Weekly Tracker'!$E$2:$E$766=$A1435)/('Weekly Tracker'!$F$2:$F$766&lt;&gt;""),'Weekly Tracker'!$G$2:$G$766),"")</f>
        <v/>
      </c>
      <c r="H1435" s="9">
        <f>IFERROR(LOOKUP(2,1/('Weekly Tracker'!$E$2:$E$766=$A1435)/('Weekly Tracker'!$H$2:$H$766&lt;&gt;""),'Weekly Tracker'!$H$2:$H$766),"")</f>
        <v/>
      </c>
      <c r="I1435" s="16">
        <f>IF(H1435&lt;&gt;"",LOOKUP(2,1/('Weekly Tracker'!$E$2:$E$766=$A1435)/('Weekly Tracker'!$H$2:$H$766&lt;&gt;""),'Weekly Tracker'!$I$2:$I$766),"")</f>
        <v/>
      </c>
      <c r="J1435" s="9">
        <f>IFERROR(LOOKUP(2,1/('Weekly Tracker'!$E$2:$E$766=$A1435)/('Weekly Tracker'!$J$2:$J$766&lt;&gt;""),'Weekly Tracker'!$J$2:$J$766),"")</f>
        <v/>
      </c>
      <c r="K1435" s="9">
        <f>IFERROR(LOOKUP(2,1/('Weekly Tracker'!$E$2:$E$766=$A1435)/('Weekly Tracker'!$N$2:$N$766&lt;&gt;""),'Weekly Tracker'!$N$2:$N$766),"")</f>
        <v/>
      </c>
      <c r="L1435" s="9">
        <f>IFERROR(LOOKUP(2,1/('Weekly Tracker'!$E$2:$E$766=$A1435)/('Weekly Tracker'!$O$2:$O$766&lt;&gt;""),'Weekly Tracker'!$O$2:$O$766),"")</f>
        <v/>
      </c>
    </row>
    <row r="1436">
      <c r="A1436" s="9" t="inlineStr">
        <is>
          <t>Shajahan Ford Ford</t>
        </is>
      </c>
      <c r="B1436" s="9" t="inlineStr">
        <is>
          <t>918610574747, 919551958449</t>
        </is>
      </c>
      <c r="C1436" s="9" t="n"/>
      <c r="D1436" s="9" t="n"/>
      <c r="E1436" s="9" t="n"/>
      <c r="F1436" s="9">
        <f>IFERROR(LOOKUP(2,1/('Weekly Tracker'!$E$2:$E$766=$A1436)/('Weekly Tracker'!$F$2:$F$766&lt;&gt;""),'Weekly Tracker'!$F$2:$F$766),"")</f>
        <v/>
      </c>
      <c r="G1436" s="16">
        <f>IF(F1436&lt;&gt;"",LOOKUP(2,1/('Weekly Tracker'!$E$2:$E$766=$A1436)/('Weekly Tracker'!$F$2:$F$766&lt;&gt;""),'Weekly Tracker'!$G$2:$G$766),"")</f>
        <v/>
      </c>
      <c r="H1436" s="9">
        <f>IFERROR(LOOKUP(2,1/('Weekly Tracker'!$E$2:$E$766=$A1436)/('Weekly Tracker'!$H$2:$H$766&lt;&gt;""),'Weekly Tracker'!$H$2:$H$766),"")</f>
        <v/>
      </c>
      <c r="I1436" s="16">
        <f>IF(H1436&lt;&gt;"",LOOKUP(2,1/('Weekly Tracker'!$E$2:$E$766=$A1436)/('Weekly Tracker'!$H$2:$H$766&lt;&gt;""),'Weekly Tracker'!$I$2:$I$766),"")</f>
        <v/>
      </c>
      <c r="J1436" s="9">
        <f>IFERROR(LOOKUP(2,1/('Weekly Tracker'!$E$2:$E$766=$A1436)/('Weekly Tracker'!$J$2:$J$766&lt;&gt;""),'Weekly Tracker'!$J$2:$J$766),"")</f>
        <v/>
      </c>
      <c r="K1436" s="9">
        <f>IFERROR(LOOKUP(2,1/('Weekly Tracker'!$E$2:$E$766=$A1436)/('Weekly Tracker'!$N$2:$N$766&lt;&gt;""),'Weekly Tracker'!$N$2:$N$766),"")</f>
        <v/>
      </c>
      <c r="L1436" s="9">
        <f>IFERROR(LOOKUP(2,1/('Weekly Tracker'!$E$2:$E$766=$A1436)/('Weekly Tracker'!$O$2:$O$766&lt;&gt;""),'Weekly Tracker'!$O$2:$O$766),"")</f>
        <v/>
      </c>
    </row>
    <row r="1437">
      <c r="A1437" s="9" t="inlineStr">
        <is>
          <t>BalaGuru Urja</t>
        </is>
      </c>
      <c r="B1437" s="9" t="inlineStr">
        <is>
          <t>919500299398</t>
        </is>
      </c>
      <c r="C1437" s="9" t="n"/>
      <c r="D1437" s="9" t="n"/>
      <c r="E1437" s="9" t="n"/>
      <c r="F1437" s="9">
        <f>IFERROR(LOOKUP(2,1/('Weekly Tracker'!$E$2:$E$766=$A1437)/('Weekly Tracker'!$F$2:$F$766&lt;&gt;""),'Weekly Tracker'!$F$2:$F$766),"")</f>
        <v/>
      </c>
      <c r="G1437" s="16">
        <f>IF(F1437&lt;&gt;"",LOOKUP(2,1/('Weekly Tracker'!$E$2:$E$766=$A1437)/('Weekly Tracker'!$F$2:$F$766&lt;&gt;""),'Weekly Tracker'!$G$2:$G$766),"")</f>
        <v/>
      </c>
      <c r="H1437" s="9">
        <f>IFERROR(LOOKUP(2,1/('Weekly Tracker'!$E$2:$E$766=$A1437)/('Weekly Tracker'!$H$2:$H$766&lt;&gt;""),'Weekly Tracker'!$H$2:$H$766),"")</f>
        <v/>
      </c>
      <c r="I1437" s="16">
        <f>IF(H1437&lt;&gt;"",LOOKUP(2,1/('Weekly Tracker'!$E$2:$E$766=$A1437)/('Weekly Tracker'!$H$2:$H$766&lt;&gt;""),'Weekly Tracker'!$I$2:$I$766),"")</f>
        <v/>
      </c>
      <c r="J1437" s="9">
        <f>IFERROR(LOOKUP(2,1/('Weekly Tracker'!$E$2:$E$766=$A1437)/('Weekly Tracker'!$J$2:$J$766&lt;&gt;""),'Weekly Tracker'!$J$2:$J$766),"")</f>
        <v/>
      </c>
      <c r="K1437" s="9">
        <f>IFERROR(LOOKUP(2,1/('Weekly Tracker'!$E$2:$E$766=$A1437)/('Weekly Tracker'!$N$2:$N$766&lt;&gt;""),'Weekly Tracker'!$N$2:$N$766),"")</f>
        <v/>
      </c>
      <c r="L1437" s="9">
        <f>IFERROR(LOOKUP(2,1/('Weekly Tracker'!$E$2:$E$766=$A1437)/('Weekly Tracker'!$O$2:$O$766&lt;&gt;""),'Weekly Tracker'!$O$2:$O$766),"")</f>
        <v/>
      </c>
    </row>
    <row r="1438">
      <c r="A1438" s="9" t="inlineStr">
        <is>
          <t>Guru sp Scl</t>
        </is>
      </c>
      <c r="B1438" s="9" t="inlineStr">
        <is>
          <t>919789313416</t>
        </is>
      </c>
      <c r="C1438" s="9" t="n"/>
      <c r="D1438" s="9" t="n"/>
      <c r="E1438" s="9" t="n"/>
      <c r="F1438" s="9">
        <f>IFERROR(LOOKUP(2,1/('Weekly Tracker'!$E$2:$E$766=$A1438)/('Weekly Tracker'!$F$2:$F$766&lt;&gt;""),'Weekly Tracker'!$F$2:$F$766),"")</f>
        <v/>
      </c>
      <c r="G1438" s="16">
        <f>IF(F1438&lt;&gt;"",LOOKUP(2,1/('Weekly Tracker'!$E$2:$E$766=$A1438)/('Weekly Tracker'!$F$2:$F$766&lt;&gt;""),'Weekly Tracker'!$G$2:$G$766),"")</f>
        <v/>
      </c>
      <c r="H1438" s="9">
        <f>IFERROR(LOOKUP(2,1/('Weekly Tracker'!$E$2:$E$766=$A1438)/('Weekly Tracker'!$H$2:$H$766&lt;&gt;""),'Weekly Tracker'!$H$2:$H$766),"")</f>
        <v/>
      </c>
      <c r="I1438" s="16">
        <f>IF(H1438&lt;&gt;"",LOOKUP(2,1/('Weekly Tracker'!$E$2:$E$766=$A1438)/('Weekly Tracker'!$H$2:$H$766&lt;&gt;""),'Weekly Tracker'!$I$2:$I$766),"")</f>
        <v/>
      </c>
      <c r="J1438" s="9">
        <f>IFERROR(LOOKUP(2,1/('Weekly Tracker'!$E$2:$E$766=$A1438)/('Weekly Tracker'!$J$2:$J$766&lt;&gt;""),'Weekly Tracker'!$J$2:$J$766),"")</f>
        <v/>
      </c>
      <c r="K1438" s="9">
        <f>IFERROR(LOOKUP(2,1/('Weekly Tracker'!$E$2:$E$766=$A1438)/('Weekly Tracker'!$N$2:$N$766&lt;&gt;""),'Weekly Tracker'!$N$2:$N$766),"")</f>
        <v/>
      </c>
      <c r="L1438" s="9">
        <f>IFERROR(LOOKUP(2,1/('Weekly Tracker'!$E$2:$E$766=$A1438)/('Weekly Tracker'!$O$2:$O$766&lt;&gt;""),'Weekly Tracker'!$O$2:$O$766),"")</f>
        <v/>
      </c>
    </row>
    <row r="1439">
      <c r="A1439" s="9" t="inlineStr">
        <is>
          <t>Pavithran qs</t>
        </is>
      </c>
      <c r="B1439" s="9" t="inlineStr">
        <is>
          <t>919840166359</t>
        </is>
      </c>
      <c r="C1439" s="9" t="n"/>
      <c r="D1439" s="9" t="n"/>
      <c r="E1439" s="9" t="n"/>
      <c r="F1439" s="9">
        <f>IFERROR(LOOKUP(2,1/('Weekly Tracker'!$E$2:$E$766=$A1439)/('Weekly Tracker'!$F$2:$F$766&lt;&gt;""),'Weekly Tracker'!$F$2:$F$766),"")</f>
        <v/>
      </c>
      <c r="G1439" s="16">
        <f>IF(F1439&lt;&gt;"",LOOKUP(2,1/('Weekly Tracker'!$E$2:$E$766=$A1439)/('Weekly Tracker'!$F$2:$F$766&lt;&gt;""),'Weekly Tracker'!$G$2:$G$766),"")</f>
        <v/>
      </c>
      <c r="H1439" s="9">
        <f>IFERROR(LOOKUP(2,1/('Weekly Tracker'!$E$2:$E$766=$A1439)/('Weekly Tracker'!$H$2:$H$766&lt;&gt;""),'Weekly Tracker'!$H$2:$H$766),"")</f>
        <v/>
      </c>
      <c r="I1439" s="16">
        <f>IF(H1439&lt;&gt;"",LOOKUP(2,1/('Weekly Tracker'!$E$2:$E$766=$A1439)/('Weekly Tracker'!$H$2:$H$766&lt;&gt;""),'Weekly Tracker'!$I$2:$I$766),"")</f>
        <v/>
      </c>
      <c r="J1439" s="9">
        <f>IFERROR(LOOKUP(2,1/('Weekly Tracker'!$E$2:$E$766=$A1439)/('Weekly Tracker'!$J$2:$J$766&lt;&gt;""),'Weekly Tracker'!$J$2:$J$766),"")</f>
        <v/>
      </c>
      <c r="K1439" s="9">
        <f>IFERROR(LOOKUP(2,1/('Weekly Tracker'!$E$2:$E$766=$A1439)/('Weekly Tracker'!$N$2:$N$766&lt;&gt;""),'Weekly Tracker'!$N$2:$N$766),"")</f>
        <v/>
      </c>
      <c r="L1439" s="9">
        <f>IFERROR(LOOKUP(2,1/('Weekly Tracker'!$E$2:$E$766=$A1439)/('Weekly Tracker'!$O$2:$O$766&lt;&gt;""),'Weekly Tracker'!$O$2:$O$766),"")</f>
        <v/>
      </c>
    </row>
    <row r="1440">
      <c r="A1440" s="9" t="inlineStr">
        <is>
          <t>Kesava Ram FB</t>
        </is>
      </c>
      <c r="B1440" s="9" t="inlineStr">
        <is>
          <t>8122819775</t>
        </is>
      </c>
      <c r="C1440" s="9" t="n"/>
      <c r="D1440" s="9" t="n"/>
      <c r="E1440" s="9" t="n"/>
      <c r="F1440" s="9">
        <f>IFERROR(LOOKUP(2,1/('Weekly Tracker'!$E$2:$E$766=$A1440)/('Weekly Tracker'!$F$2:$F$766&lt;&gt;""),'Weekly Tracker'!$F$2:$F$766),"")</f>
        <v/>
      </c>
      <c r="G1440" s="16">
        <f>IF(F1440&lt;&gt;"",LOOKUP(2,1/('Weekly Tracker'!$E$2:$E$766=$A1440)/('Weekly Tracker'!$F$2:$F$766&lt;&gt;""),'Weekly Tracker'!$G$2:$G$766),"")</f>
        <v/>
      </c>
      <c r="H1440" s="9">
        <f>IFERROR(LOOKUP(2,1/('Weekly Tracker'!$E$2:$E$766=$A1440)/('Weekly Tracker'!$H$2:$H$766&lt;&gt;""),'Weekly Tracker'!$H$2:$H$766),"")</f>
        <v/>
      </c>
      <c r="I1440" s="16">
        <f>IF(H1440&lt;&gt;"",LOOKUP(2,1/('Weekly Tracker'!$E$2:$E$766=$A1440)/('Weekly Tracker'!$H$2:$H$766&lt;&gt;""),'Weekly Tracker'!$I$2:$I$766),"")</f>
        <v/>
      </c>
      <c r="J1440" s="9">
        <f>IFERROR(LOOKUP(2,1/('Weekly Tracker'!$E$2:$E$766=$A1440)/('Weekly Tracker'!$J$2:$J$766&lt;&gt;""),'Weekly Tracker'!$J$2:$J$766),"")</f>
        <v/>
      </c>
      <c r="K1440" s="9">
        <f>IFERROR(LOOKUP(2,1/('Weekly Tracker'!$E$2:$E$766=$A1440)/('Weekly Tracker'!$N$2:$N$766&lt;&gt;""),'Weekly Tracker'!$N$2:$N$766),"")</f>
        <v/>
      </c>
      <c r="L1440" s="9">
        <f>IFERROR(LOOKUP(2,1/('Weekly Tracker'!$E$2:$E$766=$A1440)/('Weekly Tracker'!$O$2:$O$766&lt;&gt;""),'Weekly Tracker'!$O$2:$O$766),"")</f>
        <v/>
      </c>
    </row>
    <row r="1441">
      <c r="A1441" s="9" t="inlineStr">
        <is>
          <t>Naren Civil</t>
        </is>
      </c>
      <c r="B1441" s="9" t="inlineStr">
        <is>
          <t>919566935676</t>
        </is>
      </c>
      <c r="C1441" s="9" t="n"/>
      <c r="D1441" s="9" t="n"/>
      <c r="E1441" s="9" t="n"/>
      <c r="F1441" s="9">
        <f>IFERROR(LOOKUP(2,1/('Weekly Tracker'!$E$2:$E$766=$A1441)/('Weekly Tracker'!$F$2:$F$766&lt;&gt;""),'Weekly Tracker'!$F$2:$F$766),"")</f>
        <v/>
      </c>
      <c r="G1441" s="16">
        <f>IF(F1441&lt;&gt;"",LOOKUP(2,1/('Weekly Tracker'!$E$2:$E$766=$A1441)/('Weekly Tracker'!$F$2:$F$766&lt;&gt;""),'Weekly Tracker'!$G$2:$G$766),"")</f>
        <v/>
      </c>
      <c r="H1441" s="9">
        <f>IFERROR(LOOKUP(2,1/('Weekly Tracker'!$E$2:$E$766=$A1441)/('Weekly Tracker'!$H$2:$H$766&lt;&gt;""),'Weekly Tracker'!$H$2:$H$766),"")</f>
        <v/>
      </c>
      <c r="I1441" s="16">
        <f>IF(H1441&lt;&gt;"",LOOKUP(2,1/('Weekly Tracker'!$E$2:$E$766=$A1441)/('Weekly Tracker'!$H$2:$H$766&lt;&gt;""),'Weekly Tracker'!$I$2:$I$766),"")</f>
        <v/>
      </c>
      <c r="J1441" s="9">
        <f>IFERROR(LOOKUP(2,1/('Weekly Tracker'!$E$2:$E$766=$A1441)/('Weekly Tracker'!$J$2:$J$766&lt;&gt;""),'Weekly Tracker'!$J$2:$J$766),"")</f>
        <v/>
      </c>
      <c r="K1441" s="9">
        <f>IFERROR(LOOKUP(2,1/('Weekly Tracker'!$E$2:$E$766=$A1441)/('Weekly Tracker'!$N$2:$N$766&lt;&gt;""),'Weekly Tracker'!$N$2:$N$766),"")</f>
        <v/>
      </c>
      <c r="L1441" s="9">
        <f>IFERROR(LOOKUP(2,1/('Weekly Tracker'!$E$2:$E$766=$A1441)/('Weekly Tracker'!$O$2:$O$766&lt;&gt;""),'Weekly Tracker'!$O$2:$O$766),"")</f>
        <v/>
      </c>
    </row>
    <row r="1442">
      <c r="A1442" s="9" t="inlineStr">
        <is>
          <t>Sundar Singh Scl</t>
        </is>
      </c>
      <c r="B1442" s="9" t="inlineStr">
        <is>
          <t>8760262721</t>
        </is>
      </c>
      <c r="C1442" s="9" t="n"/>
      <c r="D1442" s="9" t="n"/>
      <c r="E1442" s="9" t="n"/>
      <c r="F1442" s="9">
        <f>IFERROR(LOOKUP(2,1/('Weekly Tracker'!$E$2:$E$766=$A1442)/('Weekly Tracker'!$F$2:$F$766&lt;&gt;""),'Weekly Tracker'!$F$2:$F$766),"")</f>
        <v/>
      </c>
      <c r="G1442" s="16">
        <f>IF(F1442&lt;&gt;"",LOOKUP(2,1/('Weekly Tracker'!$E$2:$E$766=$A1442)/('Weekly Tracker'!$F$2:$F$766&lt;&gt;""),'Weekly Tracker'!$G$2:$G$766),"")</f>
        <v/>
      </c>
      <c r="H1442" s="9">
        <f>IFERROR(LOOKUP(2,1/('Weekly Tracker'!$E$2:$E$766=$A1442)/('Weekly Tracker'!$H$2:$H$766&lt;&gt;""),'Weekly Tracker'!$H$2:$H$766),"")</f>
        <v/>
      </c>
      <c r="I1442" s="16">
        <f>IF(H1442&lt;&gt;"",LOOKUP(2,1/('Weekly Tracker'!$E$2:$E$766=$A1442)/('Weekly Tracker'!$H$2:$H$766&lt;&gt;""),'Weekly Tracker'!$I$2:$I$766),"")</f>
        <v/>
      </c>
      <c r="J1442" s="9">
        <f>IFERROR(LOOKUP(2,1/('Weekly Tracker'!$E$2:$E$766=$A1442)/('Weekly Tracker'!$J$2:$J$766&lt;&gt;""),'Weekly Tracker'!$J$2:$J$766),"")</f>
        <v/>
      </c>
      <c r="K1442" s="9">
        <f>IFERROR(LOOKUP(2,1/('Weekly Tracker'!$E$2:$E$766=$A1442)/('Weekly Tracker'!$N$2:$N$766&lt;&gt;""),'Weekly Tracker'!$N$2:$N$766),"")</f>
        <v/>
      </c>
      <c r="L1442" s="9">
        <f>IFERROR(LOOKUP(2,1/('Weekly Tracker'!$E$2:$E$766=$A1442)/('Weekly Tracker'!$O$2:$O$766&lt;&gt;""),'Weekly Tracker'!$O$2:$O$766),"")</f>
        <v/>
      </c>
    </row>
    <row r="1443">
      <c r="A1443" s="9" t="inlineStr">
        <is>
          <t>Al Ameen Mech</t>
        </is>
      </c>
      <c r="B1443" s="9" t="inlineStr">
        <is>
          <t>918122138071</t>
        </is>
      </c>
      <c r="C1443" s="9" t="n"/>
      <c r="D1443" s="9" t="n"/>
      <c r="E1443" s="9" t="inlineStr">
        <is>
          <t>IN</t>
        </is>
      </c>
      <c r="F1443" s="9">
        <f>IFERROR(LOOKUP(2,1/('Weekly Tracker'!$E$2:$E$766=$A1443)/('Weekly Tracker'!$F$2:$F$766&lt;&gt;""),'Weekly Tracker'!$F$2:$F$766),"")</f>
        <v/>
      </c>
      <c r="G1443" s="16">
        <f>IF(F1443&lt;&gt;"",LOOKUP(2,1/('Weekly Tracker'!$E$2:$E$766=$A1443)/('Weekly Tracker'!$F$2:$F$766&lt;&gt;""),'Weekly Tracker'!$G$2:$G$766),"")</f>
        <v/>
      </c>
      <c r="H1443" s="9">
        <f>IFERROR(LOOKUP(2,1/('Weekly Tracker'!$E$2:$E$766=$A1443)/('Weekly Tracker'!$H$2:$H$766&lt;&gt;""),'Weekly Tracker'!$H$2:$H$766),"")</f>
        <v/>
      </c>
      <c r="I1443" s="16">
        <f>IF(H1443&lt;&gt;"",LOOKUP(2,1/('Weekly Tracker'!$E$2:$E$766=$A1443)/('Weekly Tracker'!$H$2:$H$766&lt;&gt;""),'Weekly Tracker'!$I$2:$I$766),"")</f>
        <v/>
      </c>
      <c r="J1443" s="9">
        <f>IFERROR(LOOKUP(2,1/('Weekly Tracker'!$E$2:$E$766=$A1443)/('Weekly Tracker'!$J$2:$J$766&lt;&gt;""),'Weekly Tracker'!$J$2:$J$766),"")</f>
        <v/>
      </c>
      <c r="K1443" s="9">
        <f>IFERROR(LOOKUP(2,1/('Weekly Tracker'!$E$2:$E$766=$A1443)/('Weekly Tracker'!$N$2:$N$766&lt;&gt;""),'Weekly Tracker'!$N$2:$N$766),"")</f>
        <v/>
      </c>
      <c r="L1443" s="9">
        <f>IFERROR(LOOKUP(2,1/('Weekly Tracker'!$E$2:$E$766=$A1443)/('Weekly Tracker'!$O$2:$O$766&lt;&gt;""),'Weekly Tracker'!$O$2:$O$766),"")</f>
        <v/>
      </c>
    </row>
    <row r="1444">
      <c r="A1444" s="9" t="inlineStr">
        <is>
          <t>Kesavan Civil</t>
        </is>
      </c>
      <c r="B1444" s="9" t="inlineStr">
        <is>
          <t>919894167561</t>
        </is>
      </c>
      <c r="C1444" s="9" t="n"/>
      <c r="D1444" s="9" t="n"/>
      <c r="E1444" s="9" t="n"/>
      <c r="F1444" s="9">
        <f>IFERROR(LOOKUP(2,1/('Weekly Tracker'!$E$2:$E$766=$A1444)/('Weekly Tracker'!$F$2:$F$766&lt;&gt;""),'Weekly Tracker'!$F$2:$F$766),"")</f>
        <v/>
      </c>
      <c r="G1444" s="16">
        <f>IF(F1444&lt;&gt;"",LOOKUP(2,1/('Weekly Tracker'!$E$2:$E$766=$A1444)/('Weekly Tracker'!$F$2:$F$766&lt;&gt;""),'Weekly Tracker'!$G$2:$G$766),"")</f>
        <v/>
      </c>
      <c r="H1444" s="9">
        <f>IFERROR(LOOKUP(2,1/('Weekly Tracker'!$E$2:$E$766=$A1444)/('Weekly Tracker'!$H$2:$H$766&lt;&gt;""),'Weekly Tracker'!$H$2:$H$766),"")</f>
        <v/>
      </c>
      <c r="I1444" s="16">
        <f>IF(H1444&lt;&gt;"",LOOKUP(2,1/('Weekly Tracker'!$E$2:$E$766=$A1444)/('Weekly Tracker'!$H$2:$H$766&lt;&gt;""),'Weekly Tracker'!$I$2:$I$766),"")</f>
        <v/>
      </c>
      <c r="J1444" s="9">
        <f>IFERROR(LOOKUP(2,1/('Weekly Tracker'!$E$2:$E$766=$A1444)/('Weekly Tracker'!$J$2:$J$766&lt;&gt;""),'Weekly Tracker'!$J$2:$J$766),"")</f>
        <v/>
      </c>
      <c r="K1444" s="9">
        <f>IFERROR(LOOKUP(2,1/('Weekly Tracker'!$E$2:$E$766=$A1444)/('Weekly Tracker'!$N$2:$N$766&lt;&gt;""),'Weekly Tracker'!$N$2:$N$766),"")</f>
        <v/>
      </c>
      <c r="L1444" s="9">
        <f>IFERROR(LOOKUP(2,1/('Weekly Tracker'!$E$2:$E$766=$A1444)/('Weekly Tracker'!$O$2:$O$766&lt;&gt;""),'Weekly Tracker'!$O$2:$O$766),"")</f>
        <v/>
      </c>
    </row>
    <row r="1445">
      <c r="A1445" s="9" t="inlineStr">
        <is>
          <t>Mages</t>
        </is>
      </c>
      <c r="B1445" s="9" t="inlineStr">
        <is>
          <t>919786239781</t>
        </is>
      </c>
      <c r="C1445" s="9" t="n"/>
      <c r="D1445" s="9" t="n"/>
      <c r="E1445" s="9" t="n"/>
      <c r="F1445" s="9">
        <f>IFERROR(LOOKUP(2,1/('Weekly Tracker'!$E$2:$E$766=$A1445)/('Weekly Tracker'!$F$2:$F$766&lt;&gt;""),'Weekly Tracker'!$F$2:$F$766),"")</f>
        <v/>
      </c>
      <c r="G1445" s="16">
        <f>IF(F1445&lt;&gt;"",LOOKUP(2,1/('Weekly Tracker'!$E$2:$E$766=$A1445)/('Weekly Tracker'!$F$2:$F$766&lt;&gt;""),'Weekly Tracker'!$G$2:$G$766),"")</f>
        <v/>
      </c>
      <c r="H1445" s="9">
        <f>IFERROR(LOOKUP(2,1/('Weekly Tracker'!$E$2:$E$766=$A1445)/('Weekly Tracker'!$H$2:$H$766&lt;&gt;""),'Weekly Tracker'!$H$2:$H$766),"")</f>
        <v/>
      </c>
      <c r="I1445" s="16">
        <f>IF(H1445&lt;&gt;"",LOOKUP(2,1/('Weekly Tracker'!$E$2:$E$766=$A1445)/('Weekly Tracker'!$H$2:$H$766&lt;&gt;""),'Weekly Tracker'!$I$2:$I$766),"")</f>
        <v/>
      </c>
      <c r="J1445" s="9">
        <f>IFERROR(LOOKUP(2,1/('Weekly Tracker'!$E$2:$E$766=$A1445)/('Weekly Tracker'!$J$2:$J$766&lt;&gt;""),'Weekly Tracker'!$J$2:$J$766),"")</f>
        <v/>
      </c>
      <c r="K1445" s="9">
        <f>IFERROR(LOOKUP(2,1/('Weekly Tracker'!$E$2:$E$766=$A1445)/('Weekly Tracker'!$N$2:$N$766&lt;&gt;""),'Weekly Tracker'!$N$2:$N$766),"")</f>
        <v/>
      </c>
      <c r="L1445" s="9">
        <f>IFERROR(LOOKUP(2,1/('Weekly Tracker'!$E$2:$E$766=$A1445)/('Weekly Tracker'!$O$2:$O$766&lt;&gt;""),'Weekly Tracker'!$O$2:$O$766),"")</f>
        <v/>
      </c>
    </row>
    <row r="1446">
      <c r="A1446" s="9" t="inlineStr">
        <is>
          <t>Gopi Ravichandran FB</t>
        </is>
      </c>
      <c r="B1446" s="9" t="inlineStr">
        <is>
          <t>9842595820</t>
        </is>
      </c>
      <c r="C1446" s="9" t="n"/>
      <c r="D1446" s="9" t="n"/>
      <c r="E1446" s="9" t="n"/>
      <c r="F1446" s="9">
        <f>IFERROR(LOOKUP(2,1/('Weekly Tracker'!$E$2:$E$766=$A1446)/('Weekly Tracker'!$F$2:$F$766&lt;&gt;""),'Weekly Tracker'!$F$2:$F$766),"")</f>
        <v/>
      </c>
      <c r="G1446" s="16">
        <f>IF(F1446&lt;&gt;"",LOOKUP(2,1/('Weekly Tracker'!$E$2:$E$766=$A1446)/('Weekly Tracker'!$F$2:$F$766&lt;&gt;""),'Weekly Tracker'!$G$2:$G$766),"")</f>
        <v/>
      </c>
      <c r="H1446" s="9">
        <f>IFERROR(LOOKUP(2,1/('Weekly Tracker'!$E$2:$E$766=$A1446)/('Weekly Tracker'!$H$2:$H$766&lt;&gt;""),'Weekly Tracker'!$H$2:$H$766),"")</f>
        <v/>
      </c>
      <c r="I1446" s="16">
        <f>IF(H1446&lt;&gt;"",LOOKUP(2,1/('Weekly Tracker'!$E$2:$E$766=$A1446)/('Weekly Tracker'!$H$2:$H$766&lt;&gt;""),'Weekly Tracker'!$I$2:$I$766),"")</f>
        <v/>
      </c>
      <c r="J1446" s="9">
        <f>IFERROR(LOOKUP(2,1/('Weekly Tracker'!$E$2:$E$766=$A1446)/('Weekly Tracker'!$J$2:$J$766&lt;&gt;""),'Weekly Tracker'!$J$2:$J$766),"")</f>
        <v/>
      </c>
      <c r="K1446" s="9">
        <f>IFERROR(LOOKUP(2,1/('Weekly Tracker'!$E$2:$E$766=$A1446)/('Weekly Tracker'!$N$2:$N$766&lt;&gt;""),'Weekly Tracker'!$N$2:$N$766),"")</f>
        <v/>
      </c>
      <c r="L1446" s="9">
        <f>IFERROR(LOOKUP(2,1/('Weekly Tracker'!$E$2:$E$766=$A1446)/('Weekly Tracker'!$O$2:$O$766&lt;&gt;""),'Weekly Tracker'!$O$2:$O$766),"")</f>
        <v/>
      </c>
    </row>
    <row r="1447">
      <c r="A1447" s="9" t="inlineStr">
        <is>
          <t>Hari Sudhan Scl FB</t>
        </is>
      </c>
      <c r="B1447" s="9" t="inlineStr">
        <is>
          <t>9488888186</t>
        </is>
      </c>
      <c r="C1447" s="9" t="n"/>
      <c r="D1447" s="9" t="n"/>
      <c r="E1447" s="9" t="n"/>
      <c r="F1447" s="9">
        <f>IFERROR(LOOKUP(2,1/('Weekly Tracker'!$E$2:$E$766=$A1447)/('Weekly Tracker'!$F$2:$F$766&lt;&gt;""),'Weekly Tracker'!$F$2:$F$766),"")</f>
        <v/>
      </c>
      <c r="G1447" s="16">
        <f>IF(F1447&lt;&gt;"",LOOKUP(2,1/('Weekly Tracker'!$E$2:$E$766=$A1447)/('Weekly Tracker'!$F$2:$F$766&lt;&gt;""),'Weekly Tracker'!$G$2:$G$766),"")</f>
        <v/>
      </c>
      <c r="H1447" s="9">
        <f>IFERROR(LOOKUP(2,1/('Weekly Tracker'!$E$2:$E$766=$A1447)/('Weekly Tracker'!$H$2:$H$766&lt;&gt;""),'Weekly Tracker'!$H$2:$H$766),"")</f>
        <v/>
      </c>
      <c r="I1447" s="16">
        <f>IF(H1447&lt;&gt;"",LOOKUP(2,1/('Weekly Tracker'!$E$2:$E$766=$A1447)/('Weekly Tracker'!$H$2:$H$766&lt;&gt;""),'Weekly Tracker'!$I$2:$I$766),"")</f>
        <v/>
      </c>
      <c r="J1447" s="9">
        <f>IFERROR(LOOKUP(2,1/('Weekly Tracker'!$E$2:$E$766=$A1447)/('Weekly Tracker'!$J$2:$J$766&lt;&gt;""),'Weekly Tracker'!$J$2:$J$766),"")</f>
        <v/>
      </c>
      <c r="K1447" s="9">
        <f>IFERROR(LOOKUP(2,1/('Weekly Tracker'!$E$2:$E$766=$A1447)/('Weekly Tracker'!$N$2:$N$766&lt;&gt;""),'Weekly Tracker'!$N$2:$N$766),"")</f>
        <v/>
      </c>
      <c r="L1447" s="9">
        <f>IFERROR(LOOKUP(2,1/('Weekly Tracker'!$E$2:$E$766=$A1447)/('Weekly Tracker'!$O$2:$O$766&lt;&gt;""),'Weekly Tracker'!$O$2:$O$766),"")</f>
        <v/>
      </c>
    </row>
    <row r="1448">
      <c r="A1448" s="9" t="inlineStr">
        <is>
          <t>Joyal Fransis Junior</t>
        </is>
      </c>
      <c r="B1448" s="9" t="inlineStr">
        <is>
          <t>919443932654</t>
        </is>
      </c>
      <c r="C1448" s="9" t="n"/>
      <c r="D1448" s="9" t="n"/>
      <c r="E1448" s="9" t="n"/>
      <c r="F1448" s="9">
        <f>IFERROR(LOOKUP(2,1/('Weekly Tracker'!$E$2:$E$766=$A1448)/('Weekly Tracker'!$F$2:$F$766&lt;&gt;""),'Weekly Tracker'!$F$2:$F$766),"")</f>
        <v/>
      </c>
      <c r="G1448" s="16">
        <f>IF(F1448&lt;&gt;"",LOOKUP(2,1/('Weekly Tracker'!$E$2:$E$766=$A1448)/('Weekly Tracker'!$F$2:$F$766&lt;&gt;""),'Weekly Tracker'!$G$2:$G$766),"")</f>
        <v/>
      </c>
      <c r="H1448" s="9">
        <f>IFERROR(LOOKUP(2,1/('Weekly Tracker'!$E$2:$E$766=$A1448)/('Weekly Tracker'!$H$2:$H$766&lt;&gt;""),'Weekly Tracker'!$H$2:$H$766),"")</f>
        <v/>
      </c>
      <c r="I1448" s="16">
        <f>IF(H1448&lt;&gt;"",LOOKUP(2,1/('Weekly Tracker'!$E$2:$E$766=$A1448)/('Weekly Tracker'!$H$2:$H$766&lt;&gt;""),'Weekly Tracker'!$I$2:$I$766),"")</f>
        <v/>
      </c>
      <c r="J1448" s="9">
        <f>IFERROR(LOOKUP(2,1/('Weekly Tracker'!$E$2:$E$766=$A1448)/('Weekly Tracker'!$J$2:$J$766&lt;&gt;""),'Weekly Tracker'!$J$2:$J$766),"")</f>
        <v/>
      </c>
      <c r="K1448" s="9">
        <f>IFERROR(LOOKUP(2,1/('Weekly Tracker'!$E$2:$E$766=$A1448)/('Weekly Tracker'!$N$2:$N$766&lt;&gt;""),'Weekly Tracker'!$N$2:$N$766),"")</f>
        <v/>
      </c>
      <c r="L1448" s="9">
        <f>IFERROR(LOOKUP(2,1/('Weekly Tracker'!$E$2:$E$766=$A1448)/('Weekly Tracker'!$O$2:$O$766&lt;&gt;""),'Weekly Tracker'!$O$2:$O$766),"")</f>
        <v/>
      </c>
    </row>
    <row r="1449">
      <c r="A1449" s="9" t="inlineStr">
        <is>
          <t>Ravinard Insta</t>
        </is>
      </c>
      <c r="B1449" s="9" t="inlineStr">
        <is>
          <t>9514695965</t>
        </is>
      </c>
      <c r="C1449" s="9" t="n"/>
      <c r="D1449" s="9" t="n"/>
      <c r="E1449" s="9" t="n"/>
      <c r="F1449" s="9">
        <f>IFERROR(LOOKUP(2,1/('Weekly Tracker'!$E$2:$E$766=$A1449)/('Weekly Tracker'!$F$2:$F$766&lt;&gt;""),'Weekly Tracker'!$F$2:$F$766),"")</f>
        <v/>
      </c>
      <c r="G1449" s="16">
        <f>IF(F1449&lt;&gt;"",LOOKUP(2,1/('Weekly Tracker'!$E$2:$E$766=$A1449)/('Weekly Tracker'!$F$2:$F$766&lt;&gt;""),'Weekly Tracker'!$G$2:$G$766),"")</f>
        <v/>
      </c>
      <c r="H1449" s="9">
        <f>IFERROR(LOOKUP(2,1/('Weekly Tracker'!$E$2:$E$766=$A1449)/('Weekly Tracker'!$H$2:$H$766&lt;&gt;""),'Weekly Tracker'!$H$2:$H$766),"")</f>
        <v/>
      </c>
      <c r="I1449" s="16">
        <f>IF(H1449&lt;&gt;"",LOOKUP(2,1/('Weekly Tracker'!$E$2:$E$766=$A1449)/('Weekly Tracker'!$H$2:$H$766&lt;&gt;""),'Weekly Tracker'!$I$2:$I$766),"")</f>
        <v/>
      </c>
      <c r="J1449" s="9">
        <f>IFERROR(LOOKUP(2,1/('Weekly Tracker'!$E$2:$E$766=$A1449)/('Weekly Tracker'!$J$2:$J$766&lt;&gt;""),'Weekly Tracker'!$J$2:$J$766),"")</f>
        <v/>
      </c>
      <c r="K1449" s="9">
        <f>IFERROR(LOOKUP(2,1/('Weekly Tracker'!$E$2:$E$766=$A1449)/('Weekly Tracker'!$N$2:$N$766&lt;&gt;""),'Weekly Tracker'!$N$2:$N$766),"")</f>
        <v/>
      </c>
      <c r="L1449" s="9">
        <f>IFERROR(LOOKUP(2,1/('Weekly Tracker'!$E$2:$E$766=$A1449)/('Weekly Tracker'!$O$2:$O$766&lt;&gt;""),'Weekly Tracker'!$O$2:$O$766),"")</f>
        <v/>
      </c>
    </row>
    <row r="1450">
      <c r="A1450" s="9" t="inlineStr">
        <is>
          <t>Raja Kumar FB</t>
        </is>
      </c>
      <c r="B1450" s="9" t="inlineStr">
        <is>
          <t>918778979627</t>
        </is>
      </c>
      <c r="C1450" s="9" t="n"/>
      <c r="D1450" s="9" t="n"/>
      <c r="E1450" s="9" t="n"/>
      <c r="F1450" s="9">
        <f>IFERROR(LOOKUP(2,1/('Weekly Tracker'!$E$2:$E$766=$A1450)/('Weekly Tracker'!$F$2:$F$766&lt;&gt;""),'Weekly Tracker'!$F$2:$F$766),"")</f>
        <v/>
      </c>
      <c r="G1450" s="16">
        <f>IF(F1450&lt;&gt;"",LOOKUP(2,1/('Weekly Tracker'!$E$2:$E$766=$A1450)/('Weekly Tracker'!$F$2:$F$766&lt;&gt;""),'Weekly Tracker'!$G$2:$G$766),"")</f>
        <v/>
      </c>
      <c r="H1450" s="9">
        <f>IFERROR(LOOKUP(2,1/('Weekly Tracker'!$E$2:$E$766=$A1450)/('Weekly Tracker'!$H$2:$H$766&lt;&gt;""),'Weekly Tracker'!$H$2:$H$766),"")</f>
        <v/>
      </c>
      <c r="I1450" s="16">
        <f>IF(H1450&lt;&gt;"",LOOKUP(2,1/('Weekly Tracker'!$E$2:$E$766=$A1450)/('Weekly Tracker'!$H$2:$H$766&lt;&gt;""),'Weekly Tracker'!$I$2:$I$766),"")</f>
        <v/>
      </c>
      <c r="J1450" s="9">
        <f>IFERROR(LOOKUP(2,1/('Weekly Tracker'!$E$2:$E$766=$A1450)/('Weekly Tracker'!$J$2:$J$766&lt;&gt;""),'Weekly Tracker'!$J$2:$J$766),"")</f>
        <v/>
      </c>
      <c r="K1450" s="9">
        <f>IFERROR(LOOKUP(2,1/('Weekly Tracker'!$E$2:$E$766=$A1450)/('Weekly Tracker'!$N$2:$N$766&lt;&gt;""),'Weekly Tracker'!$N$2:$N$766),"")</f>
        <v/>
      </c>
      <c r="L1450" s="9">
        <f>IFERROR(LOOKUP(2,1/('Weekly Tracker'!$E$2:$E$766=$A1450)/('Weekly Tracker'!$O$2:$O$766&lt;&gt;""),'Weekly Tracker'!$O$2:$O$766),"")</f>
        <v/>
      </c>
    </row>
    <row r="1451">
      <c r="A1451" s="9" t="inlineStr">
        <is>
          <t>Ashok Avd FB</t>
        </is>
      </c>
      <c r="B1451" s="9" t="inlineStr">
        <is>
          <t>916382962954, 9092523730</t>
        </is>
      </c>
      <c r="C1451" s="9" t="n"/>
      <c r="D1451" s="9" t="n"/>
      <c r="E1451" s="9" t="n"/>
      <c r="F1451" s="9">
        <f>IFERROR(LOOKUP(2,1/('Weekly Tracker'!$E$2:$E$766=$A1451)/('Weekly Tracker'!$F$2:$F$766&lt;&gt;""),'Weekly Tracker'!$F$2:$F$766),"")</f>
        <v/>
      </c>
      <c r="G1451" s="16">
        <f>IF(F1451&lt;&gt;"",LOOKUP(2,1/('Weekly Tracker'!$E$2:$E$766=$A1451)/('Weekly Tracker'!$F$2:$F$766&lt;&gt;""),'Weekly Tracker'!$G$2:$G$766),"")</f>
        <v/>
      </c>
      <c r="H1451" s="9">
        <f>IFERROR(LOOKUP(2,1/('Weekly Tracker'!$E$2:$E$766=$A1451)/('Weekly Tracker'!$H$2:$H$766&lt;&gt;""),'Weekly Tracker'!$H$2:$H$766),"")</f>
        <v/>
      </c>
      <c r="I1451" s="16">
        <f>IF(H1451&lt;&gt;"",LOOKUP(2,1/('Weekly Tracker'!$E$2:$E$766=$A1451)/('Weekly Tracker'!$H$2:$H$766&lt;&gt;""),'Weekly Tracker'!$I$2:$I$766),"")</f>
        <v/>
      </c>
      <c r="J1451" s="9">
        <f>IFERROR(LOOKUP(2,1/('Weekly Tracker'!$E$2:$E$766=$A1451)/('Weekly Tracker'!$J$2:$J$766&lt;&gt;""),'Weekly Tracker'!$J$2:$J$766),"")</f>
        <v/>
      </c>
      <c r="K1451" s="9">
        <f>IFERROR(LOOKUP(2,1/('Weekly Tracker'!$E$2:$E$766=$A1451)/('Weekly Tracker'!$N$2:$N$766&lt;&gt;""),'Weekly Tracker'!$N$2:$N$766),"")</f>
        <v/>
      </c>
      <c r="L1451" s="9">
        <f>IFERROR(LOOKUP(2,1/('Weekly Tracker'!$E$2:$E$766=$A1451)/('Weekly Tracker'!$O$2:$O$766&lt;&gt;""),'Weekly Tracker'!$O$2:$O$766),"")</f>
        <v/>
      </c>
    </row>
    <row r="1452">
      <c r="A1452" s="9" t="inlineStr">
        <is>
          <t>Magesh Duabi FB</t>
        </is>
      </c>
      <c r="B1452" s="9" t="inlineStr">
        <is>
          <t>+971 52 204 0210</t>
        </is>
      </c>
      <c r="C1452" s="9" t="n"/>
      <c r="D1452" s="9" t="n"/>
      <c r="E1452" s="9" t="n"/>
      <c r="F1452" s="9">
        <f>IFERROR(LOOKUP(2,1/('Weekly Tracker'!$E$2:$E$766=$A1452)/('Weekly Tracker'!$F$2:$F$766&lt;&gt;""),'Weekly Tracker'!$F$2:$F$766),"")</f>
        <v/>
      </c>
      <c r="G1452" s="16">
        <f>IF(F1452&lt;&gt;"",LOOKUP(2,1/('Weekly Tracker'!$E$2:$E$766=$A1452)/('Weekly Tracker'!$F$2:$F$766&lt;&gt;""),'Weekly Tracker'!$G$2:$G$766),"")</f>
        <v/>
      </c>
      <c r="H1452" s="9">
        <f>IFERROR(LOOKUP(2,1/('Weekly Tracker'!$E$2:$E$766=$A1452)/('Weekly Tracker'!$H$2:$H$766&lt;&gt;""),'Weekly Tracker'!$H$2:$H$766),"")</f>
        <v/>
      </c>
      <c r="I1452" s="16">
        <f>IF(H1452&lt;&gt;"",LOOKUP(2,1/('Weekly Tracker'!$E$2:$E$766=$A1452)/('Weekly Tracker'!$H$2:$H$766&lt;&gt;""),'Weekly Tracker'!$I$2:$I$766),"")</f>
        <v/>
      </c>
      <c r="J1452" s="9">
        <f>IFERROR(LOOKUP(2,1/('Weekly Tracker'!$E$2:$E$766=$A1452)/('Weekly Tracker'!$J$2:$J$766&lt;&gt;""),'Weekly Tracker'!$J$2:$J$766),"")</f>
        <v/>
      </c>
      <c r="K1452" s="9">
        <f>IFERROR(LOOKUP(2,1/('Weekly Tracker'!$E$2:$E$766=$A1452)/('Weekly Tracker'!$N$2:$N$766&lt;&gt;""),'Weekly Tracker'!$N$2:$N$766),"")</f>
        <v/>
      </c>
      <c r="L1452" s="9">
        <f>IFERROR(LOOKUP(2,1/('Weekly Tracker'!$E$2:$E$766=$A1452)/('Weekly Tracker'!$O$2:$O$766&lt;&gt;""),'Weekly Tracker'!$O$2:$O$766),"")</f>
        <v/>
      </c>
    </row>
    <row r="1453">
      <c r="A1453" s="9" t="inlineStr">
        <is>
          <t>Pan Change Poonamallee</t>
        </is>
      </c>
      <c r="B1453" s="9" t="inlineStr">
        <is>
          <t>9840225547</t>
        </is>
      </c>
      <c r="C1453" s="9" t="n"/>
      <c r="D1453" s="9" t="n"/>
      <c r="E1453" s="9" t="n"/>
      <c r="F1453" s="9">
        <f>IFERROR(LOOKUP(2,1/('Weekly Tracker'!$E$2:$E$766=$A1453)/('Weekly Tracker'!$F$2:$F$766&lt;&gt;""),'Weekly Tracker'!$F$2:$F$766),"")</f>
        <v/>
      </c>
      <c r="G1453" s="16">
        <f>IF(F1453&lt;&gt;"",LOOKUP(2,1/('Weekly Tracker'!$E$2:$E$766=$A1453)/('Weekly Tracker'!$F$2:$F$766&lt;&gt;""),'Weekly Tracker'!$G$2:$G$766),"")</f>
        <v/>
      </c>
      <c r="H1453" s="9">
        <f>IFERROR(LOOKUP(2,1/('Weekly Tracker'!$E$2:$E$766=$A1453)/('Weekly Tracker'!$H$2:$H$766&lt;&gt;""),'Weekly Tracker'!$H$2:$H$766),"")</f>
        <v/>
      </c>
      <c r="I1453" s="16">
        <f>IF(H1453&lt;&gt;"",LOOKUP(2,1/('Weekly Tracker'!$E$2:$E$766=$A1453)/('Weekly Tracker'!$H$2:$H$766&lt;&gt;""),'Weekly Tracker'!$I$2:$I$766),"")</f>
        <v/>
      </c>
      <c r="J1453" s="9">
        <f>IFERROR(LOOKUP(2,1/('Weekly Tracker'!$E$2:$E$766=$A1453)/('Weekly Tracker'!$J$2:$J$766&lt;&gt;""),'Weekly Tracker'!$J$2:$J$766),"")</f>
        <v/>
      </c>
      <c r="K1453" s="9">
        <f>IFERROR(LOOKUP(2,1/('Weekly Tracker'!$E$2:$E$766=$A1453)/('Weekly Tracker'!$N$2:$N$766&lt;&gt;""),'Weekly Tracker'!$N$2:$N$766),"")</f>
        <v/>
      </c>
      <c r="L1453" s="9">
        <f>IFERROR(LOOKUP(2,1/('Weekly Tracker'!$E$2:$E$766=$A1453)/('Weekly Tracker'!$O$2:$O$766&lt;&gt;""),'Weekly Tracker'!$O$2:$O$766),"")</f>
        <v/>
      </c>
    </row>
    <row r="1454">
      <c r="A1454" s="9" t="inlineStr">
        <is>
          <t>Jagan Raj FB</t>
        </is>
      </c>
      <c r="B1454" s="9" t="inlineStr">
        <is>
          <t>9787371462</t>
        </is>
      </c>
      <c r="C1454" s="9" t="n"/>
      <c r="D1454" s="9" t="n"/>
      <c r="E1454" s="9" t="n"/>
      <c r="F1454" s="9">
        <f>IFERROR(LOOKUP(2,1/('Weekly Tracker'!$E$2:$E$766=$A1454)/('Weekly Tracker'!$F$2:$F$766&lt;&gt;""),'Weekly Tracker'!$F$2:$F$766),"")</f>
        <v/>
      </c>
      <c r="G1454" s="16">
        <f>IF(F1454&lt;&gt;"",LOOKUP(2,1/('Weekly Tracker'!$E$2:$E$766=$A1454)/('Weekly Tracker'!$F$2:$F$766&lt;&gt;""),'Weekly Tracker'!$G$2:$G$766),"")</f>
        <v/>
      </c>
      <c r="H1454" s="9">
        <f>IFERROR(LOOKUP(2,1/('Weekly Tracker'!$E$2:$E$766=$A1454)/('Weekly Tracker'!$H$2:$H$766&lt;&gt;""),'Weekly Tracker'!$H$2:$H$766),"")</f>
        <v/>
      </c>
      <c r="I1454" s="16">
        <f>IF(H1454&lt;&gt;"",LOOKUP(2,1/('Weekly Tracker'!$E$2:$E$766=$A1454)/('Weekly Tracker'!$H$2:$H$766&lt;&gt;""),'Weekly Tracker'!$I$2:$I$766),"")</f>
        <v/>
      </c>
      <c r="J1454" s="9">
        <f>IFERROR(LOOKUP(2,1/('Weekly Tracker'!$E$2:$E$766=$A1454)/('Weekly Tracker'!$J$2:$J$766&lt;&gt;""),'Weekly Tracker'!$J$2:$J$766),"")</f>
        <v/>
      </c>
      <c r="K1454" s="9">
        <f>IFERROR(LOOKUP(2,1/('Weekly Tracker'!$E$2:$E$766=$A1454)/('Weekly Tracker'!$N$2:$N$766&lt;&gt;""),'Weekly Tracker'!$N$2:$N$766),"")</f>
        <v/>
      </c>
      <c r="L1454" s="9">
        <f>IFERROR(LOOKUP(2,1/('Weekly Tracker'!$E$2:$E$766=$A1454)/('Weekly Tracker'!$O$2:$O$766&lt;&gt;""),'Weekly Tracker'!$O$2:$O$766),"")</f>
        <v/>
      </c>
    </row>
    <row r="1455">
      <c r="A1455" s="9" t="inlineStr">
        <is>
          <t>ASHOK KUMAR Hnuc Scl</t>
        </is>
      </c>
      <c r="B1455" s="9" t="inlineStr">
        <is>
          <t>916374180321, 919750319600</t>
        </is>
      </c>
      <c r="C1455" s="9" t="n"/>
      <c r="D1455" s="9" t="n"/>
      <c r="E1455" s="9" t="n"/>
      <c r="F1455" s="9">
        <f>IFERROR(LOOKUP(2,1/('Weekly Tracker'!$E$2:$E$766=$A1455)/('Weekly Tracker'!$F$2:$F$766&lt;&gt;""),'Weekly Tracker'!$F$2:$F$766),"")</f>
        <v/>
      </c>
      <c r="G1455" s="16">
        <f>IF(F1455&lt;&gt;"",LOOKUP(2,1/('Weekly Tracker'!$E$2:$E$766=$A1455)/('Weekly Tracker'!$F$2:$F$766&lt;&gt;""),'Weekly Tracker'!$G$2:$G$766),"")</f>
        <v/>
      </c>
      <c r="H1455" s="9">
        <f>IFERROR(LOOKUP(2,1/('Weekly Tracker'!$E$2:$E$766=$A1455)/('Weekly Tracker'!$H$2:$H$766&lt;&gt;""),'Weekly Tracker'!$H$2:$H$766),"")</f>
        <v/>
      </c>
      <c r="I1455" s="16">
        <f>IF(H1455&lt;&gt;"",LOOKUP(2,1/('Weekly Tracker'!$E$2:$E$766=$A1455)/('Weekly Tracker'!$H$2:$H$766&lt;&gt;""),'Weekly Tracker'!$I$2:$I$766),"")</f>
        <v/>
      </c>
      <c r="J1455" s="9">
        <f>IFERROR(LOOKUP(2,1/('Weekly Tracker'!$E$2:$E$766=$A1455)/('Weekly Tracker'!$J$2:$J$766&lt;&gt;""),'Weekly Tracker'!$J$2:$J$766),"")</f>
        <v/>
      </c>
      <c r="K1455" s="9">
        <f>IFERROR(LOOKUP(2,1/('Weekly Tracker'!$E$2:$E$766=$A1455)/('Weekly Tracker'!$N$2:$N$766&lt;&gt;""),'Weekly Tracker'!$N$2:$N$766),"")</f>
        <v/>
      </c>
      <c r="L1455" s="9">
        <f>IFERROR(LOOKUP(2,1/('Weekly Tracker'!$E$2:$E$766=$A1455)/('Weekly Tracker'!$O$2:$O$766&lt;&gt;""),'Weekly Tracker'!$O$2:$O$766),"")</f>
        <v/>
      </c>
    </row>
    <row r="1456">
      <c r="A1456" s="9" t="inlineStr">
        <is>
          <t>Iyappan L&amp;T</t>
        </is>
      </c>
      <c r="B1456" s="9" t="inlineStr">
        <is>
          <t>919944680443</t>
        </is>
      </c>
      <c r="C1456" s="9" t="n"/>
      <c r="D1456" s="9" t="n"/>
      <c r="E1456" s="9" t="n"/>
      <c r="F1456" s="9">
        <f>IFERROR(LOOKUP(2,1/('Weekly Tracker'!$E$2:$E$766=$A1456)/('Weekly Tracker'!$F$2:$F$766&lt;&gt;""),'Weekly Tracker'!$F$2:$F$766),"")</f>
        <v/>
      </c>
      <c r="G1456" s="16">
        <f>IF(F1456&lt;&gt;"",LOOKUP(2,1/('Weekly Tracker'!$E$2:$E$766=$A1456)/('Weekly Tracker'!$F$2:$F$766&lt;&gt;""),'Weekly Tracker'!$G$2:$G$766),"")</f>
        <v/>
      </c>
      <c r="H1456" s="9">
        <f>IFERROR(LOOKUP(2,1/('Weekly Tracker'!$E$2:$E$766=$A1456)/('Weekly Tracker'!$H$2:$H$766&lt;&gt;""),'Weekly Tracker'!$H$2:$H$766),"")</f>
        <v/>
      </c>
      <c r="I1456" s="16">
        <f>IF(H1456&lt;&gt;"",LOOKUP(2,1/('Weekly Tracker'!$E$2:$E$766=$A1456)/('Weekly Tracker'!$H$2:$H$766&lt;&gt;""),'Weekly Tracker'!$I$2:$I$766),"")</f>
        <v/>
      </c>
      <c r="J1456" s="9">
        <f>IFERROR(LOOKUP(2,1/('Weekly Tracker'!$E$2:$E$766=$A1456)/('Weekly Tracker'!$J$2:$J$766&lt;&gt;""),'Weekly Tracker'!$J$2:$J$766),"")</f>
        <v/>
      </c>
      <c r="K1456" s="9">
        <f>IFERROR(LOOKUP(2,1/('Weekly Tracker'!$E$2:$E$766=$A1456)/('Weekly Tracker'!$N$2:$N$766&lt;&gt;""),'Weekly Tracker'!$N$2:$N$766),"")</f>
        <v/>
      </c>
      <c r="L1456" s="9">
        <f>IFERROR(LOOKUP(2,1/('Weekly Tracker'!$E$2:$E$766=$A1456)/('Weekly Tracker'!$O$2:$O$766&lt;&gt;""),'Weekly Tracker'!$O$2:$O$766),"")</f>
        <v/>
      </c>
    </row>
    <row r="1457">
      <c r="A1457" s="9" t="inlineStr">
        <is>
          <t>Manokar Scl</t>
        </is>
      </c>
      <c r="B1457" s="9" t="inlineStr">
        <is>
          <t>8668044620</t>
        </is>
      </c>
      <c r="C1457" s="9" t="n"/>
      <c r="D1457" s="9" t="n"/>
      <c r="E1457" s="9" t="n"/>
      <c r="F1457" s="9">
        <f>IFERROR(LOOKUP(2,1/('Weekly Tracker'!$E$2:$E$766=$A1457)/('Weekly Tracker'!$F$2:$F$766&lt;&gt;""),'Weekly Tracker'!$F$2:$F$766),"")</f>
        <v/>
      </c>
      <c r="G1457" s="16">
        <f>IF(F1457&lt;&gt;"",LOOKUP(2,1/('Weekly Tracker'!$E$2:$E$766=$A1457)/('Weekly Tracker'!$F$2:$F$766&lt;&gt;""),'Weekly Tracker'!$G$2:$G$766),"")</f>
        <v/>
      </c>
      <c r="H1457" s="9">
        <f>IFERROR(LOOKUP(2,1/('Weekly Tracker'!$E$2:$E$766=$A1457)/('Weekly Tracker'!$H$2:$H$766&lt;&gt;""),'Weekly Tracker'!$H$2:$H$766),"")</f>
        <v/>
      </c>
      <c r="I1457" s="16">
        <f>IF(H1457&lt;&gt;"",LOOKUP(2,1/('Weekly Tracker'!$E$2:$E$766=$A1457)/('Weekly Tracker'!$H$2:$H$766&lt;&gt;""),'Weekly Tracker'!$I$2:$I$766),"")</f>
        <v/>
      </c>
      <c r="J1457" s="9">
        <f>IFERROR(LOOKUP(2,1/('Weekly Tracker'!$E$2:$E$766=$A1457)/('Weekly Tracker'!$J$2:$J$766&lt;&gt;""),'Weekly Tracker'!$J$2:$J$766),"")</f>
        <v/>
      </c>
      <c r="K1457" s="9">
        <f>IFERROR(LOOKUP(2,1/('Weekly Tracker'!$E$2:$E$766=$A1457)/('Weekly Tracker'!$N$2:$N$766&lt;&gt;""),'Weekly Tracker'!$N$2:$N$766),"")</f>
        <v/>
      </c>
      <c r="L1457" s="9">
        <f>IFERROR(LOOKUP(2,1/('Weekly Tracker'!$E$2:$E$766=$A1457)/('Weekly Tracker'!$O$2:$O$766&lt;&gt;""),'Weekly Tracker'!$O$2:$O$766),"")</f>
        <v/>
      </c>
    </row>
    <row r="1458">
      <c r="A1458" s="9" t="inlineStr">
        <is>
          <t>Rajesh Sharma Grp</t>
        </is>
      </c>
      <c r="B1458" s="9" t="inlineStr">
        <is>
          <t>918056394663</t>
        </is>
      </c>
      <c r="C1458" s="9" t="n"/>
      <c r="D1458" s="9" t="n"/>
      <c r="E1458" s="9" t="n"/>
      <c r="F1458" s="9">
        <f>IFERROR(LOOKUP(2,1/('Weekly Tracker'!$E$2:$E$766=$A1458)/('Weekly Tracker'!$F$2:$F$766&lt;&gt;""),'Weekly Tracker'!$F$2:$F$766),"")</f>
        <v/>
      </c>
      <c r="G1458" s="16">
        <f>IF(F1458&lt;&gt;"",LOOKUP(2,1/('Weekly Tracker'!$E$2:$E$766=$A1458)/('Weekly Tracker'!$F$2:$F$766&lt;&gt;""),'Weekly Tracker'!$G$2:$G$766),"")</f>
        <v/>
      </c>
      <c r="H1458" s="9">
        <f>IFERROR(LOOKUP(2,1/('Weekly Tracker'!$E$2:$E$766=$A1458)/('Weekly Tracker'!$H$2:$H$766&lt;&gt;""),'Weekly Tracker'!$H$2:$H$766),"")</f>
        <v/>
      </c>
      <c r="I1458" s="16">
        <f>IF(H1458&lt;&gt;"",LOOKUP(2,1/('Weekly Tracker'!$E$2:$E$766=$A1458)/('Weekly Tracker'!$H$2:$H$766&lt;&gt;""),'Weekly Tracker'!$I$2:$I$766),"")</f>
        <v/>
      </c>
      <c r="J1458" s="9">
        <f>IFERROR(LOOKUP(2,1/('Weekly Tracker'!$E$2:$E$766=$A1458)/('Weekly Tracker'!$J$2:$J$766&lt;&gt;""),'Weekly Tracker'!$J$2:$J$766),"")</f>
        <v/>
      </c>
      <c r="K1458" s="9">
        <f>IFERROR(LOOKUP(2,1/('Weekly Tracker'!$E$2:$E$766=$A1458)/('Weekly Tracker'!$N$2:$N$766&lt;&gt;""),'Weekly Tracker'!$N$2:$N$766),"")</f>
        <v/>
      </c>
      <c r="L1458" s="9">
        <f>IFERROR(LOOKUP(2,1/('Weekly Tracker'!$E$2:$E$766=$A1458)/('Weekly Tracker'!$O$2:$O$766&lt;&gt;""),'Weekly Tracker'!$O$2:$O$766),"")</f>
        <v/>
      </c>
    </row>
    <row r="1459">
      <c r="A1459" s="9" t="inlineStr">
        <is>
          <t>Karthick Anna</t>
        </is>
      </c>
      <c r="B1459" s="9" t="inlineStr">
        <is>
          <t>919841656720</t>
        </is>
      </c>
      <c r="C1459" s="9" t="n"/>
      <c r="D1459" s="9" t="n"/>
      <c r="E1459" s="9" t="n"/>
      <c r="F1459" s="9">
        <f>IFERROR(LOOKUP(2,1/('Weekly Tracker'!$E$2:$E$766=$A1459)/('Weekly Tracker'!$F$2:$F$766&lt;&gt;""),'Weekly Tracker'!$F$2:$F$766),"")</f>
        <v/>
      </c>
      <c r="G1459" s="16">
        <f>IF(F1459&lt;&gt;"",LOOKUP(2,1/('Weekly Tracker'!$E$2:$E$766=$A1459)/('Weekly Tracker'!$F$2:$F$766&lt;&gt;""),'Weekly Tracker'!$G$2:$G$766),"")</f>
        <v/>
      </c>
      <c r="H1459" s="9">
        <f>IFERROR(LOOKUP(2,1/('Weekly Tracker'!$E$2:$E$766=$A1459)/('Weekly Tracker'!$H$2:$H$766&lt;&gt;""),'Weekly Tracker'!$H$2:$H$766),"")</f>
        <v/>
      </c>
      <c r="I1459" s="16">
        <f>IF(H1459&lt;&gt;"",LOOKUP(2,1/('Weekly Tracker'!$E$2:$E$766=$A1459)/('Weekly Tracker'!$H$2:$H$766&lt;&gt;""),'Weekly Tracker'!$I$2:$I$766),"")</f>
        <v/>
      </c>
      <c r="J1459" s="9">
        <f>IFERROR(LOOKUP(2,1/('Weekly Tracker'!$E$2:$E$766=$A1459)/('Weekly Tracker'!$J$2:$J$766&lt;&gt;""),'Weekly Tracker'!$J$2:$J$766),"")</f>
        <v/>
      </c>
      <c r="K1459" s="9">
        <f>IFERROR(LOOKUP(2,1/('Weekly Tracker'!$E$2:$E$766=$A1459)/('Weekly Tracker'!$N$2:$N$766&lt;&gt;""),'Weekly Tracker'!$N$2:$N$766),"")</f>
        <v/>
      </c>
      <c r="L1459" s="9">
        <f>IFERROR(LOOKUP(2,1/('Weekly Tracker'!$E$2:$E$766=$A1459)/('Weekly Tracker'!$O$2:$O$766&lt;&gt;""),'Weekly Tracker'!$O$2:$O$766),"")</f>
        <v/>
      </c>
    </row>
    <row r="1460">
      <c r="A1460" s="9" t="inlineStr">
        <is>
          <t>Jothi varman Scl</t>
        </is>
      </c>
      <c r="B1460" s="9" t="inlineStr">
        <is>
          <t>918508977242</t>
        </is>
      </c>
      <c r="C1460" s="9" t="n"/>
      <c r="D1460" s="9" t="n"/>
      <c r="E1460" s="9" t="n"/>
      <c r="F1460" s="9">
        <f>IFERROR(LOOKUP(2,1/('Weekly Tracker'!$E$2:$E$766=$A1460)/('Weekly Tracker'!$F$2:$F$766&lt;&gt;""),'Weekly Tracker'!$F$2:$F$766),"")</f>
        <v/>
      </c>
      <c r="G1460" s="16">
        <f>IF(F1460&lt;&gt;"",LOOKUP(2,1/('Weekly Tracker'!$E$2:$E$766=$A1460)/('Weekly Tracker'!$F$2:$F$766&lt;&gt;""),'Weekly Tracker'!$G$2:$G$766),"")</f>
        <v/>
      </c>
      <c r="H1460" s="9">
        <f>IFERROR(LOOKUP(2,1/('Weekly Tracker'!$E$2:$E$766=$A1460)/('Weekly Tracker'!$H$2:$H$766&lt;&gt;""),'Weekly Tracker'!$H$2:$H$766),"")</f>
        <v/>
      </c>
      <c r="I1460" s="16">
        <f>IF(H1460&lt;&gt;"",LOOKUP(2,1/('Weekly Tracker'!$E$2:$E$766=$A1460)/('Weekly Tracker'!$H$2:$H$766&lt;&gt;""),'Weekly Tracker'!$I$2:$I$766),"")</f>
        <v/>
      </c>
      <c r="J1460" s="9">
        <f>IFERROR(LOOKUP(2,1/('Weekly Tracker'!$E$2:$E$766=$A1460)/('Weekly Tracker'!$J$2:$J$766&lt;&gt;""),'Weekly Tracker'!$J$2:$J$766),"")</f>
        <v/>
      </c>
      <c r="K1460" s="9">
        <f>IFERROR(LOOKUP(2,1/('Weekly Tracker'!$E$2:$E$766=$A1460)/('Weekly Tracker'!$N$2:$N$766&lt;&gt;""),'Weekly Tracker'!$N$2:$N$766),"")</f>
        <v/>
      </c>
      <c r="L1460" s="9">
        <f>IFERROR(LOOKUP(2,1/('Weekly Tracker'!$E$2:$E$766=$A1460)/('Weekly Tracker'!$O$2:$O$766&lt;&gt;""),'Weekly Tracker'!$O$2:$O$766),"")</f>
        <v/>
      </c>
    </row>
    <row r="1461">
      <c r="A1461" s="9" t="inlineStr">
        <is>
          <t>Dhass Raju FB</t>
        </is>
      </c>
      <c r="B1461" s="9" t="inlineStr">
        <is>
          <t>08078 134 512</t>
        </is>
      </c>
      <c r="C1461" s="9" t="n"/>
      <c r="D1461" s="9" t="n"/>
      <c r="E1461" s="9" t="n"/>
      <c r="F1461" s="9">
        <f>IFERROR(LOOKUP(2,1/('Weekly Tracker'!$E$2:$E$766=$A1461)/('Weekly Tracker'!$F$2:$F$766&lt;&gt;""),'Weekly Tracker'!$F$2:$F$766),"")</f>
        <v/>
      </c>
      <c r="G1461" s="16">
        <f>IF(F1461&lt;&gt;"",LOOKUP(2,1/('Weekly Tracker'!$E$2:$E$766=$A1461)/('Weekly Tracker'!$F$2:$F$766&lt;&gt;""),'Weekly Tracker'!$G$2:$G$766),"")</f>
        <v/>
      </c>
      <c r="H1461" s="9">
        <f>IFERROR(LOOKUP(2,1/('Weekly Tracker'!$E$2:$E$766=$A1461)/('Weekly Tracker'!$H$2:$H$766&lt;&gt;""),'Weekly Tracker'!$H$2:$H$766),"")</f>
        <v/>
      </c>
      <c r="I1461" s="16">
        <f>IF(H1461&lt;&gt;"",LOOKUP(2,1/('Weekly Tracker'!$E$2:$E$766=$A1461)/('Weekly Tracker'!$H$2:$H$766&lt;&gt;""),'Weekly Tracker'!$I$2:$I$766),"")</f>
        <v/>
      </c>
      <c r="J1461" s="9">
        <f>IFERROR(LOOKUP(2,1/('Weekly Tracker'!$E$2:$E$766=$A1461)/('Weekly Tracker'!$J$2:$J$766&lt;&gt;""),'Weekly Tracker'!$J$2:$J$766),"")</f>
        <v/>
      </c>
      <c r="K1461" s="9">
        <f>IFERROR(LOOKUP(2,1/('Weekly Tracker'!$E$2:$E$766=$A1461)/('Weekly Tracker'!$N$2:$N$766&lt;&gt;""),'Weekly Tracker'!$N$2:$N$766),"")</f>
        <v/>
      </c>
      <c r="L1461" s="9">
        <f>IFERROR(LOOKUP(2,1/('Weekly Tracker'!$E$2:$E$766=$A1461)/('Weekly Tracker'!$O$2:$O$766&lt;&gt;""),'Weekly Tracker'!$O$2:$O$766),"")</f>
        <v/>
      </c>
    </row>
    <row r="1462">
      <c r="A1462" s="9" t="inlineStr">
        <is>
          <t>Partha Sarathy Urja</t>
        </is>
      </c>
      <c r="B1462" s="9" t="inlineStr">
        <is>
          <t>9629667642</t>
        </is>
      </c>
      <c r="C1462" s="9" t="n"/>
      <c r="D1462" s="9" t="n"/>
      <c r="E1462" s="9" t="n"/>
      <c r="F1462" s="9">
        <f>IFERROR(LOOKUP(2,1/('Weekly Tracker'!$E$2:$E$766=$A1462)/('Weekly Tracker'!$F$2:$F$766&lt;&gt;""),'Weekly Tracker'!$F$2:$F$766),"")</f>
        <v/>
      </c>
      <c r="G1462" s="16">
        <f>IF(F1462&lt;&gt;"",LOOKUP(2,1/('Weekly Tracker'!$E$2:$E$766=$A1462)/('Weekly Tracker'!$F$2:$F$766&lt;&gt;""),'Weekly Tracker'!$G$2:$G$766),"")</f>
        <v/>
      </c>
      <c r="H1462" s="9">
        <f>IFERROR(LOOKUP(2,1/('Weekly Tracker'!$E$2:$E$766=$A1462)/('Weekly Tracker'!$H$2:$H$766&lt;&gt;""),'Weekly Tracker'!$H$2:$H$766),"")</f>
        <v/>
      </c>
      <c r="I1462" s="16">
        <f>IF(H1462&lt;&gt;"",LOOKUP(2,1/('Weekly Tracker'!$E$2:$E$766=$A1462)/('Weekly Tracker'!$H$2:$H$766&lt;&gt;""),'Weekly Tracker'!$I$2:$I$766),"")</f>
        <v/>
      </c>
      <c r="J1462" s="9">
        <f>IFERROR(LOOKUP(2,1/('Weekly Tracker'!$E$2:$E$766=$A1462)/('Weekly Tracker'!$J$2:$J$766&lt;&gt;""),'Weekly Tracker'!$J$2:$J$766),"")</f>
        <v/>
      </c>
      <c r="K1462" s="9">
        <f>IFERROR(LOOKUP(2,1/('Weekly Tracker'!$E$2:$E$766=$A1462)/('Weekly Tracker'!$N$2:$N$766&lt;&gt;""),'Weekly Tracker'!$N$2:$N$766),"")</f>
        <v/>
      </c>
      <c r="L1462" s="9">
        <f>IFERROR(LOOKUP(2,1/('Weekly Tracker'!$E$2:$E$766=$A1462)/('Weekly Tracker'!$O$2:$O$766&lt;&gt;""),'Weekly Tracker'!$O$2:$O$766),"")</f>
        <v/>
      </c>
    </row>
    <row r="1463">
      <c r="A1463" s="9" t="inlineStr">
        <is>
          <t>Thilson GP</t>
        </is>
      </c>
      <c r="B1463" s="9" t="inlineStr">
        <is>
          <t>917639226142</t>
        </is>
      </c>
      <c r="C1463" s="9" t="n"/>
      <c r="D1463" s="9" t="n"/>
      <c r="E1463" s="9" t="n"/>
      <c r="F1463" s="9">
        <f>IFERROR(LOOKUP(2,1/('Weekly Tracker'!$E$2:$E$766=$A1463)/('Weekly Tracker'!$F$2:$F$766&lt;&gt;""),'Weekly Tracker'!$F$2:$F$766),"")</f>
        <v/>
      </c>
      <c r="G1463" s="16">
        <f>IF(F1463&lt;&gt;"",LOOKUP(2,1/('Weekly Tracker'!$E$2:$E$766=$A1463)/('Weekly Tracker'!$F$2:$F$766&lt;&gt;""),'Weekly Tracker'!$G$2:$G$766),"")</f>
        <v/>
      </c>
      <c r="H1463" s="9">
        <f>IFERROR(LOOKUP(2,1/('Weekly Tracker'!$E$2:$E$766=$A1463)/('Weekly Tracker'!$H$2:$H$766&lt;&gt;""),'Weekly Tracker'!$H$2:$H$766),"")</f>
        <v/>
      </c>
      <c r="I1463" s="16">
        <f>IF(H1463&lt;&gt;"",LOOKUP(2,1/('Weekly Tracker'!$E$2:$E$766=$A1463)/('Weekly Tracker'!$H$2:$H$766&lt;&gt;""),'Weekly Tracker'!$I$2:$I$766),"")</f>
        <v/>
      </c>
      <c r="J1463" s="9">
        <f>IFERROR(LOOKUP(2,1/('Weekly Tracker'!$E$2:$E$766=$A1463)/('Weekly Tracker'!$J$2:$J$766&lt;&gt;""),'Weekly Tracker'!$J$2:$J$766),"")</f>
        <v/>
      </c>
      <c r="K1463" s="9">
        <f>IFERROR(LOOKUP(2,1/('Weekly Tracker'!$E$2:$E$766=$A1463)/('Weekly Tracker'!$N$2:$N$766&lt;&gt;""),'Weekly Tracker'!$N$2:$N$766),"")</f>
        <v/>
      </c>
      <c r="L1463" s="9">
        <f>IFERROR(LOOKUP(2,1/('Weekly Tracker'!$E$2:$E$766=$A1463)/('Weekly Tracker'!$O$2:$O$766&lt;&gt;""),'Weekly Tracker'!$O$2:$O$766),"")</f>
        <v/>
      </c>
    </row>
    <row r="1464">
      <c r="A1464" s="9" t="inlineStr">
        <is>
          <t>Sumanth Urja</t>
        </is>
      </c>
      <c r="B1464" s="9" t="inlineStr">
        <is>
          <t>918143501439</t>
        </is>
      </c>
      <c r="C1464" s="9" t="n"/>
      <c r="D1464" s="9" t="n"/>
      <c r="E1464" s="9" t="n"/>
      <c r="F1464" s="9">
        <f>IFERROR(LOOKUP(2,1/('Weekly Tracker'!$E$2:$E$766=$A1464)/('Weekly Tracker'!$F$2:$F$766&lt;&gt;""),'Weekly Tracker'!$F$2:$F$766),"")</f>
        <v/>
      </c>
      <c r="G1464" s="16">
        <f>IF(F1464&lt;&gt;"",LOOKUP(2,1/('Weekly Tracker'!$E$2:$E$766=$A1464)/('Weekly Tracker'!$F$2:$F$766&lt;&gt;""),'Weekly Tracker'!$G$2:$G$766),"")</f>
        <v/>
      </c>
      <c r="H1464" s="9">
        <f>IFERROR(LOOKUP(2,1/('Weekly Tracker'!$E$2:$E$766=$A1464)/('Weekly Tracker'!$H$2:$H$766&lt;&gt;""),'Weekly Tracker'!$H$2:$H$766),"")</f>
        <v/>
      </c>
      <c r="I1464" s="16">
        <f>IF(H1464&lt;&gt;"",LOOKUP(2,1/('Weekly Tracker'!$E$2:$E$766=$A1464)/('Weekly Tracker'!$H$2:$H$766&lt;&gt;""),'Weekly Tracker'!$I$2:$I$766),"")</f>
        <v/>
      </c>
      <c r="J1464" s="9">
        <f>IFERROR(LOOKUP(2,1/('Weekly Tracker'!$E$2:$E$766=$A1464)/('Weekly Tracker'!$J$2:$J$766&lt;&gt;""),'Weekly Tracker'!$J$2:$J$766),"")</f>
        <v/>
      </c>
      <c r="K1464" s="9">
        <f>IFERROR(LOOKUP(2,1/('Weekly Tracker'!$E$2:$E$766=$A1464)/('Weekly Tracker'!$N$2:$N$766&lt;&gt;""),'Weekly Tracker'!$N$2:$N$766),"")</f>
        <v/>
      </c>
      <c r="L1464" s="9">
        <f>IFERROR(LOOKUP(2,1/('Weekly Tracker'!$E$2:$E$766=$A1464)/('Weekly Tracker'!$O$2:$O$766&lt;&gt;""),'Weekly Tracker'!$O$2:$O$766),"")</f>
        <v/>
      </c>
    </row>
    <row r="1465">
      <c r="A1465" s="9" t="inlineStr">
        <is>
          <t>Aishwarya PL</t>
        </is>
      </c>
      <c r="B1465" s="9" t="inlineStr">
        <is>
          <t>918608370177</t>
        </is>
      </c>
      <c r="C1465" s="9" t="n"/>
      <c r="D1465" s="9" t="n"/>
      <c r="E1465" s="9" t="n"/>
      <c r="F1465" s="9">
        <f>IFERROR(LOOKUP(2,1/('Weekly Tracker'!$E$2:$E$766=$A1465)/('Weekly Tracker'!$F$2:$F$766&lt;&gt;""),'Weekly Tracker'!$F$2:$F$766),"")</f>
        <v/>
      </c>
      <c r="G1465" s="16">
        <f>IF(F1465&lt;&gt;"",LOOKUP(2,1/('Weekly Tracker'!$E$2:$E$766=$A1465)/('Weekly Tracker'!$F$2:$F$766&lt;&gt;""),'Weekly Tracker'!$G$2:$G$766),"")</f>
        <v/>
      </c>
      <c r="H1465" s="9">
        <f>IFERROR(LOOKUP(2,1/('Weekly Tracker'!$E$2:$E$766=$A1465)/('Weekly Tracker'!$H$2:$H$766&lt;&gt;""),'Weekly Tracker'!$H$2:$H$766),"")</f>
        <v/>
      </c>
      <c r="I1465" s="16">
        <f>IF(H1465&lt;&gt;"",LOOKUP(2,1/('Weekly Tracker'!$E$2:$E$766=$A1465)/('Weekly Tracker'!$H$2:$H$766&lt;&gt;""),'Weekly Tracker'!$I$2:$I$766),"")</f>
        <v/>
      </c>
      <c r="J1465" s="9">
        <f>IFERROR(LOOKUP(2,1/('Weekly Tracker'!$E$2:$E$766=$A1465)/('Weekly Tracker'!$J$2:$J$766&lt;&gt;""),'Weekly Tracker'!$J$2:$J$766),"")</f>
        <v/>
      </c>
      <c r="K1465" s="9">
        <f>IFERROR(LOOKUP(2,1/('Weekly Tracker'!$E$2:$E$766=$A1465)/('Weekly Tracker'!$N$2:$N$766&lt;&gt;""),'Weekly Tracker'!$N$2:$N$766),"")</f>
        <v/>
      </c>
      <c r="L1465" s="9">
        <f>IFERROR(LOOKUP(2,1/('Weekly Tracker'!$E$2:$E$766=$A1465)/('Weekly Tracker'!$O$2:$O$766&lt;&gt;""),'Weekly Tracker'!$O$2:$O$766),"")</f>
        <v/>
      </c>
    </row>
    <row r="1466">
      <c r="A1466" s="9" t="inlineStr">
        <is>
          <t>Karthickyan Karthick FB</t>
        </is>
      </c>
      <c r="B1466" s="9" t="inlineStr">
        <is>
          <t>7598334071</t>
        </is>
      </c>
      <c r="C1466" s="9" t="n"/>
      <c r="D1466" s="9" t="n"/>
      <c r="E1466" s="9" t="n"/>
      <c r="F1466" s="9">
        <f>IFERROR(LOOKUP(2,1/('Weekly Tracker'!$E$2:$E$766=$A1466)/('Weekly Tracker'!$F$2:$F$766&lt;&gt;""),'Weekly Tracker'!$F$2:$F$766),"")</f>
        <v/>
      </c>
      <c r="G1466" s="16">
        <f>IF(F1466&lt;&gt;"",LOOKUP(2,1/('Weekly Tracker'!$E$2:$E$766=$A1466)/('Weekly Tracker'!$F$2:$F$766&lt;&gt;""),'Weekly Tracker'!$G$2:$G$766),"")</f>
        <v/>
      </c>
      <c r="H1466" s="9">
        <f>IFERROR(LOOKUP(2,1/('Weekly Tracker'!$E$2:$E$766=$A1466)/('Weekly Tracker'!$H$2:$H$766&lt;&gt;""),'Weekly Tracker'!$H$2:$H$766),"")</f>
        <v/>
      </c>
      <c r="I1466" s="16">
        <f>IF(H1466&lt;&gt;"",LOOKUP(2,1/('Weekly Tracker'!$E$2:$E$766=$A1466)/('Weekly Tracker'!$H$2:$H$766&lt;&gt;""),'Weekly Tracker'!$I$2:$I$766),"")</f>
        <v/>
      </c>
      <c r="J1466" s="9">
        <f>IFERROR(LOOKUP(2,1/('Weekly Tracker'!$E$2:$E$766=$A1466)/('Weekly Tracker'!$J$2:$J$766&lt;&gt;""),'Weekly Tracker'!$J$2:$J$766),"")</f>
        <v/>
      </c>
      <c r="K1466" s="9">
        <f>IFERROR(LOOKUP(2,1/('Weekly Tracker'!$E$2:$E$766=$A1466)/('Weekly Tracker'!$N$2:$N$766&lt;&gt;""),'Weekly Tracker'!$N$2:$N$766),"")</f>
        <v/>
      </c>
      <c r="L1466" s="9">
        <f>IFERROR(LOOKUP(2,1/('Weekly Tracker'!$E$2:$E$766=$A1466)/('Weekly Tracker'!$O$2:$O$766&lt;&gt;""),'Weekly Tracker'!$O$2:$O$766),"")</f>
        <v/>
      </c>
    </row>
    <row r="1467">
      <c r="A1467" s="9" t="inlineStr">
        <is>
          <t>Kayal Junior</t>
        </is>
      </c>
      <c r="B1467" s="9" t="inlineStr">
        <is>
          <t>918608299927</t>
        </is>
      </c>
      <c r="C1467" s="9" t="n"/>
      <c r="D1467" s="9" t="n"/>
      <c r="E1467" s="9" t="n"/>
      <c r="F1467" s="9">
        <f>IFERROR(LOOKUP(2,1/('Weekly Tracker'!$E$2:$E$766=$A1467)/('Weekly Tracker'!$F$2:$F$766&lt;&gt;""),'Weekly Tracker'!$F$2:$F$766),"")</f>
        <v/>
      </c>
      <c r="G1467" s="16">
        <f>IF(F1467&lt;&gt;"",LOOKUP(2,1/('Weekly Tracker'!$E$2:$E$766=$A1467)/('Weekly Tracker'!$F$2:$F$766&lt;&gt;""),'Weekly Tracker'!$G$2:$G$766),"")</f>
        <v/>
      </c>
      <c r="H1467" s="9">
        <f>IFERROR(LOOKUP(2,1/('Weekly Tracker'!$E$2:$E$766=$A1467)/('Weekly Tracker'!$H$2:$H$766&lt;&gt;""),'Weekly Tracker'!$H$2:$H$766),"")</f>
        <v/>
      </c>
      <c r="I1467" s="16">
        <f>IF(H1467&lt;&gt;"",LOOKUP(2,1/('Weekly Tracker'!$E$2:$E$766=$A1467)/('Weekly Tracker'!$H$2:$H$766&lt;&gt;""),'Weekly Tracker'!$I$2:$I$766),"")</f>
        <v/>
      </c>
      <c r="J1467" s="9">
        <f>IFERROR(LOOKUP(2,1/('Weekly Tracker'!$E$2:$E$766=$A1467)/('Weekly Tracker'!$J$2:$J$766&lt;&gt;""),'Weekly Tracker'!$J$2:$J$766),"")</f>
        <v/>
      </c>
      <c r="K1467" s="9">
        <f>IFERROR(LOOKUP(2,1/('Weekly Tracker'!$E$2:$E$766=$A1467)/('Weekly Tracker'!$N$2:$N$766&lt;&gt;""),'Weekly Tracker'!$N$2:$N$766),"")</f>
        <v/>
      </c>
      <c r="L1467" s="9">
        <f>IFERROR(LOOKUP(2,1/('Weekly Tracker'!$E$2:$E$766=$A1467)/('Weekly Tracker'!$O$2:$O$766&lt;&gt;""),'Weekly Tracker'!$O$2:$O$766),"")</f>
        <v/>
      </c>
    </row>
    <row r="1468">
      <c r="A1468" s="9" t="inlineStr">
        <is>
          <t>Charles SET Infy</t>
        </is>
      </c>
      <c r="B1468" s="9" t="inlineStr">
        <is>
          <t>916380776548</t>
        </is>
      </c>
      <c r="C1468" s="9" t="n"/>
      <c r="D1468" s="9" t="n"/>
      <c r="E1468" s="9" t="n"/>
      <c r="F1468" s="9">
        <f>IFERROR(LOOKUP(2,1/('Weekly Tracker'!$E$2:$E$766=$A1468)/('Weekly Tracker'!$F$2:$F$766&lt;&gt;""),'Weekly Tracker'!$F$2:$F$766),"")</f>
        <v/>
      </c>
      <c r="G1468" s="16">
        <f>IF(F1468&lt;&gt;"",LOOKUP(2,1/('Weekly Tracker'!$E$2:$E$766=$A1468)/('Weekly Tracker'!$F$2:$F$766&lt;&gt;""),'Weekly Tracker'!$G$2:$G$766),"")</f>
        <v/>
      </c>
      <c r="H1468" s="9">
        <f>IFERROR(LOOKUP(2,1/('Weekly Tracker'!$E$2:$E$766=$A1468)/('Weekly Tracker'!$H$2:$H$766&lt;&gt;""),'Weekly Tracker'!$H$2:$H$766),"")</f>
        <v/>
      </c>
      <c r="I1468" s="16">
        <f>IF(H1468&lt;&gt;"",LOOKUP(2,1/('Weekly Tracker'!$E$2:$E$766=$A1468)/('Weekly Tracker'!$H$2:$H$766&lt;&gt;""),'Weekly Tracker'!$I$2:$I$766),"")</f>
        <v/>
      </c>
      <c r="J1468" s="9">
        <f>IFERROR(LOOKUP(2,1/('Weekly Tracker'!$E$2:$E$766=$A1468)/('Weekly Tracker'!$J$2:$J$766&lt;&gt;""),'Weekly Tracker'!$J$2:$J$766),"")</f>
        <v/>
      </c>
      <c r="K1468" s="9">
        <f>IFERROR(LOOKUP(2,1/('Weekly Tracker'!$E$2:$E$766=$A1468)/('Weekly Tracker'!$N$2:$N$766&lt;&gt;""),'Weekly Tracker'!$N$2:$N$766),"")</f>
        <v/>
      </c>
      <c r="L1468" s="9">
        <f>IFERROR(LOOKUP(2,1/('Weekly Tracker'!$E$2:$E$766=$A1468)/('Weekly Tracker'!$O$2:$O$766&lt;&gt;""),'Weekly Tracker'!$O$2:$O$766),"")</f>
        <v/>
      </c>
    </row>
    <row r="1469">
      <c r="A1469" s="9" t="inlineStr">
        <is>
          <t>Rajkumar Junior</t>
        </is>
      </c>
      <c r="B1469" s="9" t="inlineStr">
        <is>
          <t>918438382714</t>
        </is>
      </c>
      <c r="C1469" s="9" t="n"/>
      <c r="D1469" s="9" t="n"/>
      <c r="E1469" s="9" t="n"/>
      <c r="F1469" s="9">
        <f>IFERROR(LOOKUP(2,1/('Weekly Tracker'!$E$2:$E$766=$A1469)/('Weekly Tracker'!$F$2:$F$766&lt;&gt;""),'Weekly Tracker'!$F$2:$F$766),"")</f>
        <v/>
      </c>
      <c r="G1469" s="16">
        <f>IF(F1469&lt;&gt;"",LOOKUP(2,1/('Weekly Tracker'!$E$2:$E$766=$A1469)/('Weekly Tracker'!$F$2:$F$766&lt;&gt;""),'Weekly Tracker'!$G$2:$G$766),"")</f>
        <v/>
      </c>
      <c r="H1469" s="9">
        <f>IFERROR(LOOKUP(2,1/('Weekly Tracker'!$E$2:$E$766=$A1469)/('Weekly Tracker'!$H$2:$H$766&lt;&gt;""),'Weekly Tracker'!$H$2:$H$766),"")</f>
        <v/>
      </c>
      <c r="I1469" s="16">
        <f>IF(H1469&lt;&gt;"",LOOKUP(2,1/('Weekly Tracker'!$E$2:$E$766=$A1469)/('Weekly Tracker'!$H$2:$H$766&lt;&gt;""),'Weekly Tracker'!$I$2:$I$766),"")</f>
        <v/>
      </c>
      <c r="J1469" s="9">
        <f>IFERROR(LOOKUP(2,1/('Weekly Tracker'!$E$2:$E$766=$A1469)/('Weekly Tracker'!$J$2:$J$766&lt;&gt;""),'Weekly Tracker'!$J$2:$J$766),"")</f>
        <v/>
      </c>
      <c r="K1469" s="9">
        <f>IFERROR(LOOKUP(2,1/('Weekly Tracker'!$E$2:$E$766=$A1469)/('Weekly Tracker'!$N$2:$N$766&lt;&gt;""),'Weekly Tracker'!$N$2:$N$766),"")</f>
        <v/>
      </c>
      <c r="L1469" s="9">
        <f>IFERROR(LOOKUP(2,1/('Weekly Tracker'!$E$2:$E$766=$A1469)/('Weekly Tracker'!$O$2:$O$766&lt;&gt;""),'Weekly Tracker'!$O$2:$O$766),"")</f>
        <v/>
      </c>
    </row>
    <row r="1470">
      <c r="A1470" s="9" t="inlineStr">
        <is>
          <t>Sudharson ECE Junior</t>
        </is>
      </c>
      <c r="B1470" s="9" t="inlineStr">
        <is>
          <t>918012065206</t>
        </is>
      </c>
      <c r="C1470" s="9" t="n"/>
      <c r="D1470" s="9" t="n"/>
      <c r="E1470" s="9" t="n"/>
      <c r="F1470" s="9">
        <f>IFERROR(LOOKUP(2,1/('Weekly Tracker'!$E$2:$E$766=$A1470)/('Weekly Tracker'!$F$2:$F$766&lt;&gt;""),'Weekly Tracker'!$F$2:$F$766),"")</f>
        <v/>
      </c>
      <c r="G1470" s="16">
        <f>IF(F1470&lt;&gt;"",LOOKUP(2,1/('Weekly Tracker'!$E$2:$E$766=$A1470)/('Weekly Tracker'!$F$2:$F$766&lt;&gt;""),'Weekly Tracker'!$G$2:$G$766),"")</f>
        <v/>
      </c>
      <c r="H1470" s="9">
        <f>IFERROR(LOOKUP(2,1/('Weekly Tracker'!$E$2:$E$766=$A1470)/('Weekly Tracker'!$H$2:$H$766&lt;&gt;""),'Weekly Tracker'!$H$2:$H$766),"")</f>
        <v/>
      </c>
      <c r="I1470" s="16">
        <f>IF(H1470&lt;&gt;"",LOOKUP(2,1/('Weekly Tracker'!$E$2:$E$766=$A1470)/('Weekly Tracker'!$H$2:$H$766&lt;&gt;""),'Weekly Tracker'!$I$2:$I$766),"")</f>
        <v/>
      </c>
      <c r="J1470" s="9">
        <f>IFERROR(LOOKUP(2,1/('Weekly Tracker'!$E$2:$E$766=$A1470)/('Weekly Tracker'!$J$2:$J$766&lt;&gt;""),'Weekly Tracker'!$J$2:$J$766),"")</f>
        <v/>
      </c>
      <c r="K1470" s="9">
        <f>IFERROR(LOOKUP(2,1/('Weekly Tracker'!$E$2:$E$766=$A1470)/('Weekly Tracker'!$N$2:$N$766&lt;&gt;""),'Weekly Tracker'!$N$2:$N$766),"")</f>
        <v/>
      </c>
      <c r="L1470" s="9">
        <f>IFERROR(LOOKUP(2,1/('Weekly Tracker'!$E$2:$E$766=$A1470)/('Weekly Tracker'!$O$2:$O$766&lt;&gt;""),'Weekly Tracker'!$O$2:$O$766),"")</f>
        <v/>
      </c>
    </row>
    <row r="1471">
      <c r="A1471" s="9" t="inlineStr">
        <is>
          <t>Samsuel FB</t>
        </is>
      </c>
      <c r="B1471" s="9" t="inlineStr">
        <is>
          <t>7418412131</t>
        </is>
      </c>
      <c r="C1471" s="9" t="n"/>
      <c r="D1471" s="9" t="n"/>
      <c r="E1471" s="9" t="n"/>
      <c r="F1471" s="9">
        <f>IFERROR(LOOKUP(2,1/('Weekly Tracker'!$E$2:$E$766=$A1471)/('Weekly Tracker'!$F$2:$F$766&lt;&gt;""),'Weekly Tracker'!$F$2:$F$766),"")</f>
        <v/>
      </c>
      <c r="G1471" s="16">
        <f>IF(F1471&lt;&gt;"",LOOKUP(2,1/('Weekly Tracker'!$E$2:$E$766=$A1471)/('Weekly Tracker'!$F$2:$F$766&lt;&gt;""),'Weekly Tracker'!$G$2:$G$766),"")</f>
        <v/>
      </c>
      <c r="H1471" s="9">
        <f>IFERROR(LOOKUP(2,1/('Weekly Tracker'!$E$2:$E$766=$A1471)/('Weekly Tracker'!$H$2:$H$766&lt;&gt;""),'Weekly Tracker'!$H$2:$H$766),"")</f>
        <v/>
      </c>
      <c r="I1471" s="16">
        <f>IF(H1471&lt;&gt;"",LOOKUP(2,1/('Weekly Tracker'!$E$2:$E$766=$A1471)/('Weekly Tracker'!$H$2:$H$766&lt;&gt;""),'Weekly Tracker'!$I$2:$I$766),"")</f>
        <v/>
      </c>
      <c r="J1471" s="9">
        <f>IFERROR(LOOKUP(2,1/('Weekly Tracker'!$E$2:$E$766=$A1471)/('Weekly Tracker'!$J$2:$J$766&lt;&gt;""),'Weekly Tracker'!$J$2:$J$766),"")</f>
        <v/>
      </c>
      <c r="K1471" s="9">
        <f>IFERROR(LOOKUP(2,1/('Weekly Tracker'!$E$2:$E$766=$A1471)/('Weekly Tracker'!$N$2:$N$766&lt;&gt;""),'Weekly Tracker'!$N$2:$N$766),"")</f>
        <v/>
      </c>
      <c r="L1471" s="9">
        <f>IFERROR(LOOKUP(2,1/('Weekly Tracker'!$E$2:$E$766=$A1471)/('Weekly Tracker'!$O$2:$O$766&lt;&gt;""),'Weekly Tracker'!$O$2:$O$766),"")</f>
        <v/>
      </c>
    </row>
    <row r="1472">
      <c r="A1472" s="9" t="inlineStr">
        <is>
          <t>Ragul Gandhi Urja</t>
        </is>
      </c>
      <c r="B1472" s="9" t="inlineStr">
        <is>
          <t>9094984757</t>
        </is>
      </c>
      <c r="C1472" s="9" t="n"/>
      <c r="D1472" s="9" t="n"/>
      <c r="E1472" s="9" t="n"/>
      <c r="F1472" s="9">
        <f>IFERROR(LOOKUP(2,1/('Weekly Tracker'!$E$2:$E$766=$A1472)/('Weekly Tracker'!$F$2:$F$766&lt;&gt;""),'Weekly Tracker'!$F$2:$F$766),"")</f>
        <v/>
      </c>
      <c r="G1472" s="16">
        <f>IF(F1472&lt;&gt;"",LOOKUP(2,1/('Weekly Tracker'!$E$2:$E$766=$A1472)/('Weekly Tracker'!$F$2:$F$766&lt;&gt;""),'Weekly Tracker'!$G$2:$G$766),"")</f>
        <v/>
      </c>
      <c r="H1472" s="9">
        <f>IFERROR(LOOKUP(2,1/('Weekly Tracker'!$E$2:$E$766=$A1472)/('Weekly Tracker'!$H$2:$H$766&lt;&gt;""),'Weekly Tracker'!$H$2:$H$766),"")</f>
        <v/>
      </c>
      <c r="I1472" s="16">
        <f>IF(H1472&lt;&gt;"",LOOKUP(2,1/('Weekly Tracker'!$E$2:$E$766=$A1472)/('Weekly Tracker'!$H$2:$H$766&lt;&gt;""),'Weekly Tracker'!$I$2:$I$766),"")</f>
        <v/>
      </c>
      <c r="J1472" s="9">
        <f>IFERROR(LOOKUP(2,1/('Weekly Tracker'!$E$2:$E$766=$A1472)/('Weekly Tracker'!$J$2:$J$766&lt;&gt;""),'Weekly Tracker'!$J$2:$J$766),"")</f>
        <v/>
      </c>
      <c r="K1472" s="9">
        <f>IFERROR(LOOKUP(2,1/('Weekly Tracker'!$E$2:$E$766=$A1472)/('Weekly Tracker'!$N$2:$N$766&lt;&gt;""),'Weekly Tracker'!$N$2:$N$766),"")</f>
        <v/>
      </c>
      <c r="L1472" s="9">
        <f>IFERROR(LOOKUP(2,1/('Weekly Tracker'!$E$2:$E$766=$A1472)/('Weekly Tracker'!$O$2:$O$766&lt;&gt;""),'Weekly Tracker'!$O$2:$O$766),"")</f>
        <v/>
      </c>
    </row>
    <row r="1473">
      <c r="A1473" s="9" t="inlineStr">
        <is>
          <t>Bala Telegram</t>
        </is>
      </c>
      <c r="B1473" s="9" t="inlineStr">
        <is>
          <t>9751214228</t>
        </is>
      </c>
      <c r="C1473" s="9" t="n"/>
      <c r="D1473" s="9" t="n"/>
      <c r="E1473" s="9" t="n"/>
      <c r="F1473" s="9">
        <f>IFERROR(LOOKUP(2,1/('Weekly Tracker'!$E$2:$E$766=$A1473)/('Weekly Tracker'!$F$2:$F$766&lt;&gt;""),'Weekly Tracker'!$F$2:$F$766),"")</f>
        <v/>
      </c>
      <c r="G1473" s="16">
        <f>IF(F1473&lt;&gt;"",LOOKUP(2,1/('Weekly Tracker'!$E$2:$E$766=$A1473)/('Weekly Tracker'!$F$2:$F$766&lt;&gt;""),'Weekly Tracker'!$G$2:$G$766),"")</f>
        <v/>
      </c>
      <c r="H1473" s="9">
        <f>IFERROR(LOOKUP(2,1/('Weekly Tracker'!$E$2:$E$766=$A1473)/('Weekly Tracker'!$H$2:$H$766&lt;&gt;""),'Weekly Tracker'!$H$2:$H$766),"")</f>
        <v/>
      </c>
      <c r="I1473" s="16">
        <f>IF(H1473&lt;&gt;"",LOOKUP(2,1/('Weekly Tracker'!$E$2:$E$766=$A1473)/('Weekly Tracker'!$H$2:$H$766&lt;&gt;""),'Weekly Tracker'!$I$2:$I$766),"")</f>
        <v/>
      </c>
      <c r="J1473" s="9">
        <f>IFERROR(LOOKUP(2,1/('Weekly Tracker'!$E$2:$E$766=$A1473)/('Weekly Tracker'!$J$2:$J$766&lt;&gt;""),'Weekly Tracker'!$J$2:$J$766),"")</f>
        <v/>
      </c>
      <c r="K1473" s="9">
        <f>IFERROR(LOOKUP(2,1/('Weekly Tracker'!$E$2:$E$766=$A1473)/('Weekly Tracker'!$N$2:$N$766&lt;&gt;""),'Weekly Tracker'!$N$2:$N$766),"")</f>
        <v/>
      </c>
      <c r="L1473" s="9">
        <f>IFERROR(LOOKUP(2,1/('Weekly Tracker'!$E$2:$E$766=$A1473)/('Weekly Tracker'!$O$2:$O$766&lt;&gt;""),'Weekly Tracker'!$O$2:$O$766),"")</f>
        <v/>
      </c>
    </row>
    <row r="1474">
      <c r="A1474" s="9" t="inlineStr">
        <is>
          <t>Jerlin Vijay FB</t>
        </is>
      </c>
      <c r="B1474" s="9" t="inlineStr">
        <is>
          <t>96897565657</t>
        </is>
      </c>
      <c r="C1474" s="9" t="n"/>
      <c r="D1474" s="9" t="n"/>
      <c r="E1474" s="9" t="n"/>
      <c r="F1474" s="9">
        <f>IFERROR(LOOKUP(2,1/('Weekly Tracker'!$E$2:$E$766=$A1474)/('Weekly Tracker'!$F$2:$F$766&lt;&gt;""),'Weekly Tracker'!$F$2:$F$766),"")</f>
        <v/>
      </c>
      <c r="G1474" s="16">
        <f>IF(F1474&lt;&gt;"",LOOKUP(2,1/('Weekly Tracker'!$E$2:$E$766=$A1474)/('Weekly Tracker'!$F$2:$F$766&lt;&gt;""),'Weekly Tracker'!$G$2:$G$766),"")</f>
        <v/>
      </c>
      <c r="H1474" s="9">
        <f>IFERROR(LOOKUP(2,1/('Weekly Tracker'!$E$2:$E$766=$A1474)/('Weekly Tracker'!$H$2:$H$766&lt;&gt;""),'Weekly Tracker'!$H$2:$H$766),"")</f>
        <v/>
      </c>
      <c r="I1474" s="16">
        <f>IF(H1474&lt;&gt;"",LOOKUP(2,1/('Weekly Tracker'!$E$2:$E$766=$A1474)/('Weekly Tracker'!$H$2:$H$766&lt;&gt;""),'Weekly Tracker'!$I$2:$I$766),"")</f>
        <v/>
      </c>
      <c r="J1474" s="9">
        <f>IFERROR(LOOKUP(2,1/('Weekly Tracker'!$E$2:$E$766=$A1474)/('Weekly Tracker'!$J$2:$J$766&lt;&gt;""),'Weekly Tracker'!$J$2:$J$766),"")</f>
        <v/>
      </c>
      <c r="K1474" s="9">
        <f>IFERROR(LOOKUP(2,1/('Weekly Tracker'!$E$2:$E$766=$A1474)/('Weekly Tracker'!$N$2:$N$766&lt;&gt;""),'Weekly Tracker'!$N$2:$N$766),"")</f>
        <v/>
      </c>
      <c r="L1474" s="9">
        <f>IFERROR(LOOKUP(2,1/('Weekly Tracker'!$E$2:$E$766=$A1474)/('Weekly Tracker'!$O$2:$O$766&lt;&gt;""),'Weekly Tracker'!$O$2:$O$766),"")</f>
        <v/>
      </c>
    </row>
    <row r="1475">
      <c r="A1475" s="9" t="inlineStr">
        <is>
          <t>Abi Grp Ucen</t>
        </is>
      </c>
      <c r="B1475" s="9" t="inlineStr">
        <is>
          <t>918760450681</t>
        </is>
      </c>
      <c r="C1475" s="9" t="n"/>
      <c r="D1475" s="9" t="n"/>
      <c r="E1475" s="9" t="n"/>
      <c r="F1475" s="9">
        <f>IFERROR(LOOKUP(2,1/('Weekly Tracker'!$E$2:$E$766=$A1475)/('Weekly Tracker'!$F$2:$F$766&lt;&gt;""),'Weekly Tracker'!$F$2:$F$766),"")</f>
        <v/>
      </c>
      <c r="G1475" s="16">
        <f>IF(F1475&lt;&gt;"",LOOKUP(2,1/('Weekly Tracker'!$E$2:$E$766=$A1475)/('Weekly Tracker'!$F$2:$F$766&lt;&gt;""),'Weekly Tracker'!$G$2:$G$766),"")</f>
        <v/>
      </c>
      <c r="H1475" s="9">
        <f>IFERROR(LOOKUP(2,1/('Weekly Tracker'!$E$2:$E$766=$A1475)/('Weekly Tracker'!$H$2:$H$766&lt;&gt;""),'Weekly Tracker'!$H$2:$H$766),"")</f>
        <v/>
      </c>
      <c r="I1475" s="16">
        <f>IF(H1475&lt;&gt;"",LOOKUP(2,1/('Weekly Tracker'!$E$2:$E$766=$A1475)/('Weekly Tracker'!$H$2:$H$766&lt;&gt;""),'Weekly Tracker'!$I$2:$I$766),"")</f>
        <v/>
      </c>
      <c r="J1475" s="9">
        <f>IFERROR(LOOKUP(2,1/('Weekly Tracker'!$E$2:$E$766=$A1475)/('Weekly Tracker'!$J$2:$J$766&lt;&gt;""),'Weekly Tracker'!$J$2:$J$766),"")</f>
        <v/>
      </c>
      <c r="K1475" s="9">
        <f>IFERROR(LOOKUP(2,1/('Weekly Tracker'!$E$2:$E$766=$A1475)/('Weekly Tracker'!$N$2:$N$766&lt;&gt;""),'Weekly Tracker'!$N$2:$N$766),"")</f>
        <v/>
      </c>
      <c r="L1475" s="9">
        <f>IFERROR(LOOKUP(2,1/('Weekly Tracker'!$E$2:$E$766=$A1475)/('Weekly Tracker'!$O$2:$O$766&lt;&gt;""),'Weekly Tracker'!$O$2:$O$766),"")</f>
        <v/>
      </c>
    </row>
    <row r="1476">
      <c r="A1476" s="9" t="inlineStr">
        <is>
          <t>NearByHome Kundrathur</t>
        </is>
      </c>
      <c r="B1476" s="9" t="inlineStr">
        <is>
          <t>9940680755</t>
        </is>
      </c>
      <c r="C1476" s="9" t="n"/>
      <c r="D1476" s="9" t="n"/>
      <c r="E1476" s="9" t="n"/>
      <c r="F1476" s="9">
        <f>IFERROR(LOOKUP(2,1/('Weekly Tracker'!$E$2:$E$766=$A1476)/('Weekly Tracker'!$F$2:$F$766&lt;&gt;""),'Weekly Tracker'!$F$2:$F$766),"")</f>
        <v/>
      </c>
      <c r="G1476" s="16">
        <f>IF(F1476&lt;&gt;"",LOOKUP(2,1/('Weekly Tracker'!$E$2:$E$766=$A1476)/('Weekly Tracker'!$F$2:$F$766&lt;&gt;""),'Weekly Tracker'!$G$2:$G$766),"")</f>
        <v/>
      </c>
      <c r="H1476" s="9">
        <f>IFERROR(LOOKUP(2,1/('Weekly Tracker'!$E$2:$E$766=$A1476)/('Weekly Tracker'!$H$2:$H$766&lt;&gt;""),'Weekly Tracker'!$H$2:$H$766),"")</f>
        <v/>
      </c>
      <c r="I1476" s="16">
        <f>IF(H1476&lt;&gt;"",LOOKUP(2,1/('Weekly Tracker'!$E$2:$E$766=$A1476)/('Weekly Tracker'!$H$2:$H$766&lt;&gt;""),'Weekly Tracker'!$I$2:$I$766),"")</f>
        <v/>
      </c>
      <c r="J1476" s="9">
        <f>IFERROR(LOOKUP(2,1/('Weekly Tracker'!$E$2:$E$766=$A1476)/('Weekly Tracker'!$J$2:$J$766&lt;&gt;""),'Weekly Tracker'!$J$2:$J$766),"")</f>
        <v/>
      </c>
      <c r="K1476" s="9">
        <f>IFERROR(LOOKUP(2,1/('Weekly Tracker'!$E$2:$E$766=$A1476)/('Weekly Tracker'!$N$2:$N$766&lt;&gt;""),'Weekly Tracker'!$N$2:$N$766),"")</f>
        <v/>
      </c>
      <c r="L1476" s="9">
        <f>IFERROR(LOOKUP(2,1/('Weekly Tracker'!$E$2:$E$766=$A1476)/('Weekly Tracker'!$O$2:$O$766&lt;&gt;""),'Weekly Tracker'!$O$2:$O$766),"")</f>
        <v/>
      </c>
    </row>
    <row r="1477">
      <c r="A1477" s="9" t="inlineStr">
        <is>
          <t>Akka</t>
        </is>
      </c>
      <c r="B1477" s="9" t="inlineStr">
        <is>
          <t>919444724414</t>
        </is>
      </c>
      <c r="C1477" s="9" t="n"/>
      <c r="D1477" s="9" t="n"/>
      <c r="E1477" s="9" t="n"/>
      <c r="F1477" s="9">
        <f>IFERROR(LOOKUP(2,1/('Weekly Tracker'!$E$2:$E$766=$A1477)/('Weekly Tracker'!$F$2:$F$766&lt;&gt;""),'Weekly Tracker'!$F$2:$F$766),"")</f>
        <v/>
      </c>
      <c r="G1477" s="16">
        <f>IF(F1477&lt;&gt;"",LOOKUP(2,1/('Weekly Tracker'!$E$2:$E$766=$A1477)/('Weekly Tracker'!$F$2:$F$766&lt;&gt;""),'Weekly Tracker'!$G$2:$G$766),"")</f>
        <v/>
      </c>
      <c r="H1477" s="9">
        <f>IFERROR(LOOKUP(2,1/('Weekly Tracker'!$E$2:$E$766=$A1477)/('Weekly Tracker'!$H$2:$H$766&lt;&gt;""),'Weekly Tracker'!$H$2:$H$766),"")</f>
        <v/>
      </c>
      <c r="I1477" s="16">
        <f>IF(H1477&lt;&gt;"",LOOKUP(2,1/('Weekly Tracker'!$E$2:$E$766=$A1477)/('Weekly Tracker'!$H$2:$H$766&lt;&gt;""),'Weekly Tracker'!$I$2:$I$766),"")</f>
        <v/>
      </c>
      <c r="J1477" s="9">
        <f>IFERROR(LOOKUP(2,1/('Weekly Tracker'!$E$2:$E$766=$A1477)/('Weekly Tracker'!$J$2:$J$766&lt;&gt;""),'Weekly Tracker'!$J$2:$J$766),"")</f>
        <v/>
      </c>
      <c r="K1477" s="9">
        <f>IFERROR(LOOKUP(2,1/('Weekly Tracker'!$E$2:$E$766=$A1477)/('Weekly Tracker'!$N$2:$N$766&lt;&gt;""),'Weekly Tracker'!$N$2:$N$766),"")</f>
        <v/>
      </c>
      <c r="L1477" s="9">
        <f>IFERROR(LOOKUP(2,1/('Weekly Tracker'!$E$2:$E$766=$A1477)/('Weekly Tracker'!$O$2:$O$766&lt;&gt;""),'Weekly Tracker'!$O$2:$O$766),"")</f>
        <v/>
      </c>
    </row>
    <row r="1478">
      <c r="A1478" s="9" t="inlineStr">
        <is>
          <t>Idea Vaanavill</t>
        </is>
      </c>
      <c r="B1478" s="9" t="inlineStr">
        <is>
          <t>52345</t>
        </is>
      </c>
      <c r="C1478" s="9" t="n"/>
      <c r="D1478" s="9" t="n"/>
      <c r="E1478" s="9" t="n"/>
      <c r="F1478" s="9">
        <f>IFERROR(LOOKUP(2,1/('Weekly Tracker'!$E$2:$E$766=$A1478)/('Weekly Tracker'!$F$2:$F$766&lt;&gt;""),'Weekly Tracker'!$F$2:$F$766),"")</f>
        <v/>
      </c>
      <c r="G1478" s="16">
        <f>IF(F1478&lt;&gt;"",LOOKUP(2,1/('Weekly Tracker'!$E$2:$E$766=$A1478)/('Weekly Tracker'!$F$2:$F$766&lt;&gt;""),'Weekly Tracker'!$G$2:$G$766),"")</f>
        <v/>
      </c>
      <c r="H1478" s="9">
        <f>IFERROR(LOOKUP(2,1/('Weekly Tracker'!$E$2:$E$766=$A1478)/('Weekly Tracker'!$H$2:$H$766&lt;&gt;""),'Weekly Tracker'!$H$2:$H$766),"")</f>
        <v/>
      </c>
      <c r="I1478" s="16">
        <f>IF(H1478&lt;&gt;"",LOOKUP(2,1/('Weekly Tracker'!$E$2:$E$766=$A1478)/('Weekly Tracker'!$H$2:$H$766&lt;&gt;""),'Weekly Tracker'!$I$2:$I$766),"")</f>
        <v/>
      </c>
      <c r="J1478" s="9">
        <f>IFERROR(LOOKUP(2,1/('Weekly Tracker'!$E$2:$E$766=$A1478)/('Weekly Tracker'!$J$2:$J$766&lt;&gt;""),'Weekly Tracker'!$J$2:$J$766),"")</f>
        <v/>
      </c>
      <c r="K1478" s="9">
        <f>IFERROR(LOOKUP(2,1/('Weekly Tracker'!$E$2:$E$766=$A1478)/('Weekly Tracker'!$N$2:$N$766&lt;&gt;""),'Weekly Tracker'!$N$2:$N$766),"")</f>
        <v/>
      </c>
      <c r="L1478" s="9">
        <f>IFERROR(LOOKUP(2,1/('Weekly Tracker'!$E$2:$E$766=$A1478)/('Weekly Tracker'!$O$2:$O$766&lt;&gt;""),'Weekly Tracker'!$O$2:$O$766),"")</f>
        <v/>
      </c>
    </row>
    <row r="1479">
      <c r="A1479" s="9" t="inlineStr">
        <is>
          <t>Jassin Infosys</t>
        </is>
      </c>
      <c r="B1479" s="9" t="inlineStr">
        <is>
          <t>918147522634</t>
        </is>
      </c>
      <c r="C1479" s="9" t="n"/>
      <c r="D1479" s="9" t="n"/>
      <c r="E1479" s="9" t="n"/>
      <c r="F1479" s="9">
        <f>IFERROR(LOOKUP(2,1/('Weekly Tracker'!$E$2:$E$766=$A1479)/('Weekly Tracker'!$F$2:$F$766&lt;&gt;""),'Weekly Tracker'!$F$2:$F$766),"")</f>
        <v/>
      </c>
      <c r="G1479" s="16">
        <f>IF(F1479&lt;&gt;"",LOOKUP(2,1/('Weekly Tracker'!$E$2:$E$766=$A1479)/('Weekly Tracker'!$F$2:$F$766&lt;&gt;""),'Weekly Tracker'!$G$2:$G$766),"")</f>
        <v/>
      </c>
      <c r="H1479" s="9">
        <f>IFERROR(LOOKUP(2,1/('Weekly Tracker'!$E$2:$E$766=$A1479)/('Weekly Tracker'!$H$2:$H$766&lt;&gt;""),'Weekly Tracker'!$H$2:$H$766),"")</f>
        <v/>
      </c>
      <c r="I1479" s="16">
        <f>IF(H1479&lt;&gt;"",LOOKUP(2,1/('Weekly Tracker'!$E$2:$E$766=$A1479)/('Weekly Tracker'!$H$2:$H$766&lt;&gt;""),'Weekly Tracker'!$I$2:$I$766),"")</f>
        <v/>
      </c>
      <c r="J1479" s="9">
        <f>IFERROR(LOOKUP(2,1/('Weekly Tracker'!$E$2:$E$766=$A1479)/('Weekly Tracker'!$J$2:$J$766&lt;&gt;""),'Weekly Tracker'!$J$2:$J$766),"")</f>
        <v/>
      </c>
      <c r="K1479" s="9">
        <f>IFERROR(LOOKUP(2,1/('Weekly Tracker'!$E$2:$E$766=$A1479)/('Weekly Tracker'!$N$2:$N$766&lt;&gt;""),'Weekly Tracker'!$N$2:$N$766),"")</f>
        <v/>
      </c>
      <c r="L1479" s="9">
        <f>IFERROR(LOOKUP(2,1/('Weekly Tracker'!$E$2:$E$766=$A1479)/('Weekly Tracker'!$O$2:$O$766&lt;&gt;""),'Weekly Tracker'!$O$2:$O$766),"")</f>
        <v/>
      </c>
    </row>
    <row r="1480">
      <c r="A1480" s="9" t="inlineStr">
        <is>
          <t>Thavasi Mani GP</t>
        </is>
      </c>
      <c r="B1480" s="9" t="inlineStr">
        <is>
          <t>918526650757</t>
        </is>
      </c>
      <c r="C1480" s="9" t="n"/>
      <c r="D1480" s="9" t="n"/>
      <c r="E1480" s="9" t="n"/>
      <c r="F1480" s="9">
        <f>IFERROR(LOOKUP(2,1/('Weekly Tracker'!$E$2:$E$766=$A1480)/('Weekly Tracker'!$F$2:$F$766&lt;&gt;""),'Weekly Tracker'!$F$2:$F$766),"")</f>
        <v/>
      </c>
      <c r="G1480" s="16">
        <f>IF(F1480&lt;&gt;"",LOOKUP(2,1/('Weekly Tracker'!$E$2:$E$766=$A1480)/('Weekly Tracker'!$F$2:$F$766&lt;&gt;""),'Weekly Tracker'!$G$2:$G$766),"")</f>
        <v/>
      </c>
      <c r="H1480" s="9">
        <f>IFERROR(LOOKUP(2,1/('Weekly Tracker'!$E$2:$E$766=$A1480)/('Weekly Tracker'!$H$2:$H$766&lt;&gt;""),'Weekly Tracker'!$H$2:$H$766),"")</f>
        <v/>
      </c>
      <c r="I1480" s="16">
        <f>IF(H1480&lt;&gt;"",LOOKUP(2,1/('Weekly Tracker'!$E$2:$E$766=$A1480)/('Weekly Tracker'!$H$2:$H$766&lt;&gt;""),'Weekly Tracker'!$I$2:$I$766),"")</f>
        <v/>
      </c>
      <c r="J1480" s="9">
        <f>IFERROR(LOOKUP(2,1/('Weekly Tracker'!$E$2:$E$766=$A1480)/('Weekly Tracker'!$J$2:$J$766&lt;&gt;""),'Weekly Tracker'!$J$2:$J$766),"")</f>
        <v/>
      </c>
      <c r="K1480" s="9">
        <f>IFERROR(LOOKUP(2,1/('Weekly Tracker'!$E$2:$E$766=$A1480)/('Weekly Tracker'!$N$2:$N$766&lt;&gt;""),'Weekly Tracker'!$N$2:$N$766),"")</f>
        <v/>
      </c>
      <c r="L1480" s="9">
        <f>IFERROR(LOOKUP(2,1/('Weekly Tracker'!$E$2:$E$766=$A1480)/('Weekly Tracker'!$O$2:$O$766&lt;&gt;""),'Weekly Tracker'!$O$2:$O$766),"")</f>
        <v/>
      </c>
    </row>
    <row r="1481">
      <c r="A1481" s="9" t="inlineStr">
        <is>
          <t>Uma Tadikonda Infosys</t>
        </is>
      </c>
      <c r="B1481" s="9" t="inlineStr">
        <is>
          <t>19454006261</t>
        </is>
      </c>
      <c r="C1481" s="9" t="n"/>
      <c r="D1481" s="9" t="n"/>
      <c r="E1481" s="9" t="n"/>
      <c r="F1481" s="9">
        <f>IFERROR(LOOKUP(2,1/('Weekly Tracker'!$E$2:$E$766=$A1481)/('Weekly Tracker'!$F$2:$F$766&lt;&gt;""),'Weekly Tracker'!$F$2:$F$766),"")</f>
        <v/>
      </c>
      <c r="G1481" s="16">
        <f>IF(F1481&lt;&gt;"",LOOKUP(2,1/('Weekly Tracker'!$E$2:$E$766=$A1481)/('Weekly Tracker'!$F$2:$F$766&lt;&gt;""),'Weekly Tracker'!$G$2:$G$766),"")</f>
        <v/>
      </c>
      <c r="H1481" s="9">
        <f>IFERROR(LOOKUP(2,1/('Weekly Tracker'!$E$2:$E$766=$A1481)/('Weekly Tracker'!$H$2:$H$766&lt;&gt;""),'Weekly Tracker'!$H$2:$H$766),"")</f>
        <v/>
      </c>
      <c r="I1481" s="16">
        <f>IF(H1481&lt;&gt;"",LOOKUP(2,1/('Weekly Tracker'!$E$2:$E$766=$A1481)/('Weekly Tracker'!$H$2:$H$766&lt;&gt;""),'Weekly Tracker'!$I$2:$I$766),"")</f>
        <v/>
      </c>
      <c r="J1481" s="9">
        <f>IFERROR(LOOKUP(2,1/('Weekly Tracker'!$E$2:$E$766=$A1481)/('Weekly Tracker'!$J$2:$J$766&lt;&gt;""),'Weekly Tracker'!$J$2:$J$766),"")</f>
        <v/>
      </c>
      <c r="K1481" s="9">
        <f>IFERROR(LOOKUP(2,1/('Weekly Tracker'!$E$2:$E$766=$A1481)/('Weekly Tracker'!$N$2:$N$766&lt;&gt;""),'Weekly Tracker'!$N$2:$N$766),"")</f>
        <v/>
      </c>
      <c r="L1481" s="9">
        <f>IFERROR(LOOKUP(2,1/('Weekly Tracker'!$E$2:$E$766=$A1481)/('Weekly Tracker'!$O$2:$O$766&lt;&gt;""),'Weekly Tracker'!$O$2:$O$766),"")</f>
        <v/>
      </c>
    </row>
    <row r="1482">
      <c r="A1482" s="9" t="inlineStr">
        <is>
          <t>Saravanan ECE</t>
        </is>
      </c>
      <c r="B1482" s="9" t="inlineStr">
        <is>
          <t>919629686106</t>
        </is>
      </c>
      <c r="C1482" s="9" t="n"/>
      <c r="D1482" s="9" t="n"/>
      <c r="E1482" s="9" t="n"/>
      <c r="F1482" s="9">
        <f>IFERROR(LOOKUP(2,1/('Weekly Tracker'!$E$2:$E$766=$A1482)/('Weekly Tracker'!$F$2:$F$766&lt;&gt;""),'Weekly Tracker'!$F$2:$F$766),"")</f>
        <v/>
      </c>
      <c r="G1482" s="16">
        <f>IF(F1482&lt;&gt;"",LOOKUP(2,1/('Weekly Tracker'!$E$2:$E$766=$A1482)/('Weekly Tracker'!$F$2:$F$766&lt;&gt;""),'Weekly Tracker'!$G$2:$G$766),"")</f>
        <v/>
      </c>
      <c r="H1482" s="9">
        <f>IFERROR(LOOKUP(2,1/('Weekly Tracker'!$E$2:$E$766=$A1482)/('Weekly Tracker'!$H$2:$H$766&lt;&gt;""),'Weekly Tracker'!$H$2:$H$766),"")</f>
        <v/>
      </c>
      <c r="I1482" s="16">
        <f>IF(H1482&lt;&gt;"",LOOKUP(2,1/('Weekly Tracker'!$E$2:$E$766=$A1482)/('Weekly Tracker'!$H$2:$H$766&lt;&gt;""),'Weekly Tracker'!$I$2:$I$766),"")</f>
        <v/>
      </c>
      <c r="J1482" s="9">
        <f>IFERROR(LOOKUP(2,1/('Weekly Tracker'!$E$2:$E$766=$A1482)/('Weekly Tracker'!$J$2:$J$766&lt;&gt;""),'Weekly Tracker'!$J$2:$J$766),"")</f>
        <v/>
      </c>
      <c r="K1482" s="9">
        <f>IFERROR(LOOKUP(2,1/('Weekly Tracker'!$E$2:$E$766=$A1482)/('Weekly Tracker'!$N$2:$N$766&lt;&gt;""),'Weekly Tracker'!$N$2:$N$766),"")</f>
        <v/>
      </c>
      <c r="L1482" s="9">
        <f>IFERROR(LOOKUP(2,1/('Weekly Tracker'!$E$2:$E$766=$A1482)/('Weekly Tracker'!$O$2:$O$766&lt;&gt;""),'Weekly Tracker'!$O$2:$O$766),"")</f>
        <v/>
      </c>
    </row>
    <row r="1483">
      <c r="A1483" s="9" t="inlineStr">
        <is>
          <t>tsanthosh Urja</t>
        </is>
      </c>
      <c r="B1483" s="9" t="inlineStr">
        <is>
          <t>917094641568</t>
        </is>
      </c>
      <c r="C1483" s="9" t="n"/>
      <c r="D1483" s="9" t="n"/>
      <c r="E1483" s="9" t="n"/>
      <c r="F1483" s="9">
        <f>IFERROR(LOOKUP(2,1/('Weekly Tracker'!$E$2:$E$766=$A1483)/('Weekly Tracker'!$F$2:$F$766&lt;&gt;""),'Weekly Tracker'!$F$2:$F$766),"")</f>
        <v/>
      </c>
      <c r="G1483" s="16">
        <f>IF(F1483&lt;&gt;"",LOOKUP(2,1/('Weekly Tracker'!$E$2:$E$766=$A1483)/('Weekly Tracker'!$F$2:$F$766&lt;&gt;""),'Weekly Tracker'!$G$2:$G$766),"")</f>
        <v/>
      </c>
      <c r="H1483" s="9">
        <f>IFERROR(LOOKUP(2,1/('Weekly Tracker'!$E$2:$E$766=$A1483)/('Weekly Tracker'!$H$2:$H$766&lt;&gt;""),'Weekly Tracker'!$H$2:$H$766),"")</f>
        <v/>
      </c>
      <c r="I1483" s="16">
        <f>IF(H1483&lt;&gt;"",LOOKUP(2,1/('Weekly Tracker'!$E$2:$E$766=$A1483)/('Weekly Tracker'!$H$2:$H$766&lt;&gt;""),'Weekly Tracker'!$I$2:$I$766),"")</f>
        <v/>
      </c>
      <c r="J1483" s="9">
        <f>IFERROR(LOOKUP(2,1/('Weekly Tracker'!$E$2:$E$766=$A1483)/('Weekly Tracker'!$J$2:$J$766&lt;&gt;""),'Weekly Tracker'!$J$2:$J$766),"")</f>
        <v/>
      </c>
      <c r="K1483" s="9">
        <f>IFERROR(LOOKUP(2,1/('Weekly Tracker'!$E$2:$E$766=$A1483)/('Weekly Tracker'!$N$2:$N$766&lt;&gt;""),'Weekly Tracker'!$N$2:$N$766),"")</f>
        <v/>
      </c>
      <c r="L1483" s="9">
        <f>IFERROR(LOOKUP(2,1/('Weekly Tracker'!$E$2:$E$766=$A1483)/('Weekly Tracker'!$O$2:$O$766&lt;&gt;""),'Weekly Tracker'!$O$2:$O$766),"")</f>
        <v/>
      </c>
    </row>
    <row r="1484">
      <c r="A1484" s="9" t="inlineStr">
        <is>
          <t>Ashok kumar Scl</t>
        </is>
      </c>
      <c r="B1484" s="9" t="inlineStr">
        <is>
          <t>919746063120</t>
        </is>
      </c>
      <c r="C1484" s="9" t="n"/>
      <c r="D1484" s="9" t="n"/>
      <c r="E1484" s="9" t="n"/>
      <c r="F1484" s="9">
        <f>IFERROR(LOOKUP(2,1/('Weekly Tracker'!$E$2:$E$766=$A1484)/('Weekly Tracker'!$F$2:$F$766&lt;&gt;""),'Weekly Tracker'!$F$2:$F$766),"")</f>
        <v/>
      </c>
      <c r="G1484" s="16">
        <f>IF(F1484&lt;&gt;"",LOOKUP(2,1/('Weekly Tracker'!$E$2:$E$766=$A1484)/('Weekly Tracker'!$F$2:$F$766&lt;&gt;""),'Weekly Tracker'!$G$2:$G$766),"")</f>
        <v/>
      </c>
      <c r="H1484" s="9">
        <f>IFERROR(LOOKUP(2,1/('Weekly Tracker'!$E$2:$E$766=$A1484)/('Weekly Tracker'!$H$2:$H$766&lt;&gt;""),'Weekly Tracker'!$H$2:$H$766),"")</f>
        <v/>
      </c>
      <c r="I1484" s="16">
        <f>IF(H1484&lt;&gt;"",LOOKUP(2,1/('Weekly Tracker'!$E$2:$E$766=$A1484)/('Weekly Tracker'!$H$2:$H$766&lt;&gt;""),'Weekly Tracker'!$I$2:$I$766),"")</f>
        <v/>
      </c>
      <c r="J1484" s="9">
        <f>IFERROR(LOOKUP(2,1/('Weekly Tracker'!$E$2:$E$766=$A1484)/('Weekly Tracker'!$J$2:$J$766&lt;&gt;""),'Weekly Tracker'!$J$2:$J$766),"")</f>
        <v/>
      </c>
      <c r="K1484" s="9">
        <f>IFERROR(LOOKUP(2,1/('Weekly Tracker'!$E$2:$E$766=$A1484)/('Weekly Tracker'!$N$2:$N$766&lt;&gt;""),'Weekly Tracker'!$N$2:$N$766),"")</f>
        <v/>
      </c>
      <c r="L1484" s="9">
        <f>IFERROR(LOOKUP(2,1/('Weekly Tracker'!$E$2:$E$766=$A1484)/('Weekly Tracker'!$O$2:$O$766&lt;&gt;""),'Weekly Tracker'!$O$2:$O$766),"")</f>
        <v/>
      </c>
    </row>
    <row r="1485">
      <c r="A1485" s="9" t="inlineStr">
        <is>
          <t>Anandan Navukkarasu NDLF</t>
        </is>
      </c>
      <c r="B1485" s="9" t="inlineStr">
        <is>
          <t>919791487988</t>
        </is>
      </c>
      <c r="C1485" s="9" t="n"/>
      <c r="D1485" s="9" t="n"/>
      <c r="E1485" s="9" t="n"/>
      <c r="F1485" s="9">
        <f>IFERROR(LOOKUP(2,1/('Weekly Tracker'!$E$2:$E$766=$A1485)/('Weekly Tracker'!$F$2:$F$766&lt;&gt;""),'Weekly Tracker'!$F$2:$F$766),"")</f>
        <v/>
      </c>
      <c r="G1485" s="16">
        <f>IF(F1485&lt;&gt;"",LOOKUP(2,1/('Weekly Tracker'!$E$2:$E$766=$A1485)/('Weekly Tracker'!$F$2:$F$766&lt;&gt;""),'Weekly Tracker'!$G$2:$G$766),"")</f>
        <v/>
      </c>
      <c r="H1485" s="9">
        <f>IFERROR(LOOKUP(2,1/('Weekly Tracker'!$E$2:$E$766=$A1485)/('Weekly Tracker'!$H$2:$H$766&lt;&gt;""),'Weekly Tracker'!$H$2:$H$766),"")</f>
        <v/>
      </c>
      <c r="I1485" s="16">
        <f>IF(H1485&lt;&gt;"",LOOKUP(2,1/('Weekly Tracker'!$E$2:$E$766=$A1485)/('Weekly Tracker'!$H$2:$H$766&lt;&gt;""),'Weekly Tracker'!$I$2:$I$766),"")</f>
        <v/>
      </c>
      <c r="J1485" s="9">
        <f>IFERROR(LOOKUP(2,1/('Weekly Tracker'!$E$2:$E$766=$A1485)/('Weekly Tracker'!$J$2:$J$766&lt;&gt;""),'Weekly Tracker'!$J$2:$J$766),"")</f>
        <v/>
      </c>
      <c r="K1485" s="9">
        <f>IFERROR(LOOKUP(2,1/('Weekly Tracker'!$E$2:$E$766=$A1485)/('Weekly Tracker'!$N$2:$N$766&lt;&gt;""),'Weekly Tracker'!$N$2:$N$766),"")</f>
        <v/>
      </c>
      <c r="L1485" s="9">
        <f>IFERROR(LOOKUP(2,1/('Weekly Tracker'!$E$2:$E$766=$A1485)/('Weekly Tracker'!$O$2:$O$766&lt;&gt;""),'Weekly Tracker'!$O$2:$O$766),"")</f>
        <v/>
      </c>
    </row>
    <row r="1486">
      <c r="A1486" s="9" t="inlineStr">
        <is>
          <t>Hari Priya Urja</t>
        </is>
      </c>
      <c r="B1486" s="9" t="inlineStr">
        <is>
          <t>9626122755</t>
        </is>
      </c>
      <c r="C1486" s="9" t="n"/>
      <c r="D1486" s="9" t="n"/>
      <c r="E1486" s="9" t="n"/>
      <c r="F1486" s="9">
        <f>IFERROR(LOOKUP(2,1/('Weekly Tracker'!$E$2:$E$766=$A1486)/('Weekly Tracker'!$F$2:$F$766&lt;&gt;""),'Weekly Tracker'!$F$2:$F$766),"")</f>
        <v/>
      </c>
      <c r="G1486" s="16">
        <f>IF(F1486&lt;&gt;"",LOOKUP(2,1/('Weekly Tracker'!$E$2:$E$766=$A1486)/('Weekly Tracker'!$F$2:$F$766&lt;&gt;""),'Weekly Tracker'!$G$2:$G$766),"")</f>
        <v/>
      </c>
      <c r="H1486" s="9">
        <f>IFERROR(LOOKUP(2,1/('Weekly Tracker'!$E$2:$E$766=$A1486)/('Weekly Tracker'!$H$2:$H$766&lt;&gt;""),'Weekly Tracker'!$H$2:$H$766),"")</f>
        <v/>
      </c>
      <c r="I1486" s="16">
        <f>IF(H1486&lt;&gt;"",LOOKUP(2,1/('Weekly Tracker'!$E$2:$E$766=$A1486)/('Weekly Tracker'!$H$2:$H$766&lt;&gt;""),'Weekly Tracker'!$I$2:$I$766),"")</f>
        <v/>
      </c>
      <c r="J1486" s="9">
        <f>IFERROR(LOOKUP(2,1/('Weekly Tracker'!$E$2:$E$766=$A1486)/('Weekly Tracker'!$J$2:$J$766&lt;&gt;""),'Weekly Tracker'!$J$2:$J$766),"")</f>
        <v/>
      </c>
      <c r="K1486" s="9">
        <f>IFERROR(LOOKUP(2,1/('Weekly Tracker'!$E$2:$E$766=$A1486)/('Weekly Tracker'!$N$2:$N$766&lt;&gt;""),'Weekly Tracker'!$N$2:$N$766),"")</f>
        <v/>
      </c>
      <c r="L1486" s="9">
        <f>IFERROR(LOOKUP(2,1/('Weekly Tracker'!$E$2:$E$766=$A1486)/('Weekly Tracker'!$O$2:$O$766&lt;&gt;""),'Weekly Tracker'!$O$2:$O$766),"")</f>
        <v/>
      </c>
    </row>
    <row r="1487">
      <c r="A1487" s="9" t="inlineStr">
        <is>
          <t>Rajagopal Infy</t>
        </is>
      </c>
      <c r="B1487" s="9" t="inlineStr">
        <is>
          <t>+91 82487 10375</t>
        </is>
      </c>
      <c r="C1487" s="9" t="n"/>
      <c r="D1487" s="9" t="n"/>
      <c r="E1487" s="9" t="inlineStr">
        <is>
          <t>Tamil Nadu, India</t>
        </is>
      </c>
      <c r="F1487" s="9">
        <f>IFERROR(LOOKUP(2,1/('Weekly Tracker'!$E$2:$E$766=$A1487)/('Weekly Tracker'!$F$2:$F$766&lt;&gt;""),'Weekly Tracker'!$F$2:$F$766),"")</f>
        <v/>
      </c>
      <c r="G1487" s="16">
        <f>IF(F1487&lt;&gt;"",LOOKUP(2,1/('Weekly Tracker'!$E$2:$E$766=$A1487)/('Weekly Tracker'!$F$2:$F$766&lt;&gt;""),'Weekly Tracker'!$G$2:$G$766),"")</f>
        <v/>
      </c>
      <c r="H1487" s="9">
        <f>IFERROR(LOOKUP(2,1/('Weekly Tracker'!$E$2:$E$766=$A1487)/('Weekly Tracker'!$H$2:$H$766&lt;&gt;""),'Weekly Tracker'!$H$2:$H$766),"")</f>
        <v/>
      </c>
      <c r="I1487" s="16">
        <f>IF(H1487&lt;&gt;"",LOOKUP(2,1/('Weekly Tracker'!$E$2:$E$766=$A1487)/('Weekly Tracker'!$H$2:$H$766&lt;&gt;""),'Weekly Tracker'!$I$2:$I$766),"")</f>
        <v/>
      </c>
      <c r="J1487" s="9">
        <f>IFERROR(LOOKUP(2,1/('Weekly Tracker'!$E$2:$E$766=$A1487)/('Weekly Tracker'!$J$2:$J$766&lt;&gt;""),'Weekly Tracker'!$J$2:$J$766),"")</f>
        <v/>
      </c>
      <c r="K1487" s="9">
        <f>IFERROR(LOOKUP(2,1/('Weekly Tracker'!$E$2:$E$766=$A1487)/('Weekly Tracker'!$N$2:$N$766&lt;&gt;""),'Weekly Tracker'!$N$2:$N$766),"")</f>
        <v/>
      </c>
      <c r="L1487" s="9">
        <f>IFERROR(LOOKUP(2,1/('Weekly Tracker'!$E$2:$E$766=$A1487)/('Weekly Tracker'!$O$2:$O$766&lt;&gt;""),'Weekly Tracker'!$O$2:$O$766),"")</f>
        <v/>
      </c>
    </row>
    <row r="1488">
      <c r="A1488" s="9" t="inlineStr">
        <is>
          <t>Jebin Sholes Infy</t>
        </is>
      </c>
      <c r="B1488" s="9" t="inlineStr">
        <is>
          <t>918667242574</t>
        </is>
      </c>
      <c r="C1488" s="9" t="n"/>
      <c r="D1488" s="9" t="n"/>
      <c r="E1488" s="9" t="n"/>
      <c r="F1488" s="9">
        <f>IFERROR(LOOKUP(2,1/('Weekly Tracker'!$E$2:$E$766=$A1488)/('Weekly Tracker'!$F$2:$F$766&lt;&gt;""),'Weekly Tracker'!$F$2:$F$766),"")</f>
        <v/>
      </c>
      <c r="G1488" s="16">
        <f>IF(F1488&lt;&gt;"",LOOKUP(2,1/('Weekly Tracker'!$E$2:$E$766=$A1488)/('Weekly Tracker'!$F$2:$F$766&lt;&gt;""),'Weekly Tracker'!$G$2:$G$766),"")</f>
        <v/>
      </c>
      <c r="H1488" s="9">
        <f>IFERROR(LOOKUP(2,1/('Weekly Tracker'!$E$2:$E$766=$A1488)/('Weekly Tracker'!$H$2:$H$766&lt;&gt;""),'Weekly Tracker'!$H$2:$H$766),"")</f>
        <v/>
      </c>
      <c r="I1488" s="16">
        <f>IF(H1488&lt;&gt;"",LOOKUP(2,1/('Weekly Tracker'!$E$2:$E$766=$A1488)/('Weekly Tracker'!$H$2:$H$766&lt;&gt;""),'Weekly Tracker'!$I$2:$I$766),"")</f>
        <v/>
      </c>
      <c r="J1488" s="9">
        <f>IFERROR(LOOKUP(2,1/('Weekly Tracker'!$E$2:$E$766=$A1488)/('Weekly Tracker'!$J$2:$J$766&lt;&gt;""),'Weekly Tracker'!$J$2:$J$766),"")</f>
        <v/>
      </c>
      <c r="K1488" s="9">
        <f>IFERROR(LOOKUP(2,1/('Weekly Tracker'!$E$2:$E$766=$A1488)/('Weekly Tracker'!$N$2:$N$766&lt;&gt;""),'Weekly Tracker'!$N$2:$N$766),"")</f>
        <v/>
      </c>
      <c r="L1488" s="9">
        <f>IFERROR(LOOKUP(2,1/('Weekly Tracker'!$E$2:$E$766=$A1488)/('Weekly Tracker'!$O$2:$O$766&lt;&gt;""),'Weekly Tracker'!$O$2:$O$766),"")</f>
        <v/>
      </c>
    </row>
    <row r="1489">
      <c r="A1489" s="9" t="inlineStr">
        <is>
          <t>Divya Dhi</t>
        </is>
      </c>
      <c r="B1489" s="9" t="inlineStr">
        <is>
          <t>919952954999</t>
        </is>
      </c>
      <c r="C1489" s="9" t="n"/>
      <c r="D1489" s="9" t="n"/>
      <c r="E1489" s="9" t="n"/>
      <c r="F1489" s="9">
        <f>IFERROR(LOOKUP(2,1/('Weekly Tracker'!$E$2:$E$766=$A1489)/('Weekly Tracker'!$F$2:$F$766&lt;&gt;""),'Weekly Tracker'!$F$2:$F$766),"")</f>
        <v/>
      </c>
      <c r="G1489" s="16">
        <f>IF(F1489&lt;&gt;"",LOOKUP(2,1/('Weekly Tracker'!$E$2:$E$766=$A1489)/('Weekly Tracker'!$F$2:$F$766&lt;&gt;""),'Weekly Tracker'!$G$2:$G$766),"")</f>
        <v/>
      </c>
      <c r="H1489" s="9">
        <f>IFERROR(LOOKUP(2,1/('Weekly Tracker'!$E$2:$E$766=$A1489)/('Weekly Tracker'!$H$2:$H$766&lt;&gt;""),'Weekly Tracker'!$H$2:$H$766),"")</f>
        <v/>
      </c>
      <c r="I1489" s="16">
        <f>IF(H1489&lt;&gt;"",LOOKUP(2,1/('Weekly Tracker'!$E$2:$E$766=$A1489)/('Weekly Tracker'!$H$2:$H$766&lt;&gt;""),'Weekly Tracker'!$I$2:$I$766),"")</f>
        <v/>
      </c>
      <c r="J1489" s="9">
        <f>IFERROR(LOOKUP(2,1/('Weekly Tracker'!$E$2:$E$766=$A1489)/('Weekly Tracker'!$J$2:$J$766&lt;&gt;""),'Weekly Tracker'!$J$2:$J$766),"")</f>
        <v/>
      </c>
      <c r="K1489" s="9">
        <f>IFERROR(LOOKUP(2,1/('Weekly Tracker'!$E$2:$E$766=$A1489)/('Weekly Tracker'!$N$2:$N$766&lt;&gt;""),'Weekly Tracker'!$N$2:$N$766),"")</f>
        <v/>
      </c>
      <c r="L1489" s="9">
        <f>IFERROR(LOOKUP(2,1/('Weekly Tracker'!$E$2:$E$766=$A1489)/('Weekly Tracker'!$O$2:$O$766&lt;&gt;""),'Weekly Tracker'!$O$2:$O$766),"")</f>
        <v/>
      </c>
    </row>
    <row r="1490">
      <c r="A1490" s="9" t="inlineStr">
        <is>
          <t>Pragatheesh FB</t>
        </is>
      </c>
      <c r="B1490" s="9" t="inlineStr">
        <is>
          <t>9791659866</t>
        </is>
      </c>
      <c r="C1490" s="9" t="n"/>
      <c r="D1490" s="9" t="n"/>
      <c r="E1490" s="9" t="n"/>
      <c r="F1490" s="9">
        <f>IFERROR(LOOKUP(2,1/('Weekly Tracker'!$E$2:$E$766=$A1490)/('Weekly Tracker'!$F$2:$F$766&lt;&gt;""),'Weekly Tracker'!$F$2:$F$766),"")</f>
        <v/>
      </c>
      <c r="G1490" s="16">
        <f>IF(F1490&lt;&gt;"",LOOKUP(2,1/('Weekly Tracker'!$E$2:$E$766=$A1490)/('Weekly Tracker'!$F$2:$F$766&lt;&gt;""),'Weekly Tracker'!$G$2:$G$766),"")</f>
        <v/>
      </c>
      <c r="H1490" s="9">
        <f>IFERROR(LOOKUP(2,1/('Weekly Tracker'!$E$2:$E$766=$A1490)/('Weekly Tracker'!$H$2:$H$766&lt;&gt;""),'Weekly Tracker'!$H$2:$H$766),"")</f>
        <v/>
      </c>
      <c r="I1490" s="16">
        <f>IF(H1490&lt;&gt;"",LOOKUP(2,1/('Weekly Tracker'!$E$2:$E$766=$A1490)/('Weekly Tracker'!$H$2:$H$766&lt;&gt;""),'Weekly Tracker'!$I$2:$I$766),"")</f>
        <v/>
      </c>
      <c r="J1490" s="9">
        <f>IFERROR(LOOKUP(2,1/('Weekly Tracker'!$E$2:$E$766=$A1490)/('Weekly Tracker'!$J$2:$J$766&lt;&gt;""),'Weekly Tracker'!$J$2:$J$766),"")</f>
        <v/>
      </c>
      <c r="K1490" s="9">
        <f>IFERROR(LOOKUP(2,1/('Weekly Tracker'!$E$2:$E$766=$A1490)/('Weekly Tracker'!$N$2:$N$766&lt;&gt;""),'Weekly Tracker'!$N$2:$N$766),"")</f>
        <v/>
      </c>
      <c r="L1490" s="9">
        <f>IFERROR(LOOKUP(2,1/('Weekly Tracker'!$E$2:$E$766=$A1490)/('Weekly Tracker'!$O$2:$O$766&lt;&gt;""),'Weekly Tracker'!$O$2:$O$766),"")</f>
        <v/>
      </c>
    </row>
    <row r="1491">
      <c r="A1491" s="9" t="inlineStr">
        <is>
          <t>Satheesh Qs New</t>
        </is>
      </c>
      <c r="B1491" s="9" t="inlineStr">
        <is>
          <t>919489288457</t>
        </is>
      </c>
      <c r="C1491" s="9" t="n"/>
      <c r="D1491" s="9" t="n"/>
      <c r="E1491" s="9" t="n"/>
      <c r="F1491" s="9">
        <f>IFERROR(LOOKUP(2,1/('Weekly Tracker'!$E$2:$E$766=$A1491)/('Weekly Tracker'!$F$2:$F$766&lt;&gt;""),'Weekly Tracker'!$F$2:$F$766),"")</f>
        <v/>
      </c>
      <c r="G1491" s="16">
        <f>IF(F1491&lt;&gt;"",LOOKUP(2,1/('Weekly Tracker'!$E$2:$E$766=$A1491)/('Weekly Tracker'!$F$2:$F$766&lt;&gt;""),'Weekly Tracker'!$G$2:$G$766),"")</f>
        <v/>
      </c>
      <c r="H1491" s="9">
        <f>IFERROR(LOOKUP(2,1/('Weekly Tracker'!$E$2:$E$766=$A1491)/('Weekly Tracker'!$H$2:$H$766&lt;&gt;""),'Weekly Tracker'!$H$2:$H$766),"")</f>
        <v/>
      </c>
      <c r="I1491" s="16">
        <f>IF(H1491&lt;&gt;"",LOOKUP(2,1/('Weekly Tracker'!$E$2:$E$766=$A1491)/('Weekly Tracker'!$H$2:$H$766&lt;&gt;""),'Weekly Tracker'!$I$2:$I$766),"")</f>
        <v/>
      </c>
      <c r="J1491" s="9">
        <f>IFERROR(LOOKUP(2,1/('Weekly Tracker'!$E$2:$E$766=$A1491)/('Weekly Tracker'!$J$2:$J$766&lt;&gt;""),'Weekly Tracker'!$J$2:$J$766),"")</f>
        <v/>
      </c>
      <c r="K1491" s="9">
        <f>IFERROR(LOOKUP(2,1/('Weekly Tracker'!$E$2:$E$766=$A1491)/('Weekly Tracker'!$N$2:$N$766&lt;&gt;""),'Weekly Tracker'!$N$2:$N$766),"")</f>
        <v/>
      </c>
      <c r="L1491" s="9">
        <f>IFERROR(LOOKUP(2,1/('Weekly Tracker'!$E$2:$E$766=$A1491)/('Weekly Tracker'!$O$2:$O$766&lt;&gt;""),'Weekly Tracker'!$O$2:$O$766),"")</f>
        <v/>
      </c>
    </row>
    <row r="1492">
      <c r="A1492" s="9" t="inlineStr">
        <is>
          <t>Thinesh Jebastin</t>
        </is>
      </c>
      <c r="B1492" s="9" t="inlineStr">
        <is>
          <t>9384655200</t>
        </is>
      </c>
      <c r="C1492" s="9" t="n"/>
      <c r="D1492" s="9" t="n"/>
      <c r="E1492" s="9" t="n"/>
      <c r="F1492" s="9">
        <f>IFERROR(LOOKUP(2,1/('Weekly Tracker'!$E$2:$E$766=$A1492)/('Weekly Tracker'!$F$2:$F$766&lt;&gt;""),'Weekly Tracker'!$F$2:$F$766),"")</f>
        <v/>
      </c>
      <c r="G1492" s="16">
        <f>IF(F1492&lt;&gt;"",LOOKUP(2,1/('Weekly Tracker'!$E$2:$E$766=$A1492)/('Weekly Tracker'!$F$2:$F$766&lt;&gt;""),'Weekly Tracker'!$G$2:$G$766),"")</f>
        <v/>
      </c>
      <c r="H1492" s="9">
        <f>IFERROR(LOOKUP(2,1/('Weekly Tracker'!$E$2:$E$766=$A1492)/('Weekly Tracker'!$H$2:$H$766&lt;&gt;""),'Weekly Tracker'!$H$2:$H$766),"")</f>
        <v/>
      </c>
      <c r="I1492" s="16">
        <f>IF(H1492&lt;&gt;"",LOOKUP(2,1/('Weekly Tracker'!$E$2:$E$766=$A1492)/('Weekly Tracker'!$H$2:$H$766&lt;&gt;""),'Weekly Tracker'!$I$2:$I$766),"")</f>
        <v/>
      </c>
      <c r="J1492" s="9">
        <f>IFERROR(LOOKUP(2,1/('Weekly Tracker'!$E$2:$E$766=$A1492)/('Weekly Tracker'!$J$2:$J$766&lt;&gt;""),'Weekly Tracker'!$J$2:$J$766),"")</f>
        <v/>
      </c>
      <c r="K1492" s="9">
        <f>IFERROR(LOOKUP(2,1/('Weekly Tracker'!$E$2:$E$766=$A1492)/('Weekly Tracker'!$N$2:$N$766&lt;&gt;""),'Weekly Tracker'!$N$2:$N$766),"")</f>
        <v/>
      </c>
      <c r="L1492" s="9">
        <f>IFERROR(LOOKUP(2,1/('Weekly Tracker'!$E$2:$E$766=$A1492)/('Weekly Tracker'!$O$2:$O$766&lt;&gt;""),'Weekly Tracker'!$O$2:$O$766),"")</f>
        <v/>
      </c>
    </row>
    <row r="1493">
      <c r="A1493" s="9" t="inlineStr">
        <is>
          <t>Kavin Kowtham Jio Urja</t>
        </is>
      </c>
      <c r="B1493" s="9" t="inlineStr">
        <is>
          <t>9787080326, +91 86100 07108</t>
        </is>
      </c>
      <c r="C1493" s="9" t="n"/>
      <c r="D1493" s="9" t="n"/>
      <c r="E1493" s="9" t="n"/>
      <c r="F1493" s="9">
        <f>IFERROR(LOOKUP(2,1/('Weekly Tracker'!$E$2:$E$766=$A1493)/('Weekly Tracker'!$F$2:$F$766&lt;&gt;""),'Weekly Tracker'!$F$2:$F$766),"")</f>
        <v/>
      </c>
      <c r="G1493" s="16">
        <f>IF(F1493&lt;&gt;"",LOOKUP(2,1/('Weekly Tracker'!$E$2:$E$766=$A1493)/('Weekly Tracker'!$F$2:$F$766&lt;&gt;""),'Weekly Tracker'!$G$2:$G$766),"")</f>
        <v/>
      </c>
      <c r="H1493" s="9">
        <f>IFERROR(LOOKUP(2,1/('Weekly Tracker'!$E$2:$E$766=$A1493)/('Weekly Tracker'!$H$2:$H$766&lt;&gt;""),'Weekly Tracker'!$H$2:$H$766),"")</f>
        <v/>
      </c>
      <c r="I1493" s="16">
        <f>IF(H1493&lt;&gt;"",LOOKUP(2,1/('Weekly Tracker'!$E$2:$E$766=$A1493)/('Weekly Tracker'!$H$2:$H$766&lt;&gt;""),'Weekly Tracker'!$I$2:$I$766),"")</f>
        <v/>
      </c>
      <c r="J1493" s="9">
        <f>IFERROR(LOOKUP(2,1/('Weekly Tracker'!$E$2:$E$766=$A1493)/('Weekly Tracker'!$J$2:$J$766&lt;&gt;""),'Weekly Tracker'!$J$2:$J$766),"")</f>
        <v/>
      </c>
      <c r="K1493" s="9">
        <f>IFERROR(LOOKUP(2,1/('Weekly Tracker'!$E$2:$E$766=$A1493)/('Weekly Tracker'!$N$2:$N$766&lt;&gt;""),'Weekly Tracker'!$N$2:$N$766),"")</f>
        <v/>
      </c>
      <c r="L1493" s="9">
        <f>IFERROR(LOOKUP(2,1/('Weekly Tracker'!$E$2:$E$766=$A1493)/('Weekly Tracker'!$O$2:$O$766&lt;&gt;""),'Weekly Tracker'!$O$2:$O$766),"")</f>
        <v/>
      </c>
    </row>
    <row r="1494">
      <c r="A1494" s="9" t="inlineStr">
        <is>
          <t>Aravind ECE</t>
        </is>
      </c>
      <c r="B1494" s="9" t="inlineStr">
        <is>
          <t>919655131112</t>
        </is>
      </c>
      <c r="C1494" s="9" t="n"/>
      <c r="D1494" s="9" t="n"/>
      <c r="E1494" s="9" t="n"/>
      <c r="F1494" s="9">
        <f>IFERROR(LOOKUP(2,1/('Weekly Tracker'!$E$2:$E$766=$A1494)/('Weekly Tracker'!$F$2:$F$766&lt;&gt;""),'Weekly Tracker'!$F$2:$F$766),"")</f>
        <v/>
      </c>
      <c r="G1494" s="16">
        <f>IF(F1494&lt;&gt;"",LOOKUP(2,1/('Weekly Tracker'!$E$2:$E$766=$A1494)/('Weekly Tracker'!$F$2:$F$766&lt;&gt;""),'Weekly Tracker'!$G$2:$G$766),"")</f>
        <v/>
      </c>
      <c r="H1494" s="9">
        <f>IFERROR(LOOKUP(2,1/('Weekly Tracker'!$E$2:$E$766=$A1494)/('Weekly Tracker'!$H$2:$H$766&lt;&gt;""),'Weekly Tracker'!$H$2:$H$766),"")</f>
        <v/>
      </c>
      <c r="I1494" s="16">
        <f>IF(H1494&lt;&gt;"",LOOKUP(2,1/('Weekly Tracker'!$E$2:$E$766=$A1494)/('Weekly Tracker'!$H$2:$H$766&lt;&gt;""),'Weekly Tracker'!$I$2:$I$766),"")</f>
        <v/>
      </c>
      <c r="J1494" s="9">
        <f>IFERROR(LOOKUP(2,1/('Weekly Tracker'!$E$2:$E$766=$A1494)/('Weekly Tracker'!$J$2:$J$766&lt;&gt;""),'Weekly Tracker'!$J$2:$J$766),"")</f>
        <v/>
      </c>
      <c r="K1494" s="9">
        <f>IFERROR(LOOKUP(2,1/('Weekly Tracker'!$E$2:$E$766=$A1494)/('Weekly Tracker'!$N$2:$N$766&lt;&gt;""),'Weekly Tracker'!$N$2:$N$766),"")</f>
        <v/>
      </c>
      <c r="L1494" s="9">
        <f>IFERROR(LOOKUP(2,1/('Weekly Tracker'!$E$2:$E$766=$A1494)/('Weekly Tracker'!$O$2:$O$766&lt;&gt;""),'Weekly Tracker'!$O$2:$O$766),"")</f>
        <v/>
      </c>
    </row>
    <row r="1495">
      <c r="A1495" s="9" t="inlineStr">
        <is>
          <t>Sathesh Verz</t>
        </is>
      </c>
      <c r="B1495" s="9" t="inlineStr">
        <is>
          <t>+91 85263 27997</t>
        </is>
      </c>
      <c r="C1495" s="9" t="n"/>
      <c r="D1495" s="9" t="n"/>
      <c r="E1495" s="9" t="n"/>
      <c r="F1495" s="9">
        <f>IFERROR(LOOKUP(2,1/('Weekly Tracker'!$E$2:$E$766=$A1495)/('Weekly Tracker'!$F$2:$F$766&lt;&gt;""),'Weekly Tracker'!$F$2:$F$766),"")</f>
        <v/>
      </c>
      <c r="G1495" s="16">
        <f>IF(F1495&lt;&gt;"",LOOKUP(2,1/('Weekly Tracker'!$E$2:$E$766=$A1495)/('Weekly Tracker'!$F$2:$F$766&lt;&gt;""),'Weekly Tracker'!$G$2:$G$766),"")</f>
        <v/>
      </c>
      <c r="H1495" s="9">
        <f>IFERROR(LOOKUP(2,1/('Weekly Tracker'!$E$2:$E$766=$A1495)/('Weekly Tracker'!$H$2:$H$766&lt;&gt;""),'Weekly Tracker'!$H$2:$H$766),"")</f>
        <v/>
      </c>
      <c r="I1495" s="16">
        <f>IF(H1495&lt;&gt;"",LOOKUP(2,1/('Weekly Tracker'!$E$2:$E$766=$A1495)/('Weekly Tracker'!$H$2:$H$766&lt;&gt;""),'Weekly Tracker'!$I$2:$I$766),"")</f>
        <v/>
      </c>
      <c r="J1495" s="9">
        <f>IFERROR(LOOKUP(2,1/('Weekly Tracker'!$E$2:$E$766=$A1495)/('Weekly Tracker'!$J$2:$J$766&lt;&gt;""),'Weekly Tracker'!$J$2:$J$766),"")</f>
        <v/>
      </c>
      <c r="K1495" s="9">
        <f>IFERROR(LOOKUP(2,1/('Weekly Tracker'!$E$2:$E$766=$A1495)/('Weekly Tracker'!$N$2:$N$766&lt;&gt;""),'Weekly Tracker'!$N$2:$N$766),"")</f>
        <v/>
      </c>
      <c r="L1495" s="9">
        <f>IFERROR(LOOKUP(2,1/('Weekly Tracker'!$E$2:$E$766=$A1495)/('Weekly Tracker'!$O$2:$O$766&lt;&gt;""),'Weekly Tracker'!$O$2:$O$766),"")</f>
        <v/>
      </c>
    </row>
    <row r="1496">
      <c r="A1496" s="9" t="inlineStr">
        <is>
          <t>Sekar</t>
        </is>
      </c>
      <c r="B1496" s="9" t="inlineStr">
        <is>
          <t>9486307267</t>
        </is>
      </c>
      <c r="C1496" s="9" t="n"/>
      <c r="D1496" s="9" t="n"/>
      <c r="E1496" s="9" t="n"/>
      <c r="F1496" s="9">
        <f>IFERROR(LOOKUP(2,1/('Weekly Tracker'!$E$2:$E$766=$A1496)/('Weekly Tracker'!$F$2:$F$766&lt;&gt;""),'Weekly Tracker'!$F$2:$F$766),"")</f>
        <v/>
      </c>
      <c r="G1496" s="16">
        <f>IF(F1496&lt;&gt;"",LOOKUP(2,1/('Weekly Tracker'!$E$2:$E$766=$A1496)/('Weekly Tracker'!$F$2:$F$766&lt;&gt;""),'Weekly Tracker'!$G$2:$G$766),"")</f>
        <v/>
      </c>
      <c r="H1496" s="9">
        <f>IFERROR(LOOKUP(2,1/('Weekly Tracker'!$E$2:$E$766=$A1496)/('Weekly Tracker'!$H$2:$H$766&lt;&gt;""),'Weekly Tracker'!$H$2:$H$766),"")</f>
        <v/>
      </c>
      <c r="I1496" s="16">
        <f>IF(H1496&lt;&gt;"",LOOKUP(2,1/('Weekly Tracker'!$E$2:$E$766=$A1496)/('Weekly Tracker'!$H$2:$H$766&lt;&gt;""),'Weekly Tracker'!$I$2:$I$766),"")</f>
        <v/>
      </c>
      <c r="J1496" s="9">
        <f>IFERROR(LOOKUP(2,1/('Weekly Tracker'!$E$2:$E$766=$A1496)/('Weekly Tracker'!$J$2:$J$766&lt;&gt;""),'Weekly Tracker'!$J$2:$J$766),"")</f>
        <v/>
      </c>
      <c r="K1496" s="9">
        <f>IFERROR(LOOKUP(2,1/('Weekly Tracker'!$E$2:$E$766=$A1496)/('Weekly Tracker'!$N$2:$N$766&lt;&gt;""),'Weekly Tracker'!$N$2:$N$766),"")</f>
        <v/>
      </c>
      <c r="L1496" s="9">
        <f>IFERROR(LOOKUP(2,1/('Weekly Tracker'!$E$2:$E$766=$A1496)/('Weekly Tracker'!$O$2:$O$766&lt;&gt;""),'Weekly Tracker'!$O$2:$O$766),"")</f>
        <v/>
      </c>
    </row>
    <row r="1497">
      <c r="A1497" s="9" t="inlineStr">
        <is>
          <t>Nizamudeen Verz</t>
        </is>
      </c>
      <c r="B1497" s="9" t="inlineStr">
        <is>
          <t>918148646418</t>
        </is>
      </c>
      <c r="C1497" s="9" t="n"/>
      <c r="D1497" s="9" t="n"/>
      <c r="E1497" s="9" t="n"/>
      <c r="F1497" s="9">
        <f>IFERROR(LOOKUP(2,1/('Weekly Tracker'!$E$2:$E$766=$A1497)/('Weekly Tracker'!$F$2:$F$766&lt;&gt;""),'Weekly Tracker'!$F$2:$F$766),"")</f>
        <v/>
      </c>
      <c r="G1497" s="16">
        <f>IF(F1497&lt;&gt;"",LOOKUP(2,1/('Weekly Tracker'!$E$2:$E$766=$A1497)/('Weekly Tracker'!$F$2:$F$766&lt;&gt;""),'Weekly Tracker'!$G$2:$G$766),"")</f>
        <v/>
      </c>
      <c r="H1497" s="9">
        <f>IFERROR(LOOKUP(2,1/('Weekly Tracker'!$E$2:$E$766=$A1497)/('Weekly Tracker'!$H$2:$H$766&lt;&gt;""),'Weekly Tracker'!$H$2:$H$766),"")</f>
        <v/>
      </c>
      <c r="I1497" s="16">
        <f>IF(H1497&lt;&gt;"",LOOKUP(2,1/('Weekly Tracker'!$E$2:$E$766=$A1497)/('Weekly Tracker'!$H$2:$H$766&lt;&gt;""),'Weekly Tracker'!$I$2:$I$766),"")</f>
        <v/>
      </c>
      <c r="J1497" s="9">
        <f>IFERROR(LOOKUP(2,1/('Weekly Tracker'!$E$2:$E$766=$A1497)/('Weekly Tracker'!$J$2:$J$766&lt;&gt;""),'Weekly Tracker'!$J$2:$J$766),"")</f>
        <v/>
      </c>
      <c r="K1497" s="9">
        <f>IFERROR(LOOKUP(2,1/('Weekly Tracker'!$E$2:$E$766=$A1497)/('Weekly Tracker'!$N$2:$N$766&lt;&gt;""),'Weekly Tracker'!$N$2:$N$766),"")</f>
        <v/>
      </c>
      <c r="L1497" s="9">
        <f>IFERROR(LOOKUP(2,1/('Weekly Tracker'!$E$2:$E$766=$A1497)/('Weekly Tracker'!$O$2:$O$766&lt;&gt;""),'Weekly Tracker'!$O$2:$O$766),"")</f>
        <v/>
      </c>
    </row>
    <row r="1498">
      <c r="A1498" s="9" t="inlineStr">
        <is>
          <t>தங்கராஜ் Maharaja Thambi</t>
        </is>
      </c>
      <c r="B1498" s="9" t="inlineStr">
        <is>
          <t>918825549440</t>
        </is>
      </c>
      <c r="C1498" s="9" t="n"/>
      <c r="D1498" s="9" t="n"/>
      <c r="E1498" s="9" t="n"/>
      <c r="F1498" s="9">
        <f>IFERROR(LOOKUP(2,1/('Weekly Tracker'!$E$2:$E$766=$A1498)/('Weekly Tracker'!$F$2:$F$766&lt;&gt;""),'Weekly Tracker'!$F$2:$F$766),"")</f>
        <v/>
      </c>
      <c r="G1498" s="16">
        <f>IF(F1498&lt;&gt;"",LOOKUP(2,1/('Weekly Tracker'!$E$2:$E$766=$A1498)/('Weekly Tracker'!$F$2:$F$766&lt;&gt;""),'Weekly Tracker'!$G$2:$G$766),"")</f>
        <v/>
      </c>
      <c r="H1498" s="9">
        <f>IFERROR(LOOKUP(2,1/('Weekly Tracker'!$E$2:$E$766=$A1498)/('Weekly Tracker'!$H$2:$H$766&lt;&gt;""),'Weekly Tracker'!$H$2:$H$766),"")</f>
        <v/>
      </c>
      <c r="I1498" s="16">
        <f>IF(H1498&lt;&gt;"",LOOKUP(2,1/('Weekly Tracker'!$E$2:$E$766=$A1498)/('Weekly Tracker'!$H$2:$H$766&lt;&gt;""),'Weekly Tracker'!$I$2:$I$766),"")</f>
        <v/>
      </c>
      <c r="J1498" s="9">
        <f>IFERROR(LOOKUP(2,1/('Weekly Tracker'!$E$2:$E$766=$A1498)/('Weekly Tracker'!$J$2:$J$766&lt;&gt;""),'Weekly Tracker'!$J$2:$J$766),"")</f>
        <v/>
      </c>
      <c r="K1498" s="9">
        <f>IFERROR(LOOKUP(2,1/('Weekly Tracker'!$E$2:$E$766=$A1498)/('Weekly Tracker'!$N$2:$N$766&lt;&gt;""),'Weekly Tracker'!$N$2:$N$766),"")</f>
        <v/>
      </c>
      <c r="L1498" s="9">
        <f>IFERROR(LOOKUP(2,1/('Weekly Tracker'!$E$2:$E$766=$A1498)/('Weekly Tracker'!$O$2:$O$766&lt;&gt;""),'Weekly Tracker'!$O$2:$O$766),"")</f>
        <v/>
      </c>
    </row>
    <row r="1499">
      <c r="A1499" s="9" t="inlineStr">
        <is>
          <t>Nivethitha Urja</t>
        </is>
      </c>
      <c r="B1499" s="9" t="inlineStr">
        <is>
          <t>918883797534</t>
        </is>
      </c>
      <c r="C1499" s="9" t="n"/>
      <c r="D1499" s="9" t="n"/>
      <c r="E1499" s="9" t="n"/>
      <c r="F1499" s="9">
        <f>IFERROR(LOOKUP(2,1/('Weekly Tracker'!$E$2:$E$766=$A1499)/('Weekly Tracker'!$F$2:$F$766&lt;&gt;""),'Weekly Tracker'!$F$2:$F$766),"")</f>
        <v/>
      </c>
      <c r="G1499" s="16">
        <f>IF(F1499&lt;&gt;"",LOOKUP(2,1/('Weekly Tracker'!$E$2:$E$766=$A1499)/('Weekly Tracker'!$F$2:$F$766&lt;&gt;""),'Weekly Tracker'!$G$2:$G$766),"")</f>
        <v/>
      </c>
      <c r="H1499" s="9">
        <f>IFERROR(LOOKUP(2,1/('Weekly Tracker'!$E$2:$E$766=$A1499)/('Weekly Tracker'!$H$2:$H$766&lt;&gt;""),'Weekly Tracker'!$H$2:$H$766),"")</f>
        <v/>
      </c>
      <c r="I1499" s="16">
        <f>IF(H1499&lt;&gt;"",LOOKUP(2,1/('Weekly Tracker'!$E$2:$E$766=$A1499)/('Weekly Tracker'!$H$2:$H$766&lt;&gt;""),'Weekly Tracker'!$I$2:$I$766),"")</f>
        <v/>
      </c>
      <c r="J1499" s="9">
        <f>IFERROR(LOOKUP(2,1/('Weekly Tracker'!$E$2:$E$766=$A1499)/('Weekly Tracker'!$J$2:$J$766&lt;&gt;""),'Weekly Tracker'!$J$2:$J$766),"")</f>
        <v/>
      </c>
      <c r="K1499" s="9">
        <f>IFERROR(LOOKUP(2,1/('Weekly Tracker'!$E$2:$E$766=$A1499)/('Weekly Tracker'!$N$2:$N$766&lt;&gt;""),'Weekly Tracker'!$N$2:$N$766),"")</f>
        <v/>
      </c>
      <c r="L1499" s="9">
        <f>IFERROR(LOOKUP(2,1/('Weekly Tracker'!$E$2:$E$766=$A1499)/('Weekly Tracker'!$O$2:$O$766&lt;&gt;""),'Weekly Tracker'!$O$2:$O$766),"")</f>
        <v/>
      </c>
    </row>
    <row r="1500">
      <c r="A1500" s="9" t="inlineStr">
        <is>
          <t>Elavarasi ECE</t>
        </is>
      </c>
      <c r="B1500" s="9" t="inlineStr">
        <is>
          <t>+91 97905 64223</t>
        </is>
      </c>
      <c r="C1500" s="9" t="n"/>
      <c r="D1500" s="9" t="n"/>
      <c r="E1500" s="9" t="n"/>
      <c r="F1500" s="9">
        <f>IFERROR(LOOKUP(2,1/('Weekly Tracker'!$E$2:$E$766=$A1500)/('Weekly Tracker'!$F$2:$F$766&lt;&gt;""),'Weekly Tracker'!$F$2:$F$766),"")</f>
        <v/>
      </c>
      <c r="G1500" s="16">
        <f>IF(F1500&lt;&gt;"",LOOKUP(2,1/('Weekly Tracker'!$E$2:$E$766=$A1500)/('Weekly Tracker'!$F$2:$F$766&lt;&gt;""),'Weekly Tracker'!$G$2:$G$766),"")</f>
        <v/>
      </c>
      <c r="H1500" s="9">
        <f>IFERROR(LOOKUP(2,1/('Weekly Tracker'!$E$2:$E$766=$A1500)/('Weekly Tracker'!$H$2:$H$766&lt;&gt;""),'Weekly Tracker'!$H$2:$H$766),"")</f>
        <v/>
      </c>
      <c r="I1500" s="16">
        <f>IF(H1500&lt;&gt;"",LOOKUP(2,1/('Weekly Tracker'!$E$2:$E$766=$A1500)/('Weekly Tracker'!$H$2:$H$766&lt;&gt;""),'Weekly Tracker'!$I$2:$I$766),"")</f>
        <v/>
      </c>
      <c r="J1500" s="9">
        <f>IFERROR(LOOKUP(2,1/('Weekly Tracker'!$E$2:$E$766=$A1500)/('Weekly Tracker'!$J$2:$J$766&lt;&gt;""),'Weekly Tracker'!$J$2:$J$766),"")</f>
        <v/>
      </c>
      <c r="K1500" s="9">
        <f>IFERROR(LOOKUP(2,1/('Weekly Tracker'!$E$2:$E$766=$A1500)/('Weekly Tracker'!$N$2:$N$766&lt;&gt;""),'Weekly Tracker'!$N$2:$N$766),"")</f>
        <v/>
      </c>
      <c r="L1500" s="9">
        <f>IFERROR(LOOKUP(2,1/('Weekly Tracker'!$E$2:$E$766=$A1500)/('Weekly Tracker'!$O$2:$O$766&lt;&gt;""),'Weekly Tracker'!$O$2:$O$766),"")</f>
        <v/>
      </c>
    </row>
    <row r="1501">
      <c r="A1501" s="9" t="inlineStr">
        <is>
          <t>Bevin Arul RAJ FB</t>
        </is>
      </c>
      <c r="B1501" s="9" t="inlineStr">
        <is>
          <t>8015168995</t>
        </is>
      </c>
      <c r="C1501" s="9" t="n"/>
      <c r="D1501" s="9" t="n"/>
      <c r="E1501" s="9" t="n"/>
      <c r="F1501" s="9">
        <f>IFERROR(LOOKUP(2,1/('Weekly Tracker'!$E$2:$E$766=$A1501)/('Weekly Tracker'!$F$2:$F$766&lt;&gt;""),'Weekly Tracker'!$F$2:$F$766),"")</f>
        <v/>
      </c>
      <c r="G1501" s="16">
        <f>IF(F1501&lt;&gt;"",LOOKUP(2,1/('Weekly Tracker'!$E$2:$E$766=$A1501)/('Weekly Tracker'!$F$2:$F$766&lt;&gt;""),'Weekly Tracker'!$G$2:$G$766),"")</f>
        <v/>
      </c>
      <c r="H1501" s="9">
        <f>IFERROR(LOOKUP(2,1/('Weekly Tracker'!$E$2:$E$766=$A1501)/('Weekly Tracker'!$H$2:$H$766&lt;&gt;""),'Weekly Tracker'!$H$2:$H$766),"")</f>
        <v/>
      </c>
      <c r="I1501" s="16">
        <f>IF(H1501&lt;&gt;"",LOOKUP(2,1/('Weekly Tracker'!$E$2:$E$766=$A1501)/('Weekly Tracker'!$H$2:$H$766&lt;&gt;""),'Weekly Tracker'!$I$2:$I$766),"")</f>
        <v/>
      </c>
      <c r="J1501" s="9">
        <f>IFERROR(LOOKUP(2,1/('Weekly Tracker'!$E$2:$E$766=$A1501)/('Weekly Tracker'!$J$2:$J$766&lt;&gt;""),'Weekly Tracker'!$J$2:$J$766),"")</f>
        <v/>
      </c>
      <c r="K1501" s="9">
        <f>IFERROR(LOOKUP(2,1/('Weekly Tracker'!$E$2:$E$766=$A1501)/('Weekly Tracker'!$N$2:$N$766&lt;&gt;""),'Weekly Tracker'!$N$2:$N$766),"")</f>
        <v/>
      </c>
      <c r="L1501" s="9">
        <f>IFERROR(LOOKUP(2,1/('Weekly Tracker'!$E$2:$E$766=$A1501)/('Weekly Tracker'!$O$2:$O$766&lt;&gt;""),'Weekly Tracker'!$O$2:$O$766),"")</f>
        <v/>
      </c>
    </row>
    <row r="1502">
      <c r="A1502" s="9" t="inlineStr">
        <is>
          <t>Kalai Urja</t>
        </is>
      </c>
      <c r="B1502" s="9" t="inlineStr">
        <is>
          <t>9941338035</t>
        </is>
      </c>
      <c r="C1502" s="9" t="n"/>
      <c r="D1502" s="9" t="n"/>
      <c r="E1502" s="9" t="n"/>
      <c r="F1502" s="9">
        <f>IFERROR(LOOKUP(2,1/('Weekly Tracker'!$E$2:$E$766=$A1502)/('Weekly Tracker'!$F$2:$F$766&lt;&gt;""),'Weekly Tracker'!$F$2:$F$766),"")</f>
        <v/>
      </c>
      <c r="G1502" s="16">
        <f>IF(F1502&lt;&gt;"",LOOKUP(2,1/('Weekly Tracker'!$E$2:$E$766=$A1502)/('Weekly Tracker'!$F$2:$F$766&lt;&gt;""),'Weekly Tracker'!$G$2:$G$766),"")</f>
        <v/>
      </c>
      <c r="H1502" s="9">
        <f>IFERROR(LOOKUP(2,1/('Weekly Tracker'!$E$2:$E$766=$A1502)/('Weekly Tracker'!$H$2:$H$766&lt;&gt;""),'Weekly Tracker'!$H$2:$H$766),"")</f>
        <v/>
      </c>
      <c r="I1502" s="16">
        <f>IF(H1502&lt;&gt;"",LOOKUP(2,1/('Weekly Tracker'!$E$2:$E$766=$A1502)/('Weekly Tracker'!$H$2:$H$766&lt;&gt;""),'Weekly Tracker'!$I$2:$I$766),"")</f>
        <v/>
      </c>
      <c r="J1502" s="9">
        <f>IFERROR(LOOKUP(2,1/('Weekly Tracker'!$E$2:$E$766=$A1502)/('Weekly Tracker'!$J$2:$J$766&lt;&gt;""),'Weekly Tracker'!$J$2:$J$766),"")</f>
        <v/>
      </c>
      <c r="K1502" s="9">
        <f>IFERROR(LOOKUP(2,1/('Weekly Tracker'!$E$2:$E$766=$A1502)/('Weekly Tracker'!$N$2:$N$766&lt;&gt;""),'Weekly Tracker'!$N$2:$N$766),"")</f>
        <v/>
      </c>
      <c r="L1502" s="9">
        <f>IFERROR(LOOKUP(2,1/('Weekly Tracker'!$E$2:$E$766=$A1502)/('Weekly Tracker'!$O$2:$O$766&lt;&gt;""),'Weekly Tracker'!$O$2:$O$766),"")</f>
        <v/>
      </c>
    </row>
    <row r="1503">
      <c r="A1503" s="9" t="inlineStr">
        <is>
          <t>Madasamy Scl FB</t>
        </is>
      </c>
      <c r="B1503" s="9" t="inlineStr">
        <is>
          <t>918248021522</t>
        </is>
      </c>
      <c r="C1503" s="9" t="n"/>
      <c r="D1503" s="9" t="n"/>
      <c r="E1503" s="9" t="n"/>
      <c r="F1503" s="9">
        <f>IFERROR(LOOKUP(2,1/('Weekly Tracker'!$E$2:$E$766=$A1503)/('Weekly Tracker'!$F$2:$F$766&lt;&gt;""),'Weekly Tracker'!$F$2:$F$766),"")</f>
        <v/>
      </c>
      <c r="G1503" s="16">
        <f>IF(F1503&lt;&gt;"",LOOKUP(2,1/('Weekly Tracker'!$E$2:$E$766=$A1503)/('Weekly Tracker'!$F$2:$F$766&lt;&gt;""),'Weekly Tracker'!$G$2:$G$766),"")</f>
        <v/>
      </c>
      <c r="H1503" s="9">
        <f>IFERROR(LOOKUP(2,1/('Weekly Tracker'!$E$2:$E$766=$A1503)/('Weekly Tracker'!$H$2:$H$766&lt;&gt;""),'Weekly Tracker'!$H$2:$H$766),"")</f>
        <v/>
      </c>
      <c r="I1503" s="16">
        <f>IF(H1503&lt;&gt;"",LOOKUP(2,1/('Weekly Tracker'!$E$2:$E$766=$A1503)/('Weekly Tracker'!$H$2:$H$766&lt;&gt;""),'Weekly Tracker'!$I$2:$I$766),"")</f>
        <v/>
      </c>
      <c r="J1503" s="9">
        <f>IFERROR(LOOKUP(2,1/('Weekly Tracker'!$E$2:$E$766=$A1503)/('Weekly Tracker'!$J$2:$J$766&lt;&gt;""),'Weekly Tracker'!$J$2:$J$766),"")</f>
        <v/>
      </c>
      <c r="K1503" s="9">
        <f>IFERROR(LOOKUP(2,1/('Weekly Tracker'!$E$2:$E$766=$A1503)/('Weekly Tracker'!$N$2:$N$766&lt;&gt;""),'Weekly Tracker'!$N$2:$N$766),"")</f>
        <v/>
      </c>
      <c r="L1503" s="9">
        <f>IFERROR(LOOKUP(2,1/('Weekly Tracker'!$E$2:$E$766=$A1503)/('Weekly Tracker'!$O$2:$O$766&lt;&gt;""),'Weekly Tracker'!$O$2:$O$766),"")</f>
        <v/>
      </c>
    </row>
    <row r="1504">
      <c r="A1504" s="9" t="inlineStr">
        <is>
          <t>சிவா</t>
        </is>
      </c>
      <c r="B1504" s="9" t="inlineStr">
        <is>
          <t>9003992254</t>
        </is>
      </c>
      <c r="C1504" s="9" t="n"/>
      <c r="D1504" s="9" t="n"/>
      <c r="E1504" s="9" t="n"/>
      <c r="F1504" s="9">
        <f>IFERROR(LOOKUP(2,1/('Weekly Tracker'!$E$2:$E$766=$A1504)/('Weekly Tracker'!$F$2:$F$766&lt;&gt;""),'Weekly Tracker'!$F$2:$F$766),"")</f>
        <v/>
      </c>
      <c r="G1504" s="16">
        <f>IF(F1504&lt;&gt;"",LOOKUP(2,1/('Weekly Tracker'!$E$2:$E$766=$A1504)/('Weekly Tracker'!$F$2:$F$766&lt;&gt;""),'Weekly Tracker'!$G$2:$G$766),"")</f>
        <v/>
      </c>
      <c r="H1504" s="9">
        <f>IFERROR(LOOKUP(2,1/('Weekly Tracker'!$E$2:$E$766=$A1504)/('Weekly Tracker'!$H$2:$H$766&lt;&gt;""),'Weekly Tracker'!$H$2:$H$766),"")</f>
        <v/>
      </c>
      <c r="I1504" s="16">
        <f>IF(H1504&lt;&gt;"",LOOKUP(2,1/('Weekly Tracker'!$E$2:$E$766=$A1504)/('Weekly Tracker'!$H$2:$H$766&lt;&gt;""),'Weekly Tracker'!$I$2:$I$766),"")</f>
        <v/>
      </c>
      <c r="J1504" s="9">
        <f>IFERROR(LOOKUP(2,1/('Weekly Tracker'!$E$2:$E$766=$A1504)/('Weekly Tracker'!$J$2:$J$766&lt;&gt;""),'Weekly Tracker'!$J$2:$J$766),"")</f>
        <v/>
      </c>
      <c r="K1504" s="9">
        <f>IFERROR(LOOKUP(2,1/('Weekly Tracker'!$E$2:$E$766=$A1504)/('Weekly Tracker'!$N$2:$N$766&lt;&gt;""),'Weekly Tracker'!$N$2:$N$766),"")</f>
        <v/>
      </c>
      <c r="L1504" s="9">
        <f>IFERROR(LOOKUP(2,1/('Weekly Tracker'!$E$2:$E$766=$A1504)/('Weekly Tracker'!$O$2:$O$766&lt;&gt;""),'Weekly Tracker'!$O$2:$O$766),"")</f>
        <v/>
      </c>
    </row>
    <row r="1505">
      <c r="A1505" s="9" t="inlineStr">
        <is>
          <t>Chirstopher FB</t>
        </is>
      </c>
      <c r="B1505" s="9" t="inlineStr">
        <is>
          <t>919976645890</t>
        </is>
      </c>
      <c r="C1505" s="9" t="n"/>
      <c r="D1505" s="9" t="n"/>
      <c r="E1505" s="9" t="n"/>
      <c r="F1505" s="9">
        <f>IFERROR(LOOKUP(2,1/('Weekly Tracker'!$E$2:$E$766=$A1505)/('Weekly Tracker'!$F$2:$F$766&lt;&gt;""),'Weekly Tracker'!$F$2:$F$766),"")</f>
        <v/>
      </c>
      <c r="G1505" s="16">
        <f>IF(F1505&lt;&gt;"",LOOKUP(2,1/('Weekly Tracker'!$E$2:$E$766=$A1505)/('Weekly Tracker'!$F$2:$F$766&lt;&gt;""),'Weekly Tracker'!$G$2:$G$766),"")</f>
        <v/>
      </c>
      <c r="H1505" s="9">
        <f>IFERROR(LOOKUP(2,1/('Weekly Tracker'!$E$2:$E$766=$A1505)/('Weekly Tracker'!$H$2:$H$766&lt;&gt;""),'Weekly Tracker'!$H$2:$H$766),"")</f>
        <v/>
      </c>
      <c r="I1505" s="16">
        <f>IF(H1505&lt;&gt;"",LOOKUP(2,1/('Weekly Tracker'!$E$2:$E$766=$A1505)/('Weekly Tracker'!$H$2:$H$766&lt;&gt;""),'Weekly Tracker'!$I$2:$I$766),"")</f>
        <v/>
      </c>
      <c r="J1505" s="9">
        <f>IFERROR(LOOKUP(2,1/('Weekly Tracker'!$E$2:$E$766=$A1505)/('Weekly Tracker'!$J$2:$J$766&lt;&gt;""),'Weekly Tracker'!$J$2:$J$766),"")</f>
        <v/>
      </c>
      <c r="K1505" s="9">
        <f>IFERROR(LOOKUP(2,1/('Weekly Tracker'!$E$2:$E$766=$A1505)/('Weekly Tracker'!$N$2:$N$766&lt;&gt;""),'Weekly Tracker'!$N$2:$N$766),"")</f>
        <v/>
      </c>
      <c r="L1505" s="9">
        <f>IFERROR(LOOKUP(2,1/('Weekly Tracker'!$E$2:$E$766=$A1505)/('Weekly Tracker'!$O$2:$O$766&lt;&gt;""),'Weekly Tracker'!$O$2:$O$766),"")</f>
        <v/>
      </c>
    </row>
    <row r="1506">
      <c r="A1506" s="9" t="inlineStr">
        <is>
          <t>Manikanda FB</t>
        </is>
      </c>
      <c r="B1506" s="9" t="inlineStr">
        <is>
          <t>80564 25734</t>
        </is>
      </c>
      <c r="C1506" s="9" t="n"/>
      <c r="D1506" s="9" t="n"/>
      <c r="E1506" s="9" t="n"/>
      <c r="F1506" s="9">
        <f>IFERROR(LOOKUP(2,1/('Weekly Tracker'!$E$2:$E$766=$A1506)/('Weekly Tracker'!$F$2:$F$766&lt;&gt;""),'Weekly Tracker'!$F$2:$F$766),"")</f>
        <v/>
      </c>
      <c r="G1506" s="16">
        <f>IF(F1506&lt;&gt;"",LOOKUP(2,1/('Weekly Tracker'!$E$2:$E$766=$A1506)/('Weekly Tracker'!$F$2:$F$766&lt;&gt;""),'Weekly Tracker'!$G$2:$G$766),"")</f>
        <v/>
      </c>
      <c r="H1506" s="9">
        <f>IFERROR(LOOKUP(2,1/('Weekly Tracker'!$E$2:$E$766=$A1506)/('Weekly Tracker'!$H$2:$H$766&lt;&gt;""),'Weekly Tracker'!$H$2:$H$766),"")</f>
        <v/>
      </c>
      <c r="I1506" s="16">
        <f>IF(H1506&lt;&gt;"",LOOKUP(2,1/('Weekly Tracker'!$E$2:$E$766=$A1506)/('Weekly Tracker'!$H$2:$H$766&lt;&gt;""),'Weekly Tracker'!$I$2:$I$766),"")</f>
        <v/>
      </c>
      <c r="J1506" s="9">
        <f>IFERROR(LOOKUP(2,1/('Weekly Tracker'!$E$2:$E$766=$A1506)/('Weekly Tracker'!$J$2:$J$766&lt;&gt;""),'Weekly Tracker'!$J$2:$J$766),"")</f>
        <v/>
      </c>
      <c r="K1506" s="9">
        <f>IFERROR(LOOKUP(2,1/('Weekly Tracker'!$E$2:$E$766=$A1506)/('Weekly Tracker'!$N$2:$N$766&lt;&gt;""),'Weekly Tracker'!$N$2:$N$766),"")</f>
        <v/>
      </c>
      <c r="L1506" s="9">
        <f>IFERROR(LOOKUP(2,1/('Weekly Tracker'!$E$2:$E$766=$A1506)/('Weekly Tracker'!$O$2:$O$766&lt;&gt;""),'Weekly Tracker'!$O$2:$O$766),"")</f>
        <v/>
      </c>
    </row>
    <row r="1507">
      <c r="A1507" s="9" t="inlineStr">
        <is>
          <t>Raju Thomas FB</t>
        </is>
      </c>
      <c r="B1507" s="9" t="inlineStr">
        <is>
          <t>96008 63284</t>
        </is>
      </c>
      <c r="C1507" s="9" t="n"/>
      <c r="D1507" s="9" t="n"/>
      <c r="E1507" s="9" t="n"/>
      <c r="F1507" s="9">
        <f>IFERROR(LOOKUP(2,1/('Weekly Tracker'!$E$2:$E$766=$A1507)/('Weekly Tracker'!$F$2:$F$766&lt;&gt;""),'Weekly Tracker'!$F$2:$F$766),"")</f>
        <v/>
      </c>
      <c r="G1507" s="16">
        <f>IF(F1507&lt;&gt;"",LOOKUP(2,1/('Weekly Tracker'!$E$2:$E$766=$A1507)/('Weekly Tracker'!$F$2:$F$766&lt;&gt;""),'Weekly Tracker'!$G$2:$G$766),"")</f>
        <v/>
      </c>
      <c r="H1507" s="9">
        <f>IFERROR(LOOKUP(2,1/('Weekly Tracker'!$E$2:$E$766=$A1507)/('Weekly Tracker'!$H$2:$H$766&lt;&gt;""),'Weekly Tracker'!$H$2:$H$766),"")</f>
        <v/>
      </c>
      <c r="I1507" s="16">
        <f>IF(H1507&lt;&gt;"",LOOKUP(2,1/('Weekly Tracker'!$E$2:$E$766=$A1507)/('Weekly Tracker'!$H$2:$H$766&lt;&gt;""),'Weekly Tracker'!$I$2:$I$766),"")</f>
        <v/>
      </c>
      <c r="J1507" s="9">
        <f>IFERROR(LOOKUP(2,1/('Weekly Tracker'!$E$2:$E$766=$A1507)/('Weekly Tracker'!$J$2:$J$766&lt;&gt;""),'Weekly Tracker'!$J$2:$J$766),"")</f>
        <v/>
      </c>
      <c r="K1507" s="9">
        <f>IFERROR(LOOKUP(2,1/('Weekly Tracker'!$E$2:$E$766=$A1507)/('Weekly Tracker'!$N$2:$N$766&lt;&gt;""),'Weekly Tracker'!$N$2:$N$766),"")</f>
        <v/>
      </c>
      <c r="L1507" s="9">
        <f>IFERROR(LOOKUP(2,1/('Weekly Tracker'!$E$2:$E$766=$A1507)/('Weekly Tracker'!$O$2:$O$766&lt;&gt;""),'Weekly Tracker'!$O$2:$O$766),"")</f>
        <v/>
      </c>
    </row>
    <row r="1508">
      <c r="A1508" s="9" t="inlineStr">
        <is>
          <t>Einstein Prakash Urja</t>
        </is>
      </c>
      <c r="B1508" s="9" t="inlineStr">
        <is>
          <t>8056065547</t>
        </is>
      </c>
      <c r="C1508" s="9" t="n"/>
      <c r="D1508" s="9" t="n"/>
      <c r="E1508" s="9" t="n"/>
      <c r="F1508" s="9">
        <f>IFERROR(LOOKUP(2,1/('Weekly Tracker'!$E$2:$E$766=$A1508)/('Weekly Tracker'!$F$2:$F$766&lt;&gt;""),'Weekly Tracker'!$F$2:$F$766),"")</f>
        <v/>
      </c>
      <c r="G1508" s="16">
        <f>IF(F1508&lt;&gt;"",LOOKUP(2,1/('Weekly Tracker'!$E$2:$E$766=$A1508)/('Weekly Tracker'!$F$2:$F$766&lt;&gt;""),'Weekly Tracker'!$G$2:$G$766),"")</f>
        <v/>
      </c>
      <c r="H1508" s="9">
        <f>IFERROR(LOOKUP(2,1/('Weekly Tracker'!$E$2:$E$766=$A1508)/('Weekly Tracker'!$H$2:$H$766&lt;&gt;""),'Weekly Tracker'!$H$2:$H$766),"")</f>
        <v/>
      </c>
      <c r="I1508" s="16">
        <f>IF(H1508&lt;&gt;"",LOOKUP(2,1/('Weekly Tracker'!$E$2:$E$766=$A1508)/('Weekly Tracker'!$H$2:$H$766&lt;&gt;""),'Weekly Tracker'!$I$2:$I$766),"")</f>
        <v/>
      </c>
      <c r="J1508" s="9">
        <f>IFERROR(LOOKUP(2,1/('Weekly Tracker'!$E$2:$E$766=$A1508)/('Weekly Tracker'!$J$2:$J$766&lt;&gt;""),'Weekly Tracker'!$J$2:$J$766),"")</f>
        <v/>
      </c>
      <c r="K1508" s="9">
        <f>IFERROR(LOOKUP(2,1/('Weekly Tracker'!$E$2:$E$766=$A1508)/('Weekly Tracker'!$N$2:$N$766&lt;&gt;""),'Weekly Tracker'!$N$2:$N$766),"")</f>
        <v/>
      </c>
      <c r="L1508" s="9">
        <f>IFERROR(LOOKUP(2,1/('Weekly Tracker'!$E$2:$E$766=$A1508)/('Weekly Tracker'!$O$2:$O$766&lt;&gt;""),'Weekly Tracker'!$O$2:$O$766),"")</f>
        <v/>
      </c>
    </row>
    <row r="1509">
      <c r="A1509" s="9" t="inlineStr">
        <is>
          <t>Ajith Mech</t>
        </is>
      </c>
      <c r="B1509" s="9" t="inlineStr">
        <is>
          <t>919944746127</t>
        </is>
      </c>
      <c r="C1509" s="9" t="n"/>
      <c r="D1509" s="9" t="n"/>
      <c r="E1509" s="9" t="n"/>
      <c r="F1509" s="9">
        <f>IFERROR(LOOKUP(2,1/('Weekly Tracker'!$E$2:$E$766=$A1509)/('Weekly Tracker'!$F$2:$F$766&lt;&gt;""),'Weekly Tracker'!$F$2:$F$766),"")</f>
        <v/>
      </c>
      <c r="G1509" s="16">
        <f>IF(F1509&lt;&gt;"",LOOKUP(2,1/('Weekly Tracker'!$E$2:$E$766=$A1509)/('Weekly Tracker'!$F$2:$F$766&lt;&gt;""),'Weekly Tracker'!$G$2:$G$766),"")</f>
        <v/>
      </c>
      <c r="H1509" s="9">
        <f>IFERROR(LOOKUP(2,1/('Weekly Tracker'!$E$2:$E$766=$A1509)/('Weekly Tracker'!$H$2:$H$766&lt;&gt;""),'Weekly Tracker'!$H$2:$H$766),"")</f>
        <v/>
      </c>
      <c r="I1509" s="16">
        <f>IF(H1509&lt;&gt;"",LOOKUP(2,1/('Weekly Tracker'!$E$2:$E$766=$A1509)/('Weekly Tracker'!$H$2:$H$766&lt;&gt;""),'Weekly Tracker'!$I$2:$I$766),"")</f>
        <v/>
      </c>
      <c r="J1509" s="9">
        <f>IFERROR(LOOKUP(2,1/('Weekly Tracker'!$E$2:$E$766=$A1509)/('Weekly Tracker'!$J$2:$J$766&lt;&gt;""),'Weekly Tracker'!$J$2:$J$766),"")</f>
        <v/>
      </c>
      <c r="K1509" s="9">
        <f>IFERROR(LOOKUP(2,1/('Weekly Tracker'!$E$2:$E$766=$A1509)/('Weekly Tracker'!$N$2:$N$766&lt;&gt;""),'Weekly Tracker'!$N$2:$N$766),"")</f>
        <v/>
      </c>
      <c r="L1509" s="9">
        <f>IFERROR(LOOKUP(2,1/('Weekly Tracker'!$E$2:$E$766=$A1509)/('Weekly Tracker'!$O$2:$O$766&lt;&gt;""),'Weekly Tracker'!$O$2:$O$766),"")</f>
        <v/>
      </c>
    </row>
    <row r="1510">
      <c r="A1510" s="9" t="inlineStr">
        <is>
          <t>Prema Ashwin FB</t>
        </is>
      </c>
      <c r="B1510" s="9" t="inlineStr">
        <is>
          <t>7010263297</t>
        </is>
      </c>
      <c r="C1510" s="9" t="n"/>
      <c r="D1510" s="9" t="n"/>
      <c r="E1510" s="9" t="n"/>
      <c r="F1510" s="9">
        <f>IFERROR(LOOKUP(2,1/('Weekly Tracker'!$E$2:$E$766=$A1510)/('Weekly Tracker'!$F$2:$F$766&lt;&gt;""),'Weekly Tracker'!$F$2:$F$766),"")</f>
        <v/>
      </c>
      <c r="G1510" s="16">
        <f>IF(F1510&lt;&gt;"",LOOKUP(2,1/('Weekly Tracker'!$E$2:$E$766=$A1510)/('Weekly Tracker'!$F$2:$F$766&lt;&gt;""),'Weekly Tracker'!$G$2:$G$766),"")</f>
        <v/>
      </c>
      <c r="H1510" s="9">
        <f>IFERROR(LOOKUP(2,1/('Weekly Tracker'!$E$2:$E$766=$A1510)/('Weekly Tracker'!$H$2:$H$766&lt;&gt;""),'Weekly Tracker'!$H$2:$H$766),"")</f>
        <v/>
      </c>
      <c r="I1510" s="16">
        <f>IF(H1510&lt;&gt;"",LOOKUP(2,1/('Weekly Tracker'!$E$2:$E$766=$A1510)/('Weekly Tracker'!$H$2:$H$766&lt;&gt;""),'Weekly Tracker'!$I$2:$I$766),"")</f>
        <v/>
      </c>
      <c r="J1510" s="9">
        <f>IFERROR(LOOKUP(2,1/('Weekly Tracker'!$E$2:$E$766=$A1510)/('Weekly Tracker'!$J$2:$J$766&lt;&gt;""),'Weekly Tracker'!$J$2:$J$766),"")</f>
        <v/>
      </c>
      <c r="K1510" s="9">
        <f>IFERROR(LOOKUP(2,1/('Weekly Tracker'!$E$2:$E$766=$A1510)/('Weekly Tracker'!$N$2:$N$766&lt;&gt;""),'Weekly Tracker'!$N$2:$N$766),"")</f>
        <v/>
      </c>
      <c r="L1510" s="9">
        <f>IFERROR(LOOKUP(2,1/('Weekly Tracker'!$E$2:$E$766=$A1510)/('Weekly Tracker'!$O$2:$O$766&lt;&gt;""),'Weekly Tracker'!$O$2:$O$766),"")</f>
        <v/>
      </c>
    </row>
    <row r="1511">
      <c r="A1511" s="9" t="inlineStr">
        <is>
          <t>Amal Raj Junior</t>
        </is>
      </c>
      <c r="B1511" s="9" t="inlineStr">
        <is>
          <t>919629908006</t>
        </is>
      </c>
      <c r="C1511" s="9" t="n"/>
      <c r="D1511" s="9" t="n"/>
      <c r="E1511" s="9" t="n"/>
      <c r="F1511" s="9">
        <f>IFERROR(LOOKUP(2,1/('Weekly Tracker'!$E$2:$E$766=$A1511)/('Weekly Tracker'!$F$2:$F$766&lt;&gt;""),'Weekly Tracker'!$F$2:$F$766),"")</f>
        <v/>
      </c>
      <c r="G1511" s="16">
        <f>IF(F1511&lt;&gt;"",LOOKUP(2,1/('Weekly Tracker'!$E$2:$E$766=$A1511)/('Weekly Tracker'!$F$2:$F$766&lt;&gt;""),'Weekly Tracker'!$G$2:$G$766),"")</f>
        <v/>
      </c>
      <c r="H1511" s="9">
        <f>IFERROR(LOOKUP(2,1/('Weekly Tracker'!$E$2:$E$766=$A1511)/('Weekly Tracker'!$H$2:$H$766&lt;&gt;""),'Weekly Tracker'!$H$2:$H$766),"")</f>
        <v/>
      </c>
      <c r="I1511" s="16">
        <f>IF(H1511&lt;&gt;"",LOOKUP(2,1/('Weekly Tracker'!$E$2:$E$766=$A1511)/('Weekly Tracker'!$H$2:$H$766&lt;&gt;""),'Weekly Tracker'!$I$2:$I$766),"")</f>
        <v/>
      </c>
      <c r="J1511" s="9">
        <f>IFERROR(LOOKUP(2,1/('Weekly Tracker'!$E$2:$E$766=$A1511)/('Weekly Tracker'!$J$2:$J$766&lt;&gt;""),'Weekly Tracker'!$J$2:$J$766),"")</f>
        <v/>
      </c>
      <c r="K1511" s="9">
        <f>IFERROR(LOOKUP(2,1/('Weekly Tracker'!$E$2:$E$766=$A1511)/('Weekly Tracker'!$N$2:$N$766&lt;&gt;""),'Weekly Tracker'!$N$2:$N$766),"")</f>
        <v/>
      </c>
      <c r="L1511" s="9">
        <f>IFERROR(LOOKUP(2,1/('Weekly Tracker'!$E$2:$E$766=$A1511)/('Weekly Tracker'!$O$2:$O$766&lt;&gt;""),'Weekly Tracker'!$O$2:$O$766),"")</f>
        <v/>
      </c>
    </row>
    <row r="1512">
      <c r="A1512" s="9" t="inlineStr">
        <is>
          <t>Venkat Ramanan Verz</t>
        </is>
      </c>
      <c r="B1512" s="9" t="inlineStr">
        <is>
          <t>919629373023</t>
        </is>
      </c>
      <c r="C1512" s="9" t="n"/>
      <c r="D1512" s="9" t="n"/>
      <c r="E1512" s="9" t="n"/>
      <c r="F1512" s="9">
        <f>IFERROR(LOOKUP(2,1/('Weekly Tracker'!$E$2:$E$766=$A1512)/('Weekly Tracker'!$F$2:$F$766&lt;&gt;""),'Weekly Tracker'!$F$2:$F$766),"")</f>
        <v/>
      </c>
      <c r="G1512" s="16">
        <f>IF(F1512&lt;&gt;"",LOOKUP(2,1/('Weekly Tracker'!$E$2:$E$766=$A1512)/('Weekly Tracker'!$F$2:$F$766&lt;&gt;""),'Weekly Tracker'!$G$2:$G$766),"")</f>
        <v/>
      </c>
      <c r="H1512" s="9">
        <f>IFERROR(LOOKUP(2,1/('Weekly Tracker'!$E$2:$E$766=$A1512)/('Weekly Tracker'!$H$2:$H$766&lt;&gt;""),'Weekly Tracker'!$H$2:$H$766),"")</f>
        <v/>
      </c>
      <c r="I1512" s="16">
        <f>IF(H1512&lt;&gt;"",LOOKUP(2,1/('Weekly Tracker'!$E$2:$E$766=$A1512)/('Weekly Tracker'!$H$2:$H$766&lt;&gt;""),'Weekly Tracker'!$I$2:$I$766),"")</f>
        <v/>
      </c>
      <c r="J1512" s="9">
        <f>IFERROR(LOOKUP(2,1/('Weekly Tracker'!$E$2:$E$766=$A1512)/('Weekly Tracker'!$J$2:$J$766&lt;&gt;""),'Weekly Tracker'!$J$2:$J$766),"")</f>
        <v/>
      </c>
      <c r="K1512" s="9">
        <f>IFERROR(LOOKUP(2,1/('Weekly Tracker'!$E$2:$E$766=$A1512)/('Weekly Tracker'!$N$2:$N$766&lt;&gt;""),'Weekly Tracker'!$N$2:$N$766),"")</f>
        <v/>
      </c>
      <c r="L1512" s="9">
        <f>IFERROR(LOOKUP(2,1/('Weekly Tracker'!$E$2:$E$766=$A1512)/('Weekly Tracker'!$O$2:$O$766&lt;&gt;""),'Weekly Tracker'!$O$2:$O$766),"")</f>
        <v/>
      </c>
    </row>
    <row r="1513">
      <c r="A1513" s="9" t="inlineStr">
        <is>
          <t>My Idea 4G</t>
        </is>
      </c>
      <c r="B1513" s="9" t="inlineStr">
        <is>
          <t>867-894-9210</t>
        </is>
      </c>
      <c r="C1513" s="9" t="n"/>
      <c r="D1513" s="9" t="n"/>
      <c r="E1513" s="9" t="n"/>
      <c r="F1513" s="9">
        <f>IFERROR(LOOKUP(2,1/('Weekly Tracker'!$E$2:$E$766=$A1513)/('Weekly Tracker'!$F$2:$F$766&lt;&gt;""),'Weekly Tracker'!$F$2:$F$766),"")</f>
        <v/>
      </c>
      <c r="G1513" s="16">
        <f>IF(F1513&lt;&gt;"",LOOKUP(2,1/('Weekly Tracker'!$E$2:$E$766=$A1513)/('Weekly Tracker'!$F$2:$F$766&lt;&gt;""),'Weekly Tracker'!$G$2:$G$766),"")</f>
        <v/>
      </c>
      <c r="H1513" s="9">
        <f>IFERROR(LOOKUP(2,1/('Weekly Tracker'!$E$2:$E$766=$A1513)/('Weekly Tracker'!$H$2:$H$766&lt;&gt;""),'Weekly Tracker'!$H$2:$H$766),"")</f>
        <v/>
      </c>
      <c r="I1513" s="16">
        <f>IF(H1513&lt;&gt;"",LOOKUP(2,1/('Weekly Tracker'!$E$2:$E$766=$A1513)/('Weekly Tracker'!$H$2:$H$766&lt;&gt;""),'Weekly Tracker'!$I$2:$I$766),"")</f>
        <v/>
      </c>
      <c r="J1513" s="9">
        <f>IFERROR(LOOKUP(2,1/('Weekly Tracker'!$E$2:$E$766=$A1513)/('Weekly Tracker'!$J$2:$J$766&lt;&gt;""),'Weekly Tracker'!$J$2:$J$766),"")</f>
        <v/>
      </c>
      <c r="K1513" s="9">
        <f>IFERROR(LOOKUP(2,1/('Weekly Tracker'!$E$2:$E$766=$A1513)/('Weekly Tracker'!$N$2:$N$766&lt;&gt;""),'Weekly Tracker'!$N$2:$N$766),"")</f>
        <v/>
      </c>
      <c r="L1513" s="9">
        <f>IFERROR(LOOKUP(2,1/('Weekly Tracker'!$E$2:$E$766=$A1513)/('Weekly Tracker'!$O$2:$O$766&lt;&gt;""),'Weekly Tracker'!$O$2:$O$766),"")</f>
        <v/>
      </c>
    </row>
    <row r="1514">
      <c r="A1514" s="9" t="inlineStr">
        <is>
          <t>Ramesh Urja</t>
        </is>
      </c>
      <c r="B1514" s="9" t="inlineStr">
        <is>
          <t>919884921013</t>
        </is>
      </c>
      <c r="C1514" s="9" t="n"/>
      <c r="D1514" s="9" t="n"/>
      <c r="E1514" s="9" t="n"/>
      <c r="F1514" s="9">
        <f>IFERROR(LOOKUP(2,1/('Weekly Tracker'!$E$2:$E$766=$A1514)/('Weekly Tracker'!$F$2:$F$766&lt;&gt;""),'Weekly Tracker'!$F$2:$F$766),"")</f>
        <v/>
      </c>
      <c r="G1514" s="16">
        <f>IF(F1514&lt;&gt;"",LOOKUP(2,1/('Weekly Tracker'!$E$2:$E$766=$A1514)/('Weekly Tracker'!$F$2:$F$766&lt;&gt;""),'Weekly Tracker'!$G$2:$G$766),"")</f>
        <v/>
      </c>
      <c r="H1514" s="9">
        <f>IFERROR(LOOKUP(2,1/('Weekly Tracker'!$E$2:$E$766=$A1514)/('Weekly Tracker'!$H$2:$H$766&lt;&gt;""),'Weekly Tracker'!$H$2:$H$766),"")</f>
        <v/>
      </c>
      <c r="I1514" s="16">
        <f>IF(H1514&lt;&gt;"",LOOKUP(2,1/('Weekly Tracker'!$E$2:$E$766=$A1514)/('Weekly Tracker'!$H$2:$H$766&lt;&gt;""),'Weekly Tracker'!$I$2:$I$766),"")</f>
        <v/>
      </c>
      <c r="J1514" s="9">
        <f>IFERROR(LOOKUP(2,1/('Weekly Tracker'!$E$2:$E$766=$A1514)/('Weekly Tracker'!$J$2:$J$766&lt;&gt;""),'Weekly Tracker'!$J$2:$J$766),"")</f>
        <v/>
      </c>
      <c r="K1514" s="9">
        <f>IFERROR(LOOKUP(2,1/('Weekly Tracker'!$E$2:$E$766=$A1514)/('Weekly Tracker'!$N$2:$N$766&lt;&gt;""),'Weekly Tracker'!$N$2:$N$766),"")</f>
        <v/>
      </c>
      <c r="L1514" s="9">
        <f>IFERROR(LOOKUP(2,1/('Weekly Tracker'!$E$2:$E$766=$A1514)/('Weekly Tracker'!$O$2:$O$766&lt;&gt;""),'Weekly Tracker'!$O$2:$O$766),"")</f>
        <v/>
      </c>
    </row>
    <row r="1515">
      <c r="A1515" s="9" t="inlineStr">
        <is>
          <t>Sravya Verz</t>
        </is>
      </c>
      <c r="B1515" s="9" t="inlineStr">
        <is>
          <t>919505470496</t>
        </is>
      </c>
      <c r="C1515" s="9" t="n"/>
      <c r="D1515" s="9" t="n"/>
      <c r="E1515" s="9" t="n"/>
      <c r="F1515" s="9">
        <f>IFERROR(LOOKUP(2,1/('Weekly Tracker'!$E$2:$E$766=$A1515)/('Weekly Tracker'!$F$2:$F$766&lt;&gt;""),'Weekly Tracker'!$F$2:$F$766),"")</f>
        <v/>
      </c>
      <c r="G1515" s="16">
        <f>IF(F1515&lt;&gt;"",LOOKUP(2,1/('Weekly Tracker'!$E$2:$E$766=$A1515)/('Weekly Tracker'!$F$2:$F$766&lt;&gt;""),'Weekly Tracker'!$G$2:$G$766),"")</f>
        <v/>
      </c>
      <c r="H1515" s="9">
        <f>IFERROR(LOOKUP(2,1/('Weekly Tracker'!$E$2:$E$766=$A1515)/('Weekly Tracker'!$H$2:$H$766&lt;&gt;""),'Weekly Tracker'!$H$2:$H$766),"")</f>
        <v/>
      </c>
      <c r="I1515" s="16">
        <f>IF(H1515&lt;&gt;"",LOOKUP(2,1/('Weekly Tracker'!$E$2:$E$766=$A1515)/('Weekly Tracker'!$H$2:$H$766&lt;&gt;""),'Weekly Tracker'!$I$2:$I$766),"")</f>
        <v/>
      </c>
      <c r="J1515" s="9">
        <f>IFERROR(LOOKUP(2,1/('Weekly Tracker'!$E$2:$E$766=$A1515)/('Weekly Tracker'!$J$2:$J$766&lt;&gt;""),'Weekly Tracker'!$J$2:$J$766),"")</f>
        <v/>
      </c>
      <c r="K1515" s="9">
        <f>IFERROR(LOOKUP(2,1/('Weekly Tracker'!$E$2:$E$766=$A1515)/('Weekly Tracker'!$N$2:$N$766&lt;&gt;""),'Weekly Tracker'!$N$2:$N$766),"")</f>
        <v/>
      </c>
      <c r="L1515" s="9">
        <f>IFERROR(LOOKUP(2,1/('Weekly Tracker'!$E$2:$E$766=$A1515)/('Weekly Tracker'!$O$2:$O$766&lt;&gt;""),'Weekly Tracker'!$O$2:$O$766),"")</f>
        <v/>
      </c>
    </row>
    <row r="1516">
      <c r="A1516" s="9" t="inlineStr">
        <is>
          <t>Prashanthi</t>
        </is>
      </c>
      <c r="B1516" s="9" t="inlineStr">
        <is>
          <t>919789927181</t>
        </is>
      </c>
      <c r="C1516" s="9" t="n"/>
      <c r="D1516" s="9" t="n"/>
      <c r="E1516" s="9" t="n"/>
      <c r="F1516" s="9">
        <f>IFERROR(LOOKUP(2,1/('Weekly Tracker'!$E$2:$E$766=$A1516)/('Weekly Tracker'!$F$2:$F$766&lt;&gt;""),'Weekly Tracker'!$F$2:$F$766),"")</f>
        <v/>
      </c>
      <c r="G1516" s="16">
        <f>IF(F1516&lt;&gt;"",LOOKUP(2,1/('Weekly Tracker'!$E$2:$E$766=$A1516)/('Weekly Tracker'!$F$2:$F$766&lt;&gt;""),'Weekly Tracker'!$G$2:$G$766),"")</f>
        <v/>
      </c>
      <c r="H1516" s="9">
        <f>IFERROR(LOOKUP(2,1/('Weekly Tracker'!$E$2:$E$766=$A1516)/('Weekly Tracker'!$H$2:$H$766&lt;&gt;""),'Weekly Tracker'!$H$2:$H$766),"")</f>
        <v/>
      </c>
      <c r="I1516" s="16">
        <f>IF(H1516&lt;&gt;"",LOOKUP(2,1/('Weekly Tracker'!$E$2:$E$766=$A1516)/('Weekly Tracker'!$H$2:$H$766&lt;&gt;""),'Weekly Tracker'!$I$2:$I$766),"")</f>
        <v/>
      </c>
      <c r="J1516" s="9">
        <f>IFERROR(LOOKUP(2,1/('Weekly Tracker'!$E$2:$E$766=$A1516)/('Weekly Tracker'!$J$2:$J$766&lt;&gt;""),'Weekly Tracker'!$J$2:$J$766),"")</f>
        <v/>
      </c>
      <c r="K1516" s="9">
        <f>IFERROR(LOOKUP(2,1/('Weekly Tracker'!$E$2:$E$766=$A1516)/('Weekly Tracker'!$N$2:$N$766&lt;&gt;""),'Weekly Tracker'!$N$2:$N$766),"")</f>
        <v/>
      </c>
      <c r="L1516" s="9">
        <f>IFERROR(LOOKUP(2,1/('Weekly Tracker'!$E$2:$E$766=$A1516)/('Weekly Tracker'!$O$2:$O$766&lt;&gt;""),'Weekly Tracker'!$O$2:$O$766),"")</f>
        <v/>
      </c>
    </row>
    <row r="1517">
      <c r="A1517" s="9" t="inlineStr">
        <is>
          <t>Sankar Scl</t>
        </is>
      </c>
      <c r="B1517" s="9" t="inlineStr">
        <is>
          <t>918807713894</t>
        </is>
      </c>
      <c r="C1517" s="9" t="n"/>
      <c r="D1517" s="9" t="n"/>
      <c r="E1517" s="9" t="n"/>
      <c r="F1517" s="9">
        <f>IFERROR(LOOKUP(2,1/('Weekly Tracker'!$E$2:$E$766=$A1517)/('Weekly Tracker'!$F$2:$F$766&lt;&gt;""),'Weekly Tracker'!$F$2:$F$766),"")</f>
        <v/>
      </c>
      <c r="G1517" s="16">
        <f>IF(F1517&lt;&gt;"",LOOKUP(2,1/('Weekly Tracker'!$E$2:$E$766=$A1517)/('Weekly Tracker'!$F$2:$F$766&lt;&gt;""),'Weekly Tracker'!$G$2:$G$766),"")</f>
        <v/>
      </c>
      <c r="H1517" s="9">
        <f>IFERROR(LOOKUP(2,1/('Weekly Tracker'!$E$2:$E$766=$A1517)/('Weekly Tracker'!$H$2:$H$766&lt;&gt;""),'Weekly Tracker'!$H$2:$H$766),"")</f>
        <v/>
      </c>
      <c r="I1517" s="16">
        <f>IF(H1517&lt;&gt;"",LOOKUP(2,1/('Weekly Tracker'!$E$2:$E$766=$A1517)/('Weekly Tracker'!$H$2:$H$766&lt;&gt;""),'Weekly Tracker'!$I$2:$I$766),"")</f>
        <v/>
      </c>
      <c r="J1517" s="9">
        <f>IFERROR(LOOKUP(2,1/('Weekly Tracker'!$E$2:$E$766=$A1517)/('Weekly Tracker'!$J$2:$J$766&lt;&gt;""),'Weekly Tracker'!$J$2:$J$766),"")</f>
        <v/>
      </c>
      <c r="K1517" s="9">
        <f>IFERROR(LOOKUP(2,1/('Weekly Tracker'!$E$2:$E$766=$A1517)/('Weekly Tracker'!$N$2:$N$766&lt;&gt;""),'Weekly Tracker'!$N$2:$N$766),"")</f>
        <v/>
      </c>
      <c r="L1517" s="9">
        <f>IFERROR(LOOKUP(2,1/('Weekly Tracker'!$E$2:$E$766=$A1517)/('Weekly Tracker'!$O$2:$O$766&lt;&gt;""),'Weekly Tracker'!$O$2:$O$766),"")</f>
        <v/>
      </c>
    </row>
    <row r="1518">
      <c r="A1518" s="9" t="inlineStr">
        <is>
          <t>Shameer FB</t>
        </is>
      </c>
      <c r="B1518" s="9" t="inlineStr">
        <is>
          <t>919488889747</t>
        </is>
      </c>
      <c r="C1518" s="9" t="n"/>
      <c r="D1518" s="9" t="n"/>
      <c r="E1518" s="9" t="n"/>
      <c r="F1518" s="9">
        <f>IFERROR(LOOKUP(2,1/('Weekly Tracker'!$E$2:$E$766=$A1518)/('Weekly Tracker'!$F$2:$F$766&lt;&gt;""),'Weekly Tracker'!$F$2:$F$766),"")</f>
        <v/>
      </c>
      <c r="G1518" s="16">
        <f>IF(F1518&lt;&gt;"",LOOKUP(2,1/('Weekly Tracker'!$E$2:$E$766=$A1518)/('Weekly Tracker'!$F$2:$F$766&lt;&gt;""),'Weekly Tracker'!$G$2:$G$766),"")</f>
        <v/>
      </c>
      <c r="H1518" s="9">
        <f>IFERROR(LOOKUP(2,1/('Weekly Tracker'!$E$2:$E$766=$A1518)/('Weekly Tracker'!$H$2:$H$766&lt;&gt;""),'Weekly Tracker'!$H$2:$H$766),"")</f>
        <v/>
      </c>
      <c r="I1518" s="16">
        <f>IF(H1518&lt;&gt;"",LOOKUP(2,1/('Weekly Tracker'!$E$2:$E$766=$A1518)/('Weekly Tracker'!$H$2:$H$766&lt;&gt;""),'Weekly Tracker'!$I$2:$I$766),"")</f>
        <v/>
      </c>
      <c r="J1518" s="9">
        <f>IFERROR(LOOKUP(2,1/('Weekly Tracker'!$E$2:$E$766=$A1518)/('Weekly Tracker'!$J$2:$J$766&lt;&gt;""),'Weekly Tracker'!$J$2:$J$766),"")</f>
        <v/>
      </c>
      <c r="K1518" s="9">
        <f>IFERROR(LOOKUP(2,1/('Weekly Tracker'!$E$2:$E$766=$A1518)/('Weekly Tracker'!$N$2:$N$766&lt;&gt;""),'Weekly Tracker'!$N$2:$N$766),"")</f>
        <v/>
      </c>
      <c r="L1518" s="9">
        <f>IFERROR(LOOKUP(2,1/('Weekly Tracker'!$E$2:$E$766=$A1518)/('Weekly Tracker'!$O$2:$O$766&lt;&gt;""),'Weekly Tracker'!$O$2:$O$766),"")</f>
        <v/>
      </c>
    </row>
    <row r="1519">
      <c r="A1519" s="9" t="inlineStr">
        <is>
          <t>Krishna Veni</t>
        </is>
      </c>
      <c r="B1519" s="9" t="inlineStr">
        <is>
          <t>919025209989</t>
        </is>
      </c>
      <c r="C1519" s="9" t="n"/>
      <c r="D1519" s="9" t="n"/>
      <c r="E1519" s="9" t="inlineStr">
        <is>
          <t>Tamil Nadu, India</t>
        </is>
      </c>
      <c r="F1519" s="9">
        <f>IFERROR(LOOKUP(2,1/('Weekly Tracker'!$E$2:$E$766=$A1519)/('Weekly Tracker'!$F$2:$F$766&lt;&gt;""),'Weekly Tracker'!$F$2:$F$766),"")</f>
        <v/>
      </c>
      <c r="G1519" s="16">
        <f>IF(F1519&lt;&gt;"",LOOKUP(2,1/('Weekly Tracker'!$E$2:$E$766=$A1519)/('Weekly Tracker'!$F$2:$F$766&lt;&gt;""),'Weekly Tracker'!$G$2:$G$766),"")</f>
        <v/>
      </c>
      <c r="H1519" s="9">
        <f>IFERROR(LOOKUP(2,1/('Weekly Tracker'!$E$2:$E$766=$A1519)/('Weekly Tracker'!$H$2:$H$766&lt;&gt;""),'Weekly Tracker'!$H$2:$H$766),"")</f>
        <v/>
      </c>
      <c r="I1519" s="16">
        <f>IF(H1519&lt;&gt;"",LOOKUP(2,1/('Weekly Tracker'!$E$2:$E$766=$A1519)/('Weekly Tracker'!$H$2:$H$766&lt;&gt;""),'Weekly Tracker'!$I$2:$I$766),"")</f>
        <v/>
      </c>
      <c r="J1519" s="9">
        <f>IFERROR(LOOKUP(2,1/('Weekly Tracker'!$E$2:$E$766=$A1519)/('Weekly Tracker'!$J$2:$J$766&lt;&gt;""),'Weekly Tracker'!$J$2:$J$766),"")</f>
        <v/>
      </c>
      <c r="K1519" s="9">
        <f>IFERROR(LOOKUP(2,1/('Weekly Tracker'!$E$2:$E$766=$A1519)/('Weekly Tracker'!$N$2:$N$766&lt;&gt;""),'Weekly Tracker'!$N$2:$N$766),"")</f>
        <v/>
      </c>
      <c r="L1519" s="9">
        <f>IFERROR(LOOKUP(2,1/('Weekly Tracker'!$E$2:$E$766=$A1519)/('Weekly Tracker'!$O$2:$O$766&lt;&gt;""),'Weekly Tracker'!$O$2:$O$766),"")</f>
        <v/>
      </c>
    </row>
    <row r="1520">
      <c r="A1520" s="9" t="inlineStr">
        <is>
          <t>Ram Krishna Bang Scl</t>
        </is>
      </c>
      <c r="B1520" s="9" t="inlineStr">
        <is>
          <t>+91 91484 52246, 919148452246</t>
        </is>
      </c>
      <c r="C1520" s="9" t="n"/>
      <c r="D1520" s="9" t="n"/>
      <c r="E1520" s="9" t="n"/>
      <c r="F1520" s="9">
        <f>IFERROR(LOOKUP(2,1/('Weekly Tracker'!$E$2:$E$766=$A1520)/('Weekly Tracker'!$F$2:$F$766&lt;&gt;""),'Weekly Tracker'!$F$2:$F$766),"")</f>
        <v/>
      </c>
      <c r="G1520" s="16">
        <f>IF(F1520&lt;&gt;"",LOOKUP(2,1/('Weekly Tracker'!$E$2:$E$766=$A1520)/('Weekly Tracker'!$F$2:$F$766&lt;&gt;""),'Weekly Tracker'!$G$2:$G$766),"")</f>
        <v/>
      </c>
      <c r="H1520" s="9">
        <f>IFERROR(LOOKUP(2,1/('Weekly Tracker'!$E$2:$E$766=$A1520)/('Weekly Tracker'!$H$2:$H$766&lt;&gt;""),'Weekly Tracker'!$H$2:$H$766),"")</f>
        <v/>
      </c>
      <c r="I1520" s="16">
        <f>IF(H1520&lt;&gt;"",LOOKUP(2,1/('Weekly Tracker'!$E$2:$E$766=$A1520)/('Weekly Tracker'!$H$2:$H$766&lt;&gt;""),'Weekly Tracker'!$I$2:$I$766),"")</f>
        <v/>
      </c>
      <c r="J1520" s="9">
        <f>IFERROR(LOOKUP(2,1/('Weekly Tracker'!$E$2:$E$766=$A1520)/('Weekly Tracker'!$J$2:$J$766&lt;&gt;""),'Weekly Tracker'!$J$2:$J$766),"")</f>
        <v/>
      </c>
      <c r="K1520" s="9">
        <f>IFERROR(LOOKUP(2,1/('Weekly Tracker'!$E$2:$E$766=$A1520)/('Weekly Tracker'!$N$2:$N$766&lt;&gt;""),'Weekly Tracker'!$N$2:$N$766),"")</f>
        <v/>
      </c>
      <c r="L1520" s="9">
        <f>IFERROR(LOOKUP(2,1/('Weekly Tracker'!$E$2:$E$766=$A1520)/('Weekly Tracker'!$O$2:$O$766&lt;&gt;""),'Weekly Tracker'!$O$2:$O$766),"")</f>
        <v/>
      </c>
    </row>
    <row r="1521">
      <c r="A1521" s="9" t="inlineStr">
        <is>
          <t>Ram Krishna Scl</t>
        </is>
      </c>
      <c r="B1521" s="9" t="inlineStr">
        <is>
          <t>916385568938</t>
        </is>
      </c>
      <c r="C1521" s="9" t="n"/>
      <c r="D1521" s="9" t="n"/>
      <c r="E1521" s="9" t="n"/>
      <c r="F1521" s="9">
        <f>IFERROR(LOOKUP(2,1/('Weekly Tracker'!$E$2:$E$766=$A1521)/('Weekly Tracker'!$F$2:$F$766&lt;&gt;""),'Weekly Tracker'!$F$2:$F$766),"")</f>
        <v/>
      </c>
      <c r="G1521" s="16">
        <f>IF(F1521&lt;&gt;"",LOOKUP(2,1/('Weekly Tracker'!$E$2:$E$766=$A1521)/('Weekly Tracker'!$F$2:$F$766&lt;&gt;""),'Weekly Tracker'!$G$2:$G$766),"")</f>
        <v/>
      </c>
      <c r="H1521" s="9">
        <f>IFERROR(LOOKUP(2,1/('Weekly Tracker'!$E$2:$E$766=$A1521)/('Weekly Tracker'!$H$2:$H$766&lt;&gt;""),'Weekly Tracker'!$H$2:$H$766),"")</f>
        <v/>
      </c>
      <c r="I1521" s="16">
        <f>IF(H1521&lt;&gt;"",LOOKUP(2,1/('Weekly Tracker'!$E$2:$E$766=$A1521)/('Weekly Tracker'!$H$2:$H$766&lt;&gt;""),'Weekly Tracker'!$I$2:$I$766),"")</f>
        <v/>
      </c>
      <c r="J1521" s="9">
        <f>IFERROR(LOOKUP(2,1/('Weekly Tracker'!$E$2:$E$766=$A1521)/('Weekly Tracker'!$J$2:$J$766&lt;&gt;""),'Weekly Tracker'!$J$2:$J$766),"")</f>
        <v/>
      </c>
      <c r="K1521" s="9">
        <f>IFERROR(LOOKUP(2,1/('Weekly Tracker'!$E$2:$E$766=$A1521)/('Weekly Tracker'!$N$2:$N$766&lt;&gt;""),'Weekly Tracker'!$N$2:$N$766),"")</f>
        <v/>
      </c>
      <c r="L1521" s="9">
        <f>IFERROR(LOOKUP(2,1/('Weekly Tracker'!$E$2:$E$766=$A1521)/('Weekly Tracker'!$O$2:$O$766&lt;&gt;""),'Weekly Tracker'!$O$2:$O$766),"")</f>
        <v/>
      </c>
    </row>
    <row r="1522">
      <c r="A1522" s="9" t="inlineStr">
        <is>
          <t>Pandi Airtel</t>
        </is>
      </c>
      <c r="B1522" s="9" t="inlineStr">
        <is>
          <t>918056914017</t>
        </is>
      </c>
      <c r="C1522" s="9" t="n"/>
      <c r="D1522" s="9" t="n"/>
      <c r="E1522" s="9" t="n"/>
      <c r="F1522" s="9">
        <f>IFERROR(LOOKUP(2,1/('Weekly Tracker'!$E$2:$E$766=$A1522)/('Weekly Tracker'!$F$2:$F$766&lt;&gt;""),'Weekly Tracker'!$F$2:$F$766),"")</f>
        <v/>
      </c>
      <c r="G1522" s="16">
        <f>IF(F1522&lt;&gt;"",LOOKUP(2,1/('Weekly Tracker'!$E$2:$E$766=$A1522)/('Weekly Tracker'!$F$2:$F$766&lt;&gt;""),'Weekly Tracker'!$G$2:$G$766),"")</f>
        <v/>
      </c>
      <c r="H1522" s="9">
        <f>IFERROR(LOOKUP(2,1/('Weekly Tracker'!$E$2:$E$766=$A1522)/('Weekly Tracker'!$H$2:$H$766&lt;&gt;""),'Weekly Tracker'!$H$2:$H$766),"")</f>
        <v/>
      </c>
      <c r="I1522" s="16">
        <f>IF(H1522&lt;&gt;"",LOOKUP(2,1/('Weekly Tracker'!$E$2:$E$766=$A1522)/('Weekly Tracker'!$H$2:$H$766&lt;&gt;""),'Weekly Tracker'!$I$2:$I$766),"")</f>
        <v/>
      </c>
      <c r="J1522" s="9">
        <f>IFERROR(LOOKUP(2,1/('Weekly Tracker'!$E$2:$E$766=$A1522)/('Weekly Tracker'!$J$2:$J$766&lt;&gt;""),'Weekly Tracker'!$J$2:$J$766),"")</f>
        <v/>
      </c>
      <c r="K1522" s="9">
        <f>IFERROR(LOOKUP(2,1/('Weekly Tracker'!$E$2:$E$766=$A1522)/('Weekly Tracker'!$N$2:$N$766&lt;&gt;""),'Weekly Tracker'!$N$2:$N$766),"")</f>
        <v/>
      </c>
      <c r="L1522" s="9">
        <f>IFERROR(LOOKUP(2,1/('Weekly Tracker'!$E$2:$E$766=$A1522)/('Weekly Tracker'!$O$2:$O$766&lt;&gt;""),'Weekly Tracker'!$O$2:$O$766),"")</f>
        <v/>
      </c>
    </row>
    <row r="1523">
      <c r="A1523" s="9" t="inlineStr">
        <is>
          <t>Praveen Kammar Infy</t>
        </is>
      </c>
      <c r="B1523" s="9" t="inlineStr">
        <is>
          <t>919980353292</t>
        </is>
      </c>
      <c r="C1523" s="9" t="n"/>
      <c r="D1523" s="9" t="n"/>
      <c r="E1523" s="9" t="n"/>
      <c r="F1523" s="9">
        <f>IFERROR(LOOKUP(2,1/('Weekly Tracker'!$E$2:$E$766=$A1523)/('Weekly Tracker'!$F$2:$F$766&lt;&gt;""),'Weekly Tracker'!$F$2:$F$766),"")</f>
        <v/>
      </c>
      <c r="G1523" s="16">
        <f>IF(F1523&lt;&gt;"",LOOKUP(2,1/('Weekly Tracker'!$E$2:$E$766=$A1523)/('Weekly Tracker'!$F$2:$F$766&lt;&gt;""),'Weekly Tracker'!$G$2:$G$766),"")</f>
        <v/>
      </c>
      <c r="H1523" s="9">
        <f>IFERROR(LOOKUP(2,1/('Weekly Tracker'!$E$2:$E$766=$A1523)/('Weekly Tracker'!$H$2:$H$766&lt;&gt;""),'Weekly Tracker'!$H$2:$H$766),"")</f>
        <v/>
      </c>
      <c r="I1523" s="16">
        <f>IF(H1523&lt;&gt;"",LOOKUP(2,1/('Weekly Tracker'!$E$2:$E$766=$A1523)/('Weekly Tracker'!$H$2:$H$766&lt;&gt;""),'Weekly Tracker'!$I$2:$I$766),"")</f>
        <v/>
      </c>
      <c r="J1523" s="9">
        <f>IFERROR(LOOKUP(2,1/('Weekly Tracker'!$E$2:$E$766=$A1523)/('Weekly Tracker'!$J$2:$J$766&lt;&gt;""),'Weekly Tracker'!$J$2:$J$766),"")</f>
        <v/>
      </c>
      <c r="K1523" s="9">
        <f>IFERROR(LOOKUP(2,1/('Weekly Tracker'!$E$2:$E$766=$A1523)/('Weekly Tracker'!$N$2:$N$766&lt;&gt;""),'Weekly Tracker'!$N$2:$N$766),"")</f>
        <v/>
      </c>
      <c r="L1523" s="9">
        <f>IFERROR(LOOKUP(2,1/('Weekly Tracker'!$E$2:$E$766=$A1523)/('Weekly Tracker'!$O$2:$O$766&lt;&gt;""),'Weekly Tracker'!$O$2:$O$766),"")</f>
        <v/>
      </c>
    </row>
    <row r="1524">
      <c r="A1524" s="9" t="inlineStr">
        <is>
          <t>Mohamed Kadhar Urja</t>
        </is>
      </c>
      <c r="B1524" s="9" t="inlineStr">
        <is>
          <t>919944341009</t>
        </is>
      </c>
      <c r="C1524" s="9" t="n"/>
      <c r="D1524" s="9" t="n"/>
      <c r="E1524" s="9" t="n"/>
      <c r="F1524" s="9">
        <f>IFERROR(LOOKUP(2,1/('Weekly Tracker'!$E$2:$E$766=$A1524)/('Weekly Tracker'!$F$2:$F$766&lt;&gt;""),'Weekly Tracker'!$F$2:$F$766),"")</f>
        <v/>
      </c>
      <c r="G1524" s="16">
        <f>IF(F1524&lt;&gt;"",LOOKUP(2,1/('Weekly Tracker'!$E$2:$E$766=$A1524)/('Weekly Tracker'!$F$2:$F$766&lt;&gt;""),'Weekly Tracker'!$G$2:$G$766),"")</f>
        <v/>
      </c>
      <c r="H1524" s="9">
        <f>IFERROR(LOOKUP(2,1/('Weekly Tracker'!$E$2:$E$766=$A1524)/('Weekly Tracker'!$H$2:$H$766&lt;&gt;""),'Weekly Tracker'!$H$2:$H$766),"")</f>
        <v/>
      </c>
      <c r="I1524" s="16">
        <f>IF(H1524&lt;&gt;"",LOOKUP(2,1/('Weekly Tracker'!$E$2:$E$766=$A1524)/('Weekly Tracker'!$H$2:$H$766&lt;&gt;""),'Weekly Tracker'!$I$2:$I$766),"")</f>
        <v/>
      </c>
      <c r="J1524" s="9">
        <f>IFERROR(LOOKUP(2,1/('Weekly Tracker'!$E$2:$E$766=$A1524)/('Weekly Tracker'!$J$2:$J$766&lt;&gt;""),'Weekly Tracker'!$J$2:$J$766),"")</f>
        <v/>
      </c>
      <c r="K1524" s="9">
        <f>IFERROR(LOOKUP(2,1/('Weekly Tracker'!$E$2:$E$766=$A1524)/('Weekly Tracker'!$N$2:$N$766&lt;&gt;""),'Weekly Tracker'!$N$2:$N$766),"")</f>
        <v/>
      </c>
      <c r="L1524" s="9">
        <f>IFERROR(LOOKUP(2,1/('Weekly Tracker'!$E$2:$E$766=$A1524)/('Weekly Tracker'!$O$2:$O$766&lt;&gt;""),'Weekly Tracker'!$O$2:$O$766),"")</f>
        <v/>
      </c>
    </row>
    <row r="1525">
      <c r="A1525" s="9" t="inlineStr">
        <is>
          <t>Jesh</t>
        </is>
      </c>
      <c r="B1525" s="9" t="inlineStr">
        <is>
          <t>917871098680</t>
        </is>
      </c>
      <c r="C1525" s="9" t="n"/>
      <c r="D1525" s="9" t="n"/>
      <c r="E1525" s="9" t="n"/>
      <c r="F1525" s="9">
        <f>IFERROR(LOOKUP(2,1/('Weekly Tracker'!$E$2:$E$766=$A1525)/('Weekly Tracker'!$F$2:$F$766&lt;&gt;""),'Weekly Tracker'!$F$2:$F$766),"")</f>
        <v/>
      </c>
      <c r="G1525" s="16">
        <f>IF(F1525&lt;&gt;"",LOOKUP(2,1/('Weekly Tracker'!$E$2:$E$766=$A1525)/('Weekly Tracker'!$F$2:$F$766&lt;&gt;""),'Weekly Tracker'!$G$2:$G$766),"")</f>
        <v/>
      </c>
      <c r="H1525" s="9">
        <f>IFERROR(LOOKUP(2,1/('Weekly Tracker'!$E$2:$E$766=$A1525)/('Weekly Tracker'!$H$2:$H$766&lt;&gt;""),'Weekly Tracker'!$H$2:$H$766),"")</f>
        <v/>
      </c>
      <c r="I1525" s="16">
        <f>IF(H1525&lt;&gt;"",LOOKUP(2,1/('Weekly Tracker'!$E$2:$E$766=$A1525)/('Weekly Tracker'!$H$2:$H$766&lt;&gt;""),'Weekly Tracker'!$I$2:$I$766),"")</f>
        <v/>
      </c>
      <c r="J1525" s="9">
        <f>IFERROR(LOOKUP(2,1/('Weekly Tracker'!$E$2:$E$766=$A1525)/('Weekly Tracker'!$J$2:$J$766&lt;&gt;""),'Weekly Tracker'!$J$2:$J$766),"")</f>
        <v/>
      </c>
      <c r="K1525" s="9">
        <f>IFERROR(LOOKUP(2,1/('Weekly Tracker'!$E$2:$E$766=$A1525)/('Weekly Tracker'!$N$2:$N$766&lt;&gt;""),'Weekly Tracker'!$N$2:$N$766),"")</f>
        <v/>
      </c>
      <c r="L1525" s="9">
        <f>IFERROR(LOOKUP(2,1/('Weekly Tracker'!$E$2:$E$766=$A1525)/('Weekly Tracker'!$O$2:$O$766&lt;&gt;""),'Weekly Tracker'!$O$2:$O$766),"")</f>
        <v/>
      </c>
    </row>
    <row r="1526">
      <c r="A1526" s="9" t="inlineStr">
        <is>
          <t>Azhakesan Arumugam FB</t>
        </is>
      </c>
      <c r="B1526" s="9" t="inlineStr">
        <is>
          <t>8754497067</t>
        </is>
      </c>
      <c r="C1526" s="9" t="n"/>
      <c r="D1526" s="9" t="n"/>
      <c r="E1526" s="9" t="n"/>
      <c r="F1526" s="9">
        <f>IFERROR(LOOKUP(2,1/('Weekly Tracker'!$E$2:$E$766=$A1526)/('Weekly Tracker'!$F$2:$F$766&lt;&gt;""),'Weekly Tracker'!$F$2:$F$766),"")</f>
        <v/>
      </c>
      <c r="G1526" s="16">
        <f>IF(F1526&lt;&gt;"",LOOKUP(2,1/('Weekly Tracker'!$E$2:$E$766=$A1526)/('Weekly Tracker'!$F$2:$F$766&lt;&gt;""),'Weekly Tracker'!$G$2:$G$766),"")</f>
        <v/>
      </c>
      <c r="H1526" s="9">
        <f>IFERROR(LOOKUP(2,1/('Weekly Tracker'!$E$2:$E$766=$A1526)/('Weekly Tracker'!$H$2:$H$766&lt;&gt;""),'Weekly Tracker'!$H$2:$H$766),"")</f>
        <v/>
      </c>
      <c r="I1526" s="16">
        <f>IF(H1526&lt;&gt;"",LOOKUP(2,1/('Weekly Tracker'!$E$2:$E$766=$A1526)/('Weekly Tracker'!$H$2:$H$766&lt;&gt;""),'Weekly Tracker'!$I$2:$I$766),"")</f>
        <v/>
      </c>
      <c r="J1526" s="9">
        <f>IFERROR(LOOKUP(2,1/('Weekly Tracker'!$E$2:$E$766=$A1526)/('Weekly Tracker'!$J$2:$J$766&lt;&gt;""),'Weekly Tracker'!$J$2:$J$766),"")</f>
        <v/>
      </c>
      <c r="K1526" s="9">
        <f>IFERROR(LOOKUP(2,1/('Weekly Tracker'!$E$2:$E$766=$A1526)/('Weekly Tracker'!$N$2:$N$766&lt;&gt;""),'Weekly Tracker'!$N$2:$N$766),"")</f>
        <v/>
      </c>
      <c r="L1526" s="9">
        <f>IFERROR(LOOKUP(2,1/('Weekly Tracker'!$E$2:$E$766=$A1526)/('Weekly Tracker'!$O$2:$O$766&lt;&gt;""),'Weekly Tracker'!$O$2:$O$766),"")</f>
        <v/>
      </c>
    </row>
    <row r="1527">
      <c r="A1527" s="9" t="inlineStr">
        <is>
          <t>Arun Kumar FB</t>
        </is>
      </c>
      <c r="B1527" s="9" t="inlineStr">
        <is>
          <t>917418511995, 9486901690</t>
        </is>
      </c>
      <c r="C1527" s="9" t="n"/>
      <c r="D1527" s="9" t="n"/>
      <c r="E1527" s="9" t="n"/>
      <c r="F1527" s="9">
        <f>IFERROR(LOOKUP(2,1/('Weekly Tracker'!$E$2:$E$766=$A1527)/('Weekly Tracker'!$F$2:$F$766&lt;&gt;""),'Weekly Tracker'!$F$2:$F$766),"")</f>
        <v/>
      </c>
      <c r="G1527" s="16">
        <f>IF(F1527&lt;&gt;"",LOOKUP(2,1/('Weekly Tracker'!$E$2:$E$766=$A1527)/('Weekly Tracker'!$F$2:$F$766&lt;&gt;""),'Weekly Tracker'!$G$2:$G$766),"")</f>
        <v/>
      </c>
      <c r="H1527" s="9">
        <f>IFERROR(LOOKUP(2,1/('Weekly Tracker'!$E$2:$E$766=$A1527)/('Weekly Tracker'!$H$2:$H$766&lt;&gt;""),'Weekly Tracker'!$H$2:$H$766),"")</f>
        <v/>
      </c>
      <c r="I1527" s="16">
        <f>IF(H1527&lt;&gt;"",LOOKUP(2,1/('Weekly Tracker'!$E$2:$E$766=$A1527)/('Weekly Tracker'!$H$2:$H$766&lt;&gt;""),'Weekly Tracker'!$I$2:$I$766),"")</f>
        <v/>
      </c>
      <c r="J1527" s="9">
        <f>IFERROR(LOOKUP(2,1/('Weekly Tracker'!$E$2:$E$766=$A1527)/('Weekly Tracker'!$J$2:$J$766&lt;&gt;""),'Weekly Tracker'!$J$2:$J$766),"")</f>
        <v/>
      </c>
      <c r="K1527" s="9">
        <f>IFERROR(LOOKUP(2,1/('Weekly Tracker'!$E$2:$E$766=$A1527)/('Weekly Tracker'!$N$2:$N$766&lt;&gt;""),'Weekly Tracker'!$N$2:$N$766),"")</f>
        <v/>
      </c>
      <c r="L1527" s="9">
        <f>IFERROR(LOOKUP(2,1/('Weekly Tracker'!$E$2:$E$766=$A1527)/('Weekly Tracker'!$O$2:$O$766&lt;&gt;""),'Weekly Tracker'!$O$2:$O$766),"")</f>
        <v/>
      </c>
    </row>
    <row r="1528">
      <c r="A1528" s="9" t="inlineStr">
        <is>
          <t>Sakthi Cars Nanganallur</t>
        </is>
      </c>
      <c r="B1528" s="9" t="inlineStr">
        <is>
          <t>919941744222</t>
        </is>
      </c>
      <c r="C1528" s="9" t="n"/>
      <c r="D1528" s="9" t="n"/>
      <c r="E1528" s="9" t="n"/>
      <c r="F1528" s="9">
        <f>IFERROR(LOOKUP(2,1/('Weekly Tracker'!$E$2:$E$766=$A1528)/('Weekly Tracker'!$F$2:$F$766&lt;&gt;""),'Weekly Tracker'!$F$2:$F$766),"")</f>
        <v/>
      </c>
      <c r="G1528" s="16">
        <f>IF(F1528&lt;&gt;"",LOOKUP(2,1/('Weekly Tracker'!$E$2:$E$766=$A1528)/('Weekly Tracker'!$F$2:$F$766&lt;&gt;""),'Weekly Tracker'!$G$2:$G$766),"")</f>
        <v/>
      </c>
      <c r="H1528" s="9">
        <f>IFERROR(LOOKUP(2,1/('Weekly Tracker'!$E$2:$E$766=$A1528)/('Weekly Tracker'!$H$2:$H$766&lt;&gt;""),'Weekly Tracker'!$H$2:$H$766),"")</f>
        <v/>
      </c>
      <c r="I1528" s="16">
        <f>IF(H1528&lt;&gt;"",LOOKUP(2,1/('Weekly Tracker'!$E$2:$E$766=$A1528)/('Weekly Tracker'!$H$2:$H$766&lt;&gt;""),'Weekly Tracker'!$I$2:$I$766),"")</f>
        <v/>
      </c>
      <c r="J1528" s="9">
        <f>IFERROR(LOOKUP(2,1/('Weekly Tracker'!$E$2:$E$766=$A1528)/('Weekly Tracker'!$J$2:$J$766&lt;&gt;""),'Weekly Tracker'!$J$2:$J$766),"")</f>
        <v/>
      </c>
      <c r="K1528" s="9">
        <f>IFERROR(LOOKUP(2,1/('Weekly Tracker'!$E$2:$E$766=$A1528)/('Weekly Tracker'!$N$2:$N$766&lt;&gt;""),'Weekly Tracker'!$N$2:$N$766),"")</f>
        <v/>
      </c>
      <c r="L1528" s="9">
        <f>IFERROR(LOOKUP(2,1/('Weekly Tracker'!$E$2:$E$766=$A1528)/('Weekly Tracker'!$O$2:$O$766&lt;&gt;""),'Weekly Tracker'!$O$2:$O$766),"")</f>
        <v/>
      </c>
    </row>
    <row r="1529">
      <c r="A1529" s="9" t="inlineStr">
        <is>
          <t>Rabin Tn Rabin FB</t>
        </is>
      </c>
      <c r="B1529" s="9" t="inlineStr">
        <is>
          <t>9865629767</t>
        </is>
      </c>
      <c r="C1529" s="9" t="n"/>
      <c r="D1529" s="9" t="n"/>
      <c r="E1529" s="9" t="n"/>
      <c r="F1529" s="9">
        <f>IFERROR(LOOKUP(2,1/('Weekly Tracker'!$E$2:$E$766=$A1529)/('Weekly Tracker'!$F$2:$F$766&lt;&gt;""),'Weekly Tracker'!$F$2:$F$766),"")</f>
        <v/>
      </c>
      <c r="G1529" s="16">
        <f>IF(F1529&lt;&gt;"",LOOKUP(2,1/('Weekly Tracker'!$E$2:$E$766=$A1529)/('Weekly Tracker'!$F$2:$F$766&lt;&gt;""),'Weekly Tracker'!$G$2:$G$766),"")</f>
        <v/>
      </c>
      <c r="H1529" s="9">
        <f>IFERROR(LOOKUP(2,1/('Weekly Tracker'!$E$2:$E$766=$A1529)/('Weekly Tracker'!$H$2:$H$766&lt;&gt;""),'Weekly Tracker'!$H$2:$H$766),"")</f>
        <v/>
      </c>
      <c r="I1529" s="16">
        <f>IF(H1529&lt;&gt;"",LOOKUP(2,1/('Weekly Tracker'!$E$2:$E$766=$A1529)/('Weekly Tracker'!$H$2:$H$766&lt;&gt;""),'Weekly Tracker'!$I$2:$I$766),"")</f>
        <v/>
      </c>
      <c r="J1529" s="9">
        <f>IFERROR(LOOKUP(2,1/('Weekly Tracker'!$E$2:$E$766=$A1529)/('Weekly Tracker'!$J$2:$J$766&lt;&gt;""),'Weekly Tracker'!$J$2:$J$766),"")</f>
        <v/>
      </c>
      <c r="K1529" s="9">
        <f>IFERROR(LOOKUP(2,1/('Weekly Tracker'!$E$2:$E$766=$A1529)/('Weekly Tracker'!$N$2:$N$766&lt;&gt;""),'Weekly Tracker'!$N$2:$N$766),"")</f>
        <v/>
      </c>
      <c r="L1529" s="9">
        <f>IFERROR(LOOKUP(2,1/('Weekly Tracker'!$E$2:$E$766=$A1529)/('Weekly Tracker'!$O$2:$O$766&lt;&gt;""),'Weekly Tracker'!$O$2:$O$766),"")</f>
        <v/>
      </c>
    </row>
    <row r="1530">
      <c r="A1530" s="9" t="inlineStr">
        <is>
          <t>Jenarth Tenkasi</t>
        </is>
      </c>
      <c r="B1530" s="9" t="inlineStr">
        <is>
          <t>919884873505, 919791662263</t>
        </is>
      </c>
      <c r="C1530" s="9" t="n"/>
      <c r="D1530" s="9" t="n"/>
      <c r="E1530" s="9" t="n"/>
      <c r="F1530" s="9">
        <f>IFERROR(LOOKUP(2,1/('Weekly Tracker'!$E$2:$E$766=$A1530)/('Weekly Tracker'!$F$2:$F$766&lt;&gt;""),'Weekly Tracker'!$F$2:$F$766),"")</f>
        <v/>
      </c>
      <c r="G1530" s="16">
        <f>IF(F1530&lt;&gt;"",LOOKUP(2,1/('Weekly Tracker'!$E$2:$E$766=$A1530)/('Weekly Tracker'!$F$2:$F$766&lt;&gt;""),'Weekly Tracker'!$G$2:$G$766),"")</f>
        <v/>
      </c>
      <c r="H1530" s="9">
        <f>IFERROR(LOOKUP(2,1/('Weekly Tracker'!$E$2:$E$766=$A1530)/('Weekly Tracker'!$H$2:$H$766&lt;&gt;""),'Weekly Tracker'!$H$2:$H$766),"")</f>
        <v/>
      </c>
      <c r="I1530" s="16">
        <f>IF(H1530&lt;&gt;"",LOOKUP(2,1/('Weekly Tracker'!$E$2:$E$766=$A1530)/('Weekly Tracker'!$H$2:$H$766&lt;&gt;""),'Weekly Tracker'!$I$2:$I$766),"")</f>
        <v/>
      </c>
      <c r="J1530" s="9">
        <f>IFERROR(LOOKUP(2,1/('Weekly Tracker'!$E$2:$E$766=$A1530)/('Weekly Tracker'!$J$2:$J$766&lt;&gt;""),'Weekly Tracker'!$J$2:$J$766),"")</f>
        <v/>
      </c>
      <c r="K1530" s="9">
        <f>IFERROR(LOOKUP(2,1/('Weekly Tracker'!$E$2:$E$766=$A1530)/('Weekly Tracker'!$N$2:$N$766&lt;&gt;""),'Weekly Tracker'!$N$2:$N$766),"")</f>
        <v/>
      </c>
      <c r="L1530" s="9">
        <f>IFERROR(LOOKUP(2,1/('Weekly Tracker'!$E$2:$E$766=$A1530)/('Weekly Tracker'!$O$2:$O$766&lt;&gt;""),'Weekly Tracker'!$O$2:$O$766),"")</f>
        <v/>
      </c>
    </row>
    <row r="1531">
      <c r="A1531" s="9" t="inlineStr">
        <is>
          <t>Chitra Devi Urja FB</t>
        </is>
      </c>
      <c r="B1531" s="9" t="inlineStr">
        <is>
          <t>9176902584</t>
        </is>
      </c>
      <c r="C1531" s="9" t="n"/>
      <c r="D1531" s="9" t="n"/>
      <c r="E1531" s="9" t="n"/>
      <c r="F1531" s="9">
        <f>IFERROR(LOOKUP(2,1/('Weekly Tracker'!$E$2:$E$766=$A1531)/('Weekly Tracker'!$F$2:$F$766&lt;&gt;""),'Weekly Tracker'!$F$2:$F$766),"")</f>
        <v/>
      </c>
      <c r="G1531" s="16">
        <f>IF(F1531&lt;&gt;"",LOOKUP(2,1/('Weekly Tracker'!$E$2:$E$766=$A1531)/('Weekly Tracker'!$F$2:$F$766&lt;&gt;""),'Weekly Tracker'!$G$2:$G$766),"")</f>
        <v/>
      </c>
      <c r="H1531" s="9">
        <f>IFERROR(LOOKUP(2,1/('Weekly Tracker'!$E$2:$E$766=$A1531)/('Weekly Tracker'!$H$2:$H$766&lt;&gt;""),'Weekly Tracker'!$H$2:$H$766),"")</f>
        <v/>
      </c>
      <c r="I1531" s="16">
        <f>IF(H1531&lt;&gt;"",LOOKUP(2,1/('Weekly Tracker'!$E$2:$E$766=$A1531)/('Weekly Tracker'!$H$2:$H$766&lt;&gt;""),'Weekly Tracker'!$I$2:$I$766),"")</f>
        <v/>
      </c>
      <c r="J1531" s="9">
        <f>IFERROR(LOOKUP(2,1/('Weekly Tracker'!$E$2:$E$766=$A1531)/('Weekly Tracker'!$J$2:$J$766&lt;&gt;""),'Weekly Tracker'!$J$2:$J$766),"")</f>
        <v/>
      </c>
      <c r="K1531" s="9">
        <f>IFERROR(LOOKUP(2,1/('Weekly Tracker'!$E$2:$E$766=$A1531)/('Weekly Tracker'!$N$2:$N$766&lt;&gt;""),'Weekly Tracker'!$N$2:$N$766),"")</f>
        <v/>
      </c>
      <c r="L1531" s="9">
        <f>IFERROR(LOOKUP(2,1/('Weekly Tracker'!$E$2:$E$766=$A1531)/('Weekly Tracker'!$O$2:$O$766&lt;&gt;""),'Weekly Tracker'!$O$2:$O$766),"")</f>
        <v/>
      </c>
    </row>
    <row r="1532">
      <c r="A1532" s="9" t="inlineStr">
        <is>
          <t>Rajeshwari ECE</t>
        </is>
      </c>
      <c r="B1532" s="9" t="inlineStr">
        <is>
          <t>918760151651</t>
        </is>
      </c>
      <c r="C1532" s="9" t="n"/>
      <c r="D1532" s="9" t="n"/>
      <c r="E1532" s="9" t="n"/>
      <c r="F1532" s="9">
        <f>IFERROR(LOOKUP(2,1/('Weekly Tracker'!$E$2:$E$766=$A1532)/('Weekly Tracker'!$F$2:$F$766&lt;&gt;""),'Weekly Tracker'!$F$2:$F$766),"")</f>
        <v/>
      </c>
      <c r="G1532" s="16">
        <f>IF(F1532&lt;&gt;"",LOOKUP(2,1/('Weekly Tracker'!$E$2:$E$766=$A1532)/('Weekly Tracker'!$F$2:$F$766&lt;&gt;""),'Weekly Tracker'!$G$2:$G$766),"")</f>
        <v/>
      </c>
      <c r="H1532" s="9">
        <f>IFERROR(LOOKUP(2,1/('Weekly Tracker'!$E$2:$E$766=$A1532)/('Weekly Tracker'!$H$2:$H$766&lt;&gt;""),'Weekly Tracker'!$H$2:$H$766),"")</f>
        <v/>
      </c>
      <c r="I1532" s="16">
        <f>IF(H1532&lt;&gt;"",LOOKUP(2,1/('Weekly Tracker'!$E$2:$E$766=$A1532)/('Weekly Tracker'!$H$2:$H$766&lt;&gt;""),'Weekly Tracker'!$I$2:$I$766),"")</f>
        <v/>
      </c>
      <c r="J1532" s="9">
        <f>IFERROR(LOOKUP(2,1/('Weekly Tracker'!$E$2:$E$766=$A1532)/('Weekly Tracker'!$J$2:$J$766&lt;&gt;""),'Weekly Tracker'!$J$2:$J$766),"")</f>
        <v/>
      </c>
      <c r="K1532" s="9">
        <f>IFERROR(LOOKUP(2,1/('Weekly Tracker'!$E$2:$E$766=$A1532)/('Weekly Tracker'!$N$2:$N$766&lt;&gt;""),'Weekly Tracker'!$N$2:$N$766),"")</f>
        <v/>
      </c>
      <c r="L1532" s="9">
        <f>IFERROR(LOOKUP(2,1/('Weekly Tracker'!$E$2:$E$766=$A1532)/('Weekly Tracker'!$O$2:$O$766&lt;&gt;""),'Weekly Tracker'!$O$2:$O$766),"")</f>
        <v/>
      </c>
    </row>
    <row r="1533">
      <c r="A1533" s="9" t="inlineStr">
        <is>
          <t>Kiruba Nithi FB</t>
        </is>
      </c>
      <c r="B1533" s="9" t="inlineStr">
        <is>
          <t>918778759431, 9500492981</t>
        </is>
      </c>
      <c r="C1533" s="9" t="n"/>
      <c r="D1533" s="9" t="n"/>
      <c r="E1533" s="9" t="n"/>
      <c r="F1533" s="9">
        <f>IFERROR(LOOKUP(2,1/('Weekly Tracker'!$E$2:$E$766=$A1533)/('Weekly Tracker'!$F$2:$F$766&lt;&gt;""),'Weekly Tracker'!$F$2:$F$766),"")</f>
        <v/>
      </c>
      <c r="G1533" s="16">
        <f>IF(F1533&lt;&gt;"",LOOKUP(2,1/('Weekly Tracker'!$E$2:$E$766=$A1533)/('Weekly Tracker'!$F$2:$F$766&lt;&gt;""),'Weekly Tracker'!$G$2:$G$766),"")</f>
        <v/>
      </c>
      <c r="H1533" s="9">
        <f>IFERROR(LOOKUP(2,1/('Weekly Tracker'!$E$2:$E$766=$A1533)/('Weekly Tracker'!$H$2:$H$766&lt;&gt;""),'Weekly Tracker'!$H$2:$H$766),"")</f>
        <v/>
      </c>
      <c r="I1533" s="16">
        <f>IF(H1533&lt;&gt;"",LOOKUP(2,1/('Weekly Tracker'!$E$2:$E$766=$A1533)/('Weekly Tracker'!$H$2:$H$766&lt;&gt;""),'Weekly Tracker'!$I$2:$I$766),"")</f>
        <v/>
      </c>
      <c r="J1533" s="9">
        <f>IFERROR(LOOKUP(2,1/('Weekly Tracker'!$E$2:$E$766=$A1533)/('Weekly Tracker'!$J$2:$J$766&lt;&gt;""),'Weekly Tracker'!$J$2:$J$766),"")</f>
        <v/>
      </c>
      <c r="K1533" s="9">
        <f>IFERROR(LOOKUP(2,1/('Weekly Tracker'!$E$2:$E$766=$A1533)/('Weekly Tracker'!$N$2:$N$766&lt;&gt;""),'Weekly Tracker'!$N$2:$N$766),"")</f>
        <v/>
      </c>
      <c r="L1533" s="9">
        <f>IFERROR(LOOKUP(2,1/('Weekly Tracker'!$E$2:$E$766=$A1533)/('Weekly Tracker'!$O$2:$O$766&lt;&gt;""),'Weekly Tracker'!$O$2:$O$766),"")</f>
        <v/>
      </c>
    </row>
    <row r="1534">
      <c r="A1534" s="9" t="inlineStr">
        <is>
          <t>Prem Scl</t>
        </is>
      </c>
      <c r="B1534" s="9" t="inlineStr">
        <is>
          <t>918122332256, 919952597950</t>
        </is>
      </c>
      <c r="C1534" s="9" t="n"/>
      <c r="D1534" s="9" t="n"/>
      <c r="E1534" s="9" t="n"/>
      <c r="F1534" s="9">
        <f>IFERROR(LOOKUP(2,1/('Weekly Tracker'!$E$2:$E$766=$A1534)/('Weekly Tracker'!$F$2:$F$766&lt;&gt;""),'Weekly Tracker'!$F$2:$F$766),"")</f>
        <v/>
      </c>
      <c r="G1534" s="16">
        <f>IF(F1534&lt;&gt;"",LOOKUP(2,1/('Weekly Tracker'!$E$2:$E$766=$A1534)/('Weekly Tracker'!$F$2:$F$766&lt;&gt;""),'Weekly Tracker'!$G$2:$G$766),"")</f>
        <v/>
      </c>
      <c r="H1534" s="9">
        <f>IFERROR(LOOKUP(2,1/('Weekly Tracker'!$E$2:$E$766=$A1534)/('Weekly Tracker'!$H$2:$H$766&lt;&gt;""),'Weekly Tracker'!$H$2:$H$766),"")</f>
        <v/>
      </c>
      <c r="I1534" s="16">
        <f>IF(H1534&lt;&gt;"",LOOKUP(2,1/('Weekly Tracker'!$E$2:$E$766=$A1534)/('Weekly Tracker'!$H$2:$H$766&lt;&gt;""),'Weekly Tracker'!$I$2:$I$766),"")</f>
        <v/>
      </c>
      <c r="J1534" s="9">
        <f>IFERROR(LOOKUP(2,1/('Weekly Tracker'!$E$2:$E$766=$A1534)/('Weekly Tracker'!$J$2:$J$766&lt;&gt;""),'Weekly Tracker'!$J$2:$J$766),"")</f>
        <v/>
      </c>
      <c r="K1534" s="9">
        <f>IFERROR(LOOKUP(2,1/('Weekly Tracker'!$E$2:$E$766=$A1534)/('Weekly Tracker'!$N$2:$N$766&lt;&gt;""),'Weekly Tracker'!$N$2:$N$766),"")</f>
        <v/>
      </c>
      <c r="L1534" s="9">
        <f>IFERROR(LOOKUP(2,1/('Weekly Tracker'!$E$2:$E$766=$A1534)/('Weekly Tracker'!$O$2:$O$766&lt;&gt;""),'Weekly Tracker'!$O$2:$O$766),"")</f>
        <v/>
      </c>
    </row>
    <row r="1535">
      <c r="A1535" s="9" t="inlineStr">
        <is>
          <t>Por airtel</t>
        </is>
      </c>
      <c r="B1535" s="9" t="inlineStr">
        <is>
          <t>919940978367</t>
        </is>
      </c>
      <c r="C1535" s="9" t="n"/>
      <c r="D1535" s="9" t="n"/>
      <c r="E1535" s="9" t="n"/>
      <c r="F1535" s="9">
        <f>IFERROR(LOOKUP(2,1/('Weekly Tracker'!$E$2:$E$766=$A1535)/('Weekly Tracker'!$F$2:$F$766&lt;&gt;""),'Weekly Tracker'!$F$2:$F$766),"")</f>
        <v/>
      </c>
      <c r="G1535" s="16">
        <f>IF(F1535&lt;&gt;"",LOOKUP(2,1/('Weekly Tracker'!$E$2:$E$766=$A1535)/('Weekly Tracker'!$F$2:$F$766&lt;&gt;""),'Weekly Tracker'!$G$2:$G$766),"")</f>
        <v/>
      </c>
      <c r="H1535" s="9">
        <f>IFERROR(LOOKUP(2,1/('Weekly Tracker'!$E$2:$E$766=$A1535)/('Weekly Tracker'!$H$2:$H$766&lt;&gt;""),'Weekly Tracker'!$H$2:$H$766),"")</f>
        <v/>
      </c>
      <c r="I1535" s="16">
        <f>IF(H1535&lt;&gt;"",LOOKUP(2,1/('Weekly Tracker'!$E$2:$E$766=$A1535)/('Weekly Tracker'!$H$2:$H$766&lt;&gt;""),'Weekly Tracker'!$I$2:$I$766),"")</f>
        <v/>
      </c>
      <c r="J1535" s="9">
        <f>IFERROR(LOOKUP(2,1/('Weekly Tracker'!$E$2:$E$766=$A1535)/('Weekly Tracker'!$J$2:$J$766&lt;&gt;""),'Weekly Tracker'!$J$2:$J$766),"")</f>
        <v/>
      </c>
      <c r="K1535" s="9">
        <f>IFERROR(LOOKUP(2,1/('Weekly Tracker'!$E$2:$E$766=$A1535)/('Weekly Tracker'!$N$2:$N$766&lt;&gt;""),'Weekly Tracker'!$N$2:$N$766),"")</f>
        <v/>
      </c>
      <c r="L1535" s="9">
        <f>IFERROR(LOOKUP(2,1/('Weekly Tracker'!$E$2:$E$766=$A1535)/('Weekly Tracker'!$O$2:$O$766&lt;&gt;""),'Weekly Tracker'!$O$2:$O$766),"")</f>
        <v/>
      </c>
    </row>
    <row r="1536">
      <c r="A1536" s="9" t="inlineStr">
        <is>
          <t>Ashwin Thoortheu FB</t>
        </is>
      </c>
      <c r="B1536" s="9" t="inlineStr">
        <is>
          <t>919629792888</t>
        </is>
      </c>
      <c r="C1536" s="9" t="n"/>
      <c r="D1536" s="9" t="n"/>
      <c r="E1536" s="9" t="n"/>
      <c r="F1536" s="9">
        <f>IFERROR(LOOKUP(2,1/('Weekly Tracker'!$E$2:$E$766=$A1536)/('Weekly Tracker'!$F$2:$F$766&lt;&gt;""),'Weekly Tracker'!$F$2:$F$766),"")</f>
        <v/>
      </c>
      <c r="G1536" s="16">
        <f>IF(F1536&lt;&gt;"",LOOKUP(2,1/('Weekly Tracker'!$E$2:$E$766=$A1536)/('Weekly Tracker'!$F$2:$F$766&lt;&gt;""),'Weekly Tracker'!$G$2:$G$766),"")</f>
        <v/>
      </c>
      <c r="H1536" s="9">
        <f>IFERROR(LOOKUP(2,1/('Weekly Tracker'!$E$2:$E$766=$A1536)/('Weekly Tracker'!$H$2:$H$766&lt;&gt;""),'Weekly Tracker'!$H$2:$H$766),"")</f>
        <v/>
      </c>
      <c r="I1536" s="16">
        <f>IF(H1536&lt;&gt;"",LOOKUP(2,1/('Weekly Tracker'!$E$2:$E$766=$A1536)/('Weekly Tracker'!$H$2:$H$766&lt;&gt;""),'Weekly Tracker'!$I$2:$I$766),"")</f>
        <v/>
      </c>
      <c r="J1536" s="9">
        <f>IFERROR(LOOKUP(2,1/('Weekly Tracker'!$E$2:$E$766=$A1536)/('Weekly Tracker'!$J$2:$J$766&lt;&gt;""),'Weekly Tracker'!$J$2:$J$766),"")</f>
        <v/>
      </c>
      <c r="K1536" s="9">
        <f>IFERROR(LOOKUP(2,1/('Weekly Tracker'!$E$2:$E$766=$A1536)/('Weekly Tracker'!$N$2:$N$766&lt;&gt;""),'Weekly Tracker'!$N$2:$N$766),"")</f>
        <v/>
      </c>
      <c r="L1536" s="9">
        <f>IFERROR(LOOKUP(2,1/('Weekly Tracker'!$E$2:$E$766=$A1536)/('Weekly Tracker'!$O$2:$O$766&lt;&gt;""),'Weekly Tracker'!$O$2:$O$766),"")</f>
        <v/>
      </c>
    </row>
    <row r="1537">
      <c r="A1537" s="9" t="inlineStr">
        <is>
          <t>Xavier Urja</t>
        </is>
      </c>
      <c r="B1537" s="9" t="inlineStr">
        <is>
          <t>919003177630</t>
        </is>
      </c>
      <c r="C1537" s="9" t="n"/>
      <c r="D1537" s="9" t="n"/>
      <c r="E1537" s="9" t="n"/>
      <c r="F1537" s="9">
        <f>IFERROR(LOOKUP(2,1/('Weekly Tracker'!$E$2:$E$766=$A1537)/('Weekly Tracker'!$F$2:$F$766&lt;&gt;""),'Weekly Tracker'!$F$2:$F$766),"")</f>
        <v/>
      </c>
      <c r="G1537" s="16">
        <f>IF(F1537&lt;&gt;"",LOOKUP(2,1/('Weekly Tracker'!$E$2:$E$766=$A1537)/('Weekly Tracker'!$F$2:$F$766&lt;&gt;""),'Weekly Tracker'!$G$2:$G$766),"")</f>
        <v/>
      </c>
      <c r="H1537" s="9">
        <f>IFERROR(LOOKUP(2,1/('Weekly Tracker'!$E$2:$E$766=$A1537)/('Weekly Tracker'!$H$2:$H$766&lt;&gt;""),'Weekly Tracker'!$H$2:$H$766),"")</f>
        <v/>
      </c>
      <c r="I1537" s="16">
        <f>IF(H1537&lt;&gt;"",LOOKUP(2,1/('Weekly Tracker'!$E$2:$E$766=$A1537)/('Weekly Tracker'!$H$2:$H$766&lt;&gt;""),'Weekly Tracker'!$I$2:$I$766),"")</f>
        <v/>
      </c>
      <c r="J1537" s="9">
        <f>IFERROR(LOOKUP(2,1/('Weekly Tracker'!$E$2:$E$766=$A1537)/('Weekly Tracker'!$J$2:$J$766&lt;&gt;""),'Weekly Tracker'!$J$2:$J$766),"")</f>
        <v/>
      </c>
      <c r="K1537" s="9">
        <f>IFERROR(LOOKUP(2,1/('Weekly Tracker'!$E$2:$E$766=$A1537)/('Weekly Tracker'!$N$2:$N$766&lt;&gt;""),'Weekly Tracker'!$N$2:$N$766),"")</f>
        <v/>
      </c>
      <c r="L1537" s="9">
        <f>IFERROR(LOOKUP(2,1/('Weekly Tracker'!$E$2:$E$766=$A1537)/('Weekly Tracker'!$O$2:$O$766&lt;&gt;""),'Weekly Tracker'!$O$2:$O$766),"")</f>
        <v/>
      </c>
    </row>
    <row r="1538">
      <c r="A1538" s="9" t="inlineStr">
        <is>
          <t>Arjun WFP</t>
        </is>
      </c>
      <c r="B1538" s="9" t="inlineStr">
        <is>
          <t>9962034148</t>
        </is>
      </c>
      <c r="C1538" s="9" t="n"/>
      <c r="D1538" s="9" t="n"/>
      <c r="E1538" s="9" t="n"/>
      <c r="F1538" s="9">
        <f>IFERROR(LOOKUP(2,1/('Weekly Tracker'!$E$2:$E$766=$A1538)/('Weekly Tracker'!$F$2:$F$766&lt;&gt;""),'Weekly Tracker'!$F$2:$F$766),"")</f>
        <v/>
      </c>
      <c r="G1538" s="16">
        <f>IF(F1538&lt;&gt;"",LOOKUP(2,1/('Weekly Tracker'!$E$2:$E$766=$A1538)/('Weekly Tracker'!$F$2:$F$766&lt;&gt;""),'Weekly Tracker'!$G$2:$G$766),"")</f>
        <v/>
      </c>
      <c r="H1538" s="9">
        <f>IFERROR(LOOKUP(2,1/('Weekly Tracker'!$E$2:$E$766=$A1538)/('Weekly Tracker'!$H$2:$H$766&lt;&gt;""),'Weekly Tracker'!$H$2:$H$766),"")</f>
        <v/>
      </c>
      <c r="I1538" s="16">
        <f>IF(H1538&lt;&gt;"",LOOKUP(2,1/('Weekly Tracker'!$E$2:$E$766=$A1538)/('Weekly Tracker'!$H$2:$H$766&lt;&gt;""),'Weekly Tracker'!$I$2:$I$766),"")</f>
        <v/>
      </c>
      <c r="J1538" s="9">
        <f>IFERROR(LOOKUP(2,1/('Weekly Tracker'!$E$2:$E$766=$A1538)/('Weekly Tracker'!$J$2:$J$766&lt;&gt;""),'Weekly Tracker'!$J$2:$J$766),"")</f>
        <v/>
      </c>
      <c r="K1538" s="9">
        <f>IFERROR(LOOKUP(2,1/('Weekly Tracker'!$E$2:$E$766=$A1538)/('Weekly Tracker'!$N$2:$N$766&lt;&gt;""),'Weekly Tracker'!$N$2:$N$766),"")</f>
        <v/>
      </c>
      <c r="L1538" s="9">
        <f>IFERROR(LOOKUP(2,1/('Weekly Tracker'!$E$2:$E$766=$A1538)/('Weekly Tracker'!$O$2:$O$766&lt;&gt;""),'Weekly Tracker'!$O$2:$O$766),"")</f>
        <v/>
      </c>
    </row>
    <row r="1539">
      <c r="A1539" s="9" t="inlineStr">
        <is>
          <t>Agalya Junior</t>
        </is>
      </c>
      <c r="B1539" s="9" t="inlineStr">
        <is>
          <t>919677441874</t>
        </is>
      </c>
      <c r="C1539" s="9" t="n"/>
      <c r="D1539" s="9" t="n"/>
      <c r="E1539" s="9" t="n"/>
      <c r="F1539" s="9">
        <f>IFERROR(LOOKUP(2,1/('Weekly Tracker'!$E$2:$E$766=$A1539)/('Weekly Tracker'!$F$2:$F$766&lt;&gt;""),'Weekly Tracker'!$F$2:$F$766),"")</f>
        <v/>
      </c>
      <c r="G1539" s="16">
        <f>IF(F1539&lt;&gt;"",LOOKUP(2,1/('Weekly Tracker'!$E$2:$E$766=$A1539)/('Weekly Tracker'!$F$2:$F$766&lt;&gt;""),'Weekly Tracker'!$G$2:$G$766),"")</f>
        <v/>
      </c>
      <c r="H1539" s="9">
        <f>IFERROR(LOOKUP(2,1/('Weekly Tracker'!$E$2:$E$766=$A1539)/('Weekly Tracker'!$H$2:$H$766&lt;&gt;""),'Weekly Tracker'!$H$2:$H$766),"")</f>
        <v/>
      </c>
      <c r="I1539" s="16">
        <f>IF(H1539&lt;&gt;"",LOOKUP(2,1/('Weekly Tracker'!$E$2:$E$766=$A1539)/('Weekly Tracker'!$H$2:$H$766&lt;&gt;""),'Weekly Tracker'!$I$2:$I$766),"")</f>
        <v/>
      </c>
      <c r="J1539" s="9">
        <f>IFERROR(LOOKUP(2,1/('Weekly Tracker'!$E$2:$E$766=$A1539)/('Weekly Tracker'!$J$2:$J$766&lt;&gt;""),'Weekly Tracker'!$J$2:$J$766),"")</f>
        <v/>
      </c>
      <c r="K1539" s="9">
        <f>IFERROR(LOOKUP(2,1/('Weekly Tracker'!$E$2:$E$766=$A1539)/('Weekly Tracker'!$N$2:$N$766&lt;&gt;""),'Weekly Tracker'!$N$2:$N$766),"")</f>
        <v/>
      </c>
      <c r="L1539" s="9">
        <f>IFERROR(LOOKUP(2,1/('Weekly Tracker'!$E$2:$E$766=$A1539)/('Weekly Tracker'!$O$2:$O$766&lt;&gt;""),'Weekly Tracker'!$O$2:$O$766),"")</f>
        <v/>
      </c>
    </row>
    <row r="1540">
      <c r="A1540" s="9" t="inlineStr">
        <is>
          <t>Azhagu Suyambu Lingam Scl</t>
        </is>
      </c>
      <c r="B1540" s="9" t="inlineStr">
        <is>
          <t>+91 81240 22647, +91 79-04806437</t>
        </is>
      </c>
      <c r="C1540" s="9" t="n"/>
      <c r="D1540" s="9" t="n"/>
      <c r="E1540" s="9" t="n"/>
      <c r="F1540" s="9">
        <f>IFERROR(LOOKUP(2,1/('Weekly Tracker'!$E$2:$E$766=$A1540)/('Weekly Tracker'!$F$2:$F$766&lt;&gt;""),'Weekly Tracker'!$F$2:$F$766),"")</f>
        <v/>
      </c>
      <c r="G1540" s="16">
        <f>IF(F1540&lt;&gt;"",LOOKUP(2,1/('Weekly Tracker'!$E$2:$E$766=$A1540)/('Weekly Tracker'!$F$2:$F$766&lt;&gt;""),'Weekly Tracker'!$G$2:$G$766),"")</f>
        <v/>
      </c>
      <c r="H1540" s="9">
        <f>IFERROR(LOOKUP(2,1/('Weekly Tracker'!$E$2:$E$766=$A1540)/('Weekly Tracker'!$H$2:$H$766&lt;&gt;""),'Weekly Tracker'!$H$2:$H$766),"")</f>
        <v/>
      </c>
      <c r="I1540" s="16">
        <f>IF(H1540&lt;&gt;"",LOOKUP(2,1/('Weekly Tracker'!$E$2:$E$766=$A1540)/('Weekly Tracker'!$H$2:$H$766&lt;&gt;""),'Weekly Tracker'!$I$2:$I$766),"")</f>
        <v/>
      </c>
      <c r="J1540" s="9">
        <f>IFERROR(LOOKUP(2,1/('Weekly Tracker'!$E$2:$E$766=$A1540)/('Weekly Tracker'!$J$2:$J$766&lt;&gt;""),'Weekly Tracker'!$J$2:$J$766),"")</f>
        <v/>
      </c>
      <c r="K1540" s="9">
        <f>IFERROR(LOOKUP(2,1/('Weekly Tracker'!$E$2:$E$766=$A1540)/('Weekly Tracker'!$N$2:$N$766&lt;&gt;""),'Weekly Tracker'!$N$2:$N$766),"")</f>
        <v/>
      </c>
      <c r="L1540" s="9">
        <f>IFERROR(LOOKUP(2,1/('Weekly Tracker'!$E$2:$E$766=$A1540)/('Weekly Tracker'!$O$2:$O$766&lt;&gt;""),'Weekly Tracker'!$O$2:$O$766),"")</f>
        <v/>
      </c>
    </row>
    <row r="1541">
      <c r="A1541" s="9" t="inlineStr">
        <is>
          <t>Thayanithy Nagarajan</t>
        </is>
      </c>
      <c r="B1541" s="9" t="n"/>
      <c r="C1541" s="9" t="n"/>
      <c r="D1541" s="9" t="n"/>
      <c r="E1541" s="9" t="n"/>
      <c r="F1541" s="9">
        <f>IFERROR(LOOKUP(2,1/('Weekly Tracker'!$E$2:$E$766=$A1541)/('Weekly Tracker'!$F$2:$F$766&lt;&gt;""),'Weekly Tracker'!$F$2:$F$766),"")</f>
        <v/>
      </c>
      <c r="G1541" s="16">
        <f>IF(F1541&lt;&gt;"",LOOKUP(2,1/('Weekly Tracker'!$E$2:$E$766=$A1541)/('Weekly Tracker'!$F$2:$F$766&lt;&gt;""),'Weekly Tracker'!$G$2:$G$766),"")</f>
        <v/>
      </c>
      <c r="H1541" s="9">
        <f>IFERROR(LOOKUP(2,1/('Weekly Tracker'!$E$2:$E$766=$A1541)/('Weekly Tracker'!$H$2:$H$766&lt;&gt;""),'Weekly Tracker'!$H$2:$H$766),"")</f>
        <v/>
      </c>
      <c r="I1541" s="16">
        <f>IF(H1541&lt;&gt;"",LOOKUP(2,1/('Weekly Tracker'!$E$2:$E$766=$A1541)/('Weekly Tracker'!$H$2:$H$766&lt;&gt;""),'Weekly Tracker'!$I$2:$I$766),"")</f>
        <v/>
      </c>
      <c r="J1541" s="9">
        <f>IFERROR(LOOKUP(2,1/('Weekly Tracker'!$E$2:$E$766=$A1541)/('Weekly Tracker'!$J$2:$J$766&lt;&gt;""),'Weekly Tracker'!$J$2:$J$766),"")</f>
        <v/>
      </c>
      <c r="K1541" s="9">
        <f>IFERROR(LOOKUP(2,1/('Weekly Tracker'!$E$2:$E$766=$A1541)/('Weekly Tracker'!$N$2:$N$766&lt;&gt;""),'Weekly Tracker'!$N$2:$N$766),"")</f>
        <v/>
      </c>
      <c r="L1541" s="9">
        <f>IFERROR(LOOKUP(2,1/('Weekly Tracker'!$E$2:$E$766=$A1541)/('Weekly Tracker'!$O$2:$O$766&lt;&gt;""),'Weekly Tracker'!$O$2:$O$766),"")</f>
        <v/>
      </c>
    </row>
    <row r="1542">
      <c r="A1542" s="9" t="inlineStr">
        <is>
          <t>Selva Rathina Velu FB</t>
        </is>
      </c>
      <c r="B1542" s="9" t="inlineStr">
        <is>
          <t>918754465234</t>
        </is>
      </c>
      <c r="C1542" s="9" t="n"/>
      <c r="D1542" s="9" t="n"/>
      <c r="E1542" s="9" t="n"/>
      <c r="F1542" s="9">
        <f>IFERROR(LOOKUP(2,1/('Weekly Tracker'!$E$2:$E$766=$A1542)/('Weekly Tracker'!$F$2:$F$766&lt;&gt;""),'Weekly Tracker'!$F$2:$F$766),"")</f>
        <v/>
      </c>
      <c r="G1542" s="16">
        <f>IF(F1542&lt;&gt;"",LOOKUP(2,1/('Weekly Tracker'!$E$2:$E$766=$A1542)/('Weekly Tracker'!$F$2:$F$766&lt;&gt;""),'Weekly Tracker'!$G$2:$G$766),"")</f>
        <v/>
      </c>
      <c r="H1542" s="9">
        <f>IFERROR(LOOKUP(2,1/('Weekly Tracker'!$E$2:$E$766=$A1542)/('Weekly Tracker'!$H$2:$H$766&lt;&gt;""),'Weekly Tracker'!$H$2:$H$766),"")</f>
        <v/>
      </c>
      <c r="I1542" s="16">
        <f>IF(H1542&lt;&gt;"",LOOKUP(2,1/('Weekly Tracker'!$E$2:$E$766=$A1542)/('Weekly Tracker'!$H$2:$H$766&lt;&gt;""),'Weekly Tracker'!$I$2:$I$766),"")</f>
        <v/>
      </c>
      <c r="J1542" s="9">
        <f>IFERROR(LOOKUP(2,1/('Weekly Tracker'!$E$2:$E$766=$A1542)/('Weekly Tracker'!$J$2:$J$766&lt;&gt;""),'Weekly Tracker'!$J$2:$J$766),"")</f>
        <v/>
      </c>
      <c r="K1542" s="9">
        <f>IFERROR(LOOKUP(2,1/('Weekly Tracker'!$E$2:$E$766=$A1542)/('Weekly Tracker'!$N$2:$N$766&lt;&gt;""),'Weekly Tracker'!$N$2:$N$766),"")</f>
        <v/>
      </c>
      <c r="L1542" s="9">
        <f>IFERROR(LOOKUP(2,1/('Weekly Tracker'!$E$2:$E$766=$A1542)/('Weekly Tracker'!$O$2:$O$766&lt;&gt;""),'Weekly Tracker'!$O$2:$O$766),"")</f>
        <v/>
      </c>
    </row>
    <row r="1543">
      <c r="A1543" s="9" t="inlineStr">
        <is>
          <t>Saravanan Vaishnavi FB</t>
        </is>
      </c>
      <c r="B1543" s="9" t="inlineStr">
        <is>
          <t>97474773976</t>
        </is>
      </c>
      <c r="C1543" s="9" t="n"/>
      <c r="D1543" s="9" t="n"/>
      <c r="E1543" s="9" t="n"/>
      <c r="F1543" s="9">
        <f>IFERROR(LOOKUP(2,1/('Weekly Tracker'!$E$2:$E$766=$A1543)/('Weekly Tracker'!$F$2:$F$766&lt;&gt;""),'Weekly Tracker'!$F$2:$F$766),"")</f>
        <v/>
      </c>
      <c r="G1543" s="16">
        <f>IF(F1543&lt;&gt;"",LOOKUP(2,1/('Weekly Tracker'!$E$2:$E$766=$A1543)/('Weekly Tracker'!$F$2:$F$766&lt;&gt;""),'Weekly Tracker'!$G$2:$G$766),"")</f>
        <v/>
      </c>
      <c r="H1543" s="9">
        <f>IFERROR(LOOKUP(2,1/('Weekly Tracker'!$E$2:$E$766=$A1543)/('Weekly Tracker'!$H$2:$H$766&lt;&gt;""),'Weekly Tracker'!$H$2:$H$766),"")</f>
        <v/>
      </c>
      <c r="I1543" s="16">
        <f>IF(H1543&lt;&gt;"",LOOKUP(2,1/('Weekly Tracker'!$E$2:$E$766=$A1543)/('Weekly Tracker'!$H$2:$H$766&lt;&gt;""),'Weekly Tracker'!$I$2:$I$766),"")</f>
        <v/>
      </c>
      <c r="J1543" s="9">
        <f>IFERROR(LOOKUP(2,1/('Weekly Tracker'!$E$2:$E$766=$A1543)/('Weekly Tracker'!$J$2:$J$766&lt;&gt;""),'Weekly Tracker'!$J$2:$J$766),"")</f>
        <v/>
      </c>
      <c r="K1543" s="9">
        <f>IFERROR(LOOKUP(2,1/('Weekly Tracker'!$E$2:$E$766=$A1543)/('Weekly Tracker'!$N$2:$N$766&lt;&gt;""),'Weekly Tracker'!$N$2:$N$766),"")</f>
        <v/>
      </c>
      <c r="L1543" s="9">
        <f>IFERROR(LOOKUP(2,1/('Weekly Tracker'!$E$2:$E$766=$A1543)/('Weekly Tracker'!$O$2:$O$766&lt;&gt;""),'Weekly Tracker'!$O$2:$O$766),"")</f>
        <v/>
      </c>
    </row>
    <row r="1544">
      <c r="A1544" s="9" t="inlineStr">
        <is>
          <t>Mayank Sharma HCL</t>
        </is>
      </c>
      <c r="B1544" s="9" t="inlineStr">
        <is>
          <t>7417947820</t>
        </is>
      </c>
      <c r="C1544" s="9" t="n"/>
      <c r="D1544" s="9" t="n"/>
      <c r="E1544" s="9" t="n"/>
      <c r="F1544" s="9">
        <f>IFERROR(LOOKUP(2,1/('Weekly Tracker'!$E$2:$E$766=$A1544)/('Weekly Tracker'!$F$2:$F$766&lt;&gt;""),'Weekly Tracker'!$F$2:$F$766),"")</f>
        <v/>
      </c>
      <c r="G1544" s="16">
        <f>IF(F1544&lt;&gt;"",LOOKUP(2,1/('Weekly Tracker'!$E$2:$E$766=$A1544)/('Weekly Tracker'!$F$2:$F$766&lt;&gt;""),'Weekly Tracker'!$G$2:$G$766),"")</f>
        <v/>
      </c>
      <c r="H1544" s="9">
        <f>IFERROR(LOOKUP(2,1/('Weekly Tracker'!$E$2:$E$766=$A1544)/('Weekly Tracker'!$H$2:$H$766&lt;&gt;""),'Weekly Tracker'!$H$2:$H$766),"")</f>
        <v/>
      </c>
      <c r="I1544" s="16">
        <f>IF(H1544&lt;&gt;"",LOOKUP(2,1/('Weekly Tracker'!$E$2:$E$766=$A1544)/('Weekly Tracker'!$H$2:$H$766&lt;&gt;""),'Weekly Tracker'!$I$2:$I$766),"")</f>
        <v/>
      </c>
      <c r="J1544" s="9">
        <f>IFERROR(LOOKUP(2,1/('Weekly Tracker'!$E$2:$E$766=$A1544)/('Weekly Tracker'!$J$2:$J$766&lt;&gt;""),'Weekly Tracker'!$J$2:$J$766),"")</f>
        <v/>
      </c>
      <c r="K1544" s="9">
        <f>IFERROR(LOOKUP(2,1/('Weekly Tracker'!$E$2:$E$766=$A1544)/('Weekly Tracker'!$N$2:$N$766&lt;&gt;""),'Weekly Tracker'!$N$2:$N$766),"")</f>
        <v/>
      </c>
      <c r="L1544" s="9">
        <f>IFERROR(LOOKUP(2,1/('Weekly Tracker'!$E$2:$E$766=$A1544)/('Weekly Tracker'!$O$2:$O$766&lt;&gt;""),'Weekly Tracker'!$O$2:$O$766),"")</f>
        <v/>
      </c>
    </row>
    <row r="1545">
      <c r="A1545" s="9" t="inlineStr">
        <is>
          <t>Kani Selvam Cab</t>
        </is>
      </c>
      <c r="B1545" s="9" t="inlineStr">
        <is>
          <t>8667369597</t>
        </is>
      </c>
      <c r="C1545" s="9" t="n"/>
      <c r="D1545" s="9" t="n"/>
      <c r="E1545" s="9" t="n"/>
      <c r="F1545" s="9">
        <f>IFERROR(LOOKUP(2,1/('Weekly Tracker'!$E$2:$E$766=$A1545)/('Weekly Tracker'!$F$2:$F$766&lt;&gt;""),'Weekly Tracker'!$F$2:$F$766),"")</f>
        <v/>
      </c>
      <c r="G1545" s="16">
        <f>IF(F1545&lt;&gt;"",LOOKUP(2,1/('Weekly Tracker'!$E$2:$E$766=$A1545)/('Weekly Tracker'!$F$2:$F$766&lt;&gt;""),'Weekly Tracker'!$G$2:$G$766),"")</f>
        <v/>
      </c>
      <c r="H1545" s="9">
        <f>IFERROR(LOOKUP(2,1/('Weekly Tracker'!$E$2:$E$766=$A1545)/('Weekly Tracker'!$H$2:$H$766&lt;&gt;""),'Weekly Tracker'!$H$2:$H$766),"")</f>
        <v/>
      </c>
      <c r="I1545" s="16">
        <f>IF(H1545&lt;&gt;"",LOOKUP(2,1/('Weekly Tracker'!$E$2:$E$766=$A1545)/('Weekly Tracker'!$H$2:$H$766&lt;&gt;""),'Weekly Tracker'!$I$2:$I$766),"")</f>
        <v/>
      </c>
      <c r="J1545" s="9">
        <f>IFERROR(LOOKUP(2,1/('Weekly Tracker'!$E$2:$E$766=$A1545)/('Weekly Tracker'!$J$2:$J$766&lt;&gt;""),'Weekly Tracker'!$J$2:$J$766),"")</f>
        <v/>
      </c>
      <c r="K1545" s="9">
        <f>IFERROR(LOOKUP(2,1/('Weekly Tracker'!$E$2:$E$766=$A1545)/('Weekly Tracker'!$N$2:$N$766&lt;&gt;""),'Weekly Tracker'!$N$2:$N$766),"")</f>
        <v/>
      </c>
      <c r="L1545" s="9">
        <f>IFERROR(LOOKUP(2,1/('Weekly Tracker'!$E$2:$E$766=$A1545)/('Weekly Tracker'!$O$2:$O$766&lt;&gt;""),'Weekly Tracker'!$O$2:$O$766),"")</f>
        <v/>
      </c>
    </row>
    <row r="1546">
      <c r="A1546" s="9" t="inlineStr">
        <is>
          <t>Ramesh Mani Urja</t>
        </is>
      </c>
      <c r="B1546" s="9" t="inlineStr">
        <is>
          <t>8508576317</t>
        </is>
      </c>
      <c r="C1546" s="9" t="n"/>
      <c r="D1546" s="9" t="n"/>
      <c r="E1546" s="9" t="n"/>
      <c r="F1546" s="9">
        <f>IFERROR(LOOKUP(2,1/('Weekly Tracker'!$E$2:$E$766=$A1546)/('Weekly Tracker'!$F$2:$F$766&lt;&gt;""),'Weekly Tracker'!$F$2:$F$766),"")</f>
        <v/>
      </c>
      <c r="G1546" s="16">
        <f>IF(F1546&lt;&gt;"",LOOKUP(2,1/('Weekly Tracker'!$E$2:$E$766=$A1546)/('Weekly Tracker'!$F$2:$F$766&lt;&gt;""),'Weekly Tracker'!$G$2:$G$766),"")</f>
        <v/>
      </c>
      <c r="H1546" s="9">
        <f>IFERROR(LOOKUP(2,1/('Weekly Tracker'!$E$2:$E$766=$A1546)/('Weekly Tracker'!$H$2:$H$766&lt;&gt;""),'Weekly Tracker'!$H$2:$H$766),"")</f>
        <v/>
      </c>
      <c r="I1546" s="16">
        <f>IF(H1546&lt;&gt;"",LOOKUP(2,1/('Weekly Tracker'!$E$2:$E$766=$A1546)/('Weekly Tracker'!$H$2:$H$766&lt;&gt;""),'Weekly Tracker'!$I$2:$I$766),"")</f>
        <v/>
      </c>
      <c r="J1546" s="9">
        <f>IFERROR(LOOKUP(2,1/('Weekly Tracker'!$E$2:$E$766=$A1546)/('Weekly Tracker'!$J$2:$J$766&lt;&gt;""),'Weekly Tracker'!$J$2:$J$766),"")</f>
        <v/>
      </c>
      <c r="K1546" s="9">
        <f>IFERROR(LOOKUP(2,1/('Weekly Tracker'!$E$2:$E$766=$A1546)/('Weekly Tracker'!$N$2:$N$766&lt;&gt;""),'Weekly Tracker'!$N$2:$N$766),"")</f>
        <v/>
      </c>
      <c r="L1546" s="9">
        <f>IFERROR(LOOKUP(2,1/('Weekly Tracker'!$E$2:$E$766=$A1546)/('Weekly Tracker'!$O$2:$O$766&lt;&gt;""),'Weekly Tracker'!$O$2:$O$766),"")</f>
        <v/>
      </c>
    </row>
    <row r="1547">
      <c r="A1547" s="9" t="inlineStr">
        <is>
          <t>Appa</t>
        </is>
      </c>
      <c r="B1547" s="9" t="inlineStr">
        <is>
          <t>+91 94441 21737</t>
        </is>
      </c>
      <c r="C1547" s="9" t="n"/>
      <c r="D1547" s="9" t="n"/>
      <c r="E1547" s="9" t="n"/>
      <c r="F1547" s="9">
        <f>IFERROR(LOOKUP(2,1/('Weekly Tracker'!$E$2:$E$766=$A1547)/('Weekly Tracker'!$F$2:$F$766&lt;&gt;""),'Weekly Tracker'!$F$2:$F$766),"")</f>
        <v/>
      </c>
      <c r="G1547" s="16">
        <f>IF(F1547&lt;&gt;"",LOOKUP(2,1/('Weekly Tracker'!$E$2:$E$766=$A1547)/('Weekly Tracker'!$F$2:$F$766&lt;&gt;""),'Weekly Tracker'!$G$2:$G$766),"")</f>
        <v/>
      </c>
      <c r="H1547" s="9">
        <f>IFERROR(LOOKUP(2,1/('Weekly Tracker'!$E$2:$E$766=$A1547)/('Weekly Tracker'!$H$2:$H$766&lt;&gt;""),'Weekly Tracker'!$H$2:$H$766),"")</f>
        <v/>
      </c>
      <c r="I1547" s="16">
        <f>IF(H1547&lt;&gt;"",LOOKUP(2,1/('Weekly Tracker'!$E$2:$E$766=$A1547)/('Weekly Tracker'!$H$2:$H$766&lt;&gt;""),'Weekly Tracker'!$I$2:$I$766),"")</f>
        <v/>
      </c>
      <c r="J1547" s="9">
        <f>IFERROR(LOOKUP(2,1/('Weekly Tracker'!$E$2:$E$766=$A1547)/('Weekly Tracker'!$J$2:$J$766&lt;&gt;""),'Weekly Tracker'!$J$2:$J$766),"")</f>
        <v/>
      </c>
      <c r="K1547" s="9">
        <f>IFERROR(LOOKUP(2,1/('Weekly Tracker'!$E$2:$E$766=$A1547)/('Weekly Tracker'!$N$2:$N$766&lt;&gt;""),'Weekly Tracker'!$N$2:$N$766),"")</f>
        <v/>
      </c>
      <c r="L1547" s="9">
        <f>IFERROR(LOOKUP(2,1/('Weekly Tracker'!$E$2:$E$766=$A1547)/('Weekly Tracker'!$O$2:$O$766&lt;&gt;""),'Weekly Tracker'!$O$2:$O$766),"")</f>
        <v/>
      </c>
    </row>
    <row r="1548">
      <c r="A1548" s="9" t="inlineStr">
        <is>
          <t>Ahrya 😎Vodafone</t>
        </is>
      </c>
      <c r="B1548" s="9" t="inlineStr">
        <is>
          <t>918678947937</t>
        </is>
      </c>
      <c r="C1548" s="9" t="n"/>
      <c r="D1548" s="9" t="n"/>
      <c r="E1548" s="9" t="n"/>
      <c r="F1548" s="9">
        <f>IFERROR(LOOKUP(2,1/('Weekly Tracker'!$E$2:$E$766=$A1548)/('Weekly Tracker'!$F$2:$F$766&lt;&gt;""),'Weekly Tracker'!$F$2:$F$766),"")</f>
        <v/>
      </c>
      <c r="G1548" s="16">
        <f>IF(F1548&lt;&gt;"",LOOKUP(2,1/('Weekly Tracker'!$E$2:$E$766=$A1548)/('Weekly Tracker'!$F$2:$F$766&lt;&gt;""),'Weekly Tracker'!$G$2:$G$766),"")</f>
        <v/>
      </c>
      <c r="H1548" s="9">
        <f>IFERROR(LOOKUP(2,1/('Weekly Tracker'!$E$2:$E$766=$A1548)/('Weekly Tracker'!$H$2:$H$766&lt;&gt;""),'Weekly Tracker'!$H$2:$H$766),"")</f>
        <v/>
      </c>
      <c r="I1548" s="16">
        <f>IF(H1548&lt;&gt;"",LOOKUP(2,1/('Weekly Tracker'!$E$2:$E$766=$A1548)/('Weekly Tracker'!$H$2:$H$766&lt;&gt;""),'Weekly Tracker'!$I$2:$I$766),"")</f>
        <v/>
      </c>
      <c r="J1548" s="9">
        <f>IFERROR(LOOKUP(2,1/('Weekly Tracker'!$E$2:$E$766=$A1548)/('Weekly Tracker'!$J$2:$J$766&lt;&gt;""),'Weekly Tracker'!$J$2:$J$766),"")</f>
        <v/>
      </c>
      <c r="K1548" s="9">
        <f>IFERROR(LOOKUP(2,1/('Weekly Tracker'!$E$2:$E$766=$A1548)/('Weekly Tracker'!$N$2:$N$766&lt;&gt;""),'Weekly Tracker'!$N$2:$N$766),"")</f>
        <v/>
      </c>
      <c r="L1548" s="9">
        <f>IFERROR(LOOKUP(2,1/('Weekly Tracker'!$E$2:$E$766=$A1548)/('Weekly Tracker'!$O$2:$O$766&lt;&gt;""),'Weekly Tracker'!$O$2:$O$766),"")</f>
        <v/>
      </c>
    </row>
    <row r="1549">
      <c r="A1549" s="9" t="inlineStr">
        <is>
          <t>RK Bikes Perumbakkam</t>
        </is>
      </c>
      <c r="B1549" s="9" t="inlineStr">
        <is>
          <t>919514410080</t>
        </is>
      </c>
      <c r="C1549" s="9" t="n"/>
      <c r="D1549" s="9" t="n"/>
      <c r="E1549" s="9" t="n"/>
      <c r="F1549" s="9">
        <f>IFERROR(LOOKUP(2,1/('Weekly Tracker'!$E$2:$E$766=$A1549)/('Weekly Tracker'!$F$2:$F$766&lt;&gt;""),'Weekly Tracker'!$F$2:$F$766),"")</f>
        <v/>
      </c>
      <c r="G1549" s="16">
        <f>IF(F1549&lt;&gt;"",LOOKUP(2,1/('Weekly Tracker'!$E$2:$E$766=$A1549)/('Weekly Tracker'!$F$2:$F$766&lt;&gt;""),'Weekly Tracker'!$G$2:$G$766),"")</f>
        <v/>
      </c>
      <c r="H1549" s="9">
        <f>IFERROR(LOOKUP(2,1/('Weekly Tracker'!$E$2:$E$766=$A1549)/('Weekly Tracker'!$H$2:$H$766&lt;&gt;""),'Weekly Tracker'!$H$2:$H$766),"")</f>
        <v/>
      </c>
      <c r="I1549" s="16">
        <f>IF(H1549&lt;&gt;"",LOOKUP(2,1/('Weekly Tracker'!$E$2:$E$766=$A1549)/('Weekly Tracker'!$H$2:$H$766&lt;&gt;""),'Weekly Tracker'!$I$2:$I$766),"")</f>
        <v/>
      </c>
      <c r="J1549" s="9">
        <f>IFERROR(LOOKUP(2,1/('Weekly Tracker'!$E$2:$E$766=$A1549)/('Weekly Tracker'!$J$2:$J$766&lt;&gt;""),'Weekly Tracker'!$J$2:$J$766),"")</f>
        <v/>
      </c>
      <c r="K1549" s="9">
        <f>IFERROR(LOOKUP(2,1/('Weekly Tracker'!$E$2:$E$766=$A1549)/('Weekly Tracker'!$N$2:$N$766&lt;&gt;""),'Weekly Tracker'!$N$2:$N$766),"")</f>
        <v/>
      </c>
      <c r="L1549" s="9">
        <f>IFERROR(LOOKUP(2,1/('Weekly Tracker'!$E$2:$E$766=$A1549)/('Weekly Tracker'!$O$2:$O$766&lt;&gt;""),'Weekly Tracker'!$O$2:$O$766),"")</f>
        <v/>
      </c>
    </row>
    <row r="1550">
      <c r="A1550" s="9" t="inlineStr">
        <is>
          <t>Muthu Raj S FB</t>
        </is>
      </c>
      <c r="B1550" s="9" t="inlineStr">
        <is>
          <t>8122300365</t>
        </is>
      </c>
      <c r="C1550" s="9" t="n"/>
      <c r="D1550" s="9" t="n"/>
      <c r="E1550" s="9" t="n"/>
      <c r="F1550" s="9">
        <f>IFERROR(LOOKUP(2,1/('Weekly Tracker'!$E$2:$E$766=$A1550)/('Weekly Tracker'!$F$2:$F$766&lt;&gt;""),'Weekly Tracker'!$F$2:$F$766),"")</f>
        <v/>
      </c>
      <c r="G1550" s="16">
        <f>IF(F1550&lt;&gt;"",LOOKUP(2,1/('Weekly Tracker'!$E$2:$E$766=$A1550)/('Weekly Tracker'!$F$2:$F$766&lt;&gt;""),'Weekly Tracker'!$G$2:$G$766),"")</f>
        <v/>
      </c>
      <c r="H1550" s="9">
        <f>IFERROR(LOOKUP(2,1/('Weekly Tracker'!$E$2:$E$766=$A1550)/('Weekly Tracker'!$H$2:$H$766&lt;&gt;""),'Weekly Tracker'!$H$2:$H$766),"")</f>
        <v/>
      </c>
      <c r="I1550" s="16">
        <f>IF(H1550&lt;&gt;"",LOOKUP(2,1/('Weekly Tracker'!$E$2:$E$766=$A1550)/('Weekly Tracker'!$H$2:$H$766&lt;&gt;""),'Weekly Tracker'!$I$2:$I$766),"")</f>
        <v/>
      </c>
      <c r="J1550" s="9">
        <f>IFERROR(LOOKUP(2,1/('Weekly Tracker'!$E$2:$E$766=$A1550)/('Weekly Tracker'!$J$2:$J$766&lt;&gt;""),'Weekly Tracker'!$J$2:$J$766),"")</f>
        <v/>
      </c>
      <c r="K1550" s="9">
        <f>IFERROR(LOOKUP(2,1/('Weekly Tracker'!$E$2:$E$766=$A1550)/('Weekly Tracker'!$N$2:$N$766&lt;&gt;""),'Weekly Tracker'!$N$2:$N$766),"")</f>
        <v/>
      </c>
      <c r="L1550" s="9">
        <f>IFERROR(LOOKUP(2,1/('Weekly Tracker'!$E$2:$E$766=$A1550)/('Weekly Tracker'!$O$2:$O$766&lt;&gt;""),'Weekly Tracker'!$O$2:$O$766),"")</f>
        <v/>
      </c>
    </row>
    <row r="1551">
      <c r="A1551" s="9" t="inlineStr">
        <is>
          <t>Prem Kumar FB</t>
        </is>
      </c>
      <c r="B1551" s="9" t="inlineStr">
        <is>
          <t>9042111263</t>
        </is>
      </c>
      <c r="C1551" s="9" t="n"/>
      <c r="D1551" s="9" t="n"/>
      <c r="E1551" s="9" t="n"/>
      <c r="F1551" s="9">
        <f>IFERROR(LOOKUP(2,1/('Weekly Tracker'!$E$2:$E$766=$A1551)/('Weekly Tracker'!$F$2:$F$766&lt;&gt;""),'Weekly Tracker'!$F$2:$F$766),"")</f>
        <v/>
      </c>
      <c r="G1551" s="16">
        <f>IF(F1551&lt;&gt;"",LOOKUP(2,1/('Weekly Tracker'!$E$2:$E$766=$A1551)/('Weekly Tracker'!$F$2:$F$766&lt;&gt;""),'Weekly Tracker'!$G$2:$G$766),"")</f>
        <v/>
      </c>
      <c r="H1551" s="9">
        <f>IFERROR(LOOKUP(2,1/('Weekly Tracker'!$E$2:$E$766=$A1551)/('Weekly Tracker'!$H$2:$H$766&lt;&gt;""),'Weekly Tracker'!$H$2:$H$766),"")</f>
        <v/>
      </c>
      <c r="I1551" s="16">
        <f>IF(H1551&lt;&gt;"",LOOKUP(2,1/('Weekly Tracker'!$E$2:$E$766=$A1551)/('Weekly Tracker'!$H$2:$H$766&lt;&gt;""),'Weekly Tracker'!$I$2:$I$766),"")</f>
        <v/>
      </c>
      <c r="J1551" s="9">
        <f>IFERROR(LOOKUP(2,1/('Weekly Tracker'!$E$2:$E$766=$A1551)/('Weekly Tracker'!$J$2:$J$766&lt;&gt;""),'Weekly Tracker'!$J$2:$J$766),"")</f>
        <v/>
      </c>
      <c r="K1551" s="9">
        <f>IFERROR(LOOKUP(2,1/('Weekly Tracker'!$E$2:$E$766=$A1551)/('Weekly Tracker'!$N$2:$N$766&lt;&gt;""),'Weekly Tracker'!$N$2:$N$766),"")</f>
        <v/>
      </c>
      <c r="L1551" s="9">
        <f>IFERROR(LOOKUP(2,1/('Weekly Tracker'!$E$2:$E$766=$A1551)/('Weekly Tracker'!$O$2:$O$766&lt;&gt;""),'Weekly Tracker'!$O$2:$O$766),"")</f>
        <v/>
      </c>
    </row>
    <row r="1552">
      <c r="A1552" s="9" t="inlineStr">
        <is>
          <t>Venkadesha Perumal</t>
        </is>
      </c>
      <c r="B1552" s="9" t="n"/>
      <c r="C1552" s="9" t="n"/>
      <c r="D1552" s="9" t="n"/>
      <c r="E1552" s="9" t="n"/>
      <c r="F1552" s="9">
        <f>IFERROR(LOOKUP(2,1/('Weekly Tracker'!$E$2:$E$766=$A1552)/('Weekly Tracker'!$F$2:$F$766&lt;&gt;""),'Weekly Tracker'!$F$2:$F$766),"")</f>
        <v/>
      </c>
      <c r="G1552" s="16">
        <f>IF(F1552&lt;&gt;"",LOOKUP(2,1/('Weekly Tracker'!$E$2:$E$766=$A1552)/('Weekly Tracker'!$F$2:$F$766&lt;&gt;""),'Weekly Tracker'!$G$2:$G$766),"")</f>
        <v/>
      </c>
      <c r="H1552" s="9">
        <f>IFERROR(LOOKUP(2,1/('Weekly Tracker'!$E$2:$E$766=$A1552)/('Weekly Tracker'!$H$2:$H$766&lt;&gt;""),'Weekly Tracker'!$H$2:$H$766),"")</f>
        <v/>
      </c>
      <c r="I1552" s="16">
        <f>IF(H1552&lt;&gt;"",LOOKUP(2,1/('Weekly Tracker'!$E$2:$E$766=$A1552)/('Weekly Tracker'!$H$2:$H$766&lt;&gt;""),'Weekly Tracker'!$I$2:$I$766),"")</f>
        <v/>
      </c>
      <c r="J1552" s="9">
        <f>IFERROR(LOOKUP(2,1/('Weekly Tracker'!$E$2:$E$766=$A1552)/('Weekly Tracker'!$J$2:$J$766&lt;&gt;""),'Weekly Tracker'!$J$2:$J$766),"")</f>
        <v/>
      </c>
      <c r="K1552" s="9">
        <f>IFERROR(LOOKUP(2,1/('Weekly Tracker'!$E$2:$E$766=$A1552)/('Weekly Tracker'!$N$2:$N$766&lt;&gt;""),'Weekly Tracker'!$N$2:$N$766),"")</f>
        <v/>
      </c>
      <c r="L1552" s="9">
        <f>IFERROR(LOOKUP(2,1/('Weekly Tracker'!$E$2:$E$766=$A1552)/('Weekly Tracker'!$O$2:$O$766&lt;&gt;""),'Weekly Tracker'!$O$2:$O$766),"")</f>
        <v/>
      </c>
    </row>
    <row r="1553">
      <c r="A1553" s="9" t="inlineStr">
        <is>
          <t>Kathir Wipro</t>
        </is>
      </c>
      <c r="B1553" s="9" t="inlineStr">
        <is>
          <t>8838199281</t>
        </is>
      </c>
      <c r="C1553" s="9" t="n"/>
      <c r="D1553" s="9" t="n"/>
      <c r="E1553" s="9" t="n"/>
      <c r="F1553" s="9">
        <f>IFERROR(LOOKUP(2,1/('Weekly Tracker'!$E$2:$E$766=$A1553)/('Weekly Tracker'!$F$2:$F$766&lt;&gt;""),'Weekly Tracker'!$F$2:$F$766),"")</f>
        <v/>
      </c>
      <c r="G1553" s="16">
        <f>IF(F1553&lt;&gt;"",LOOKUP(2,1/('Weekly Tracker'!$E$2:$E$766=$A1553)/('Weekly Tracker'!$F$2:$F$766&lt;&gt;""),'Weekly Tracker'!$G$2:$G$766),"")</f>
        <v/>
      </c>
      <c r="H1553" s="9">
        <f>IFERROR(LOOKUP(2,1/('Weekly Tracker'!$E$2:$E$766=$A1553)/('Weekly Tracker'!$H$2:$H$766&lt;&gt;""),'Weekly Tracker'!$H$2:$H$766),"")</f>
        <v/>
      </c>
      <c r="I1553" s="16">
        <f>IF(H1553&lt;&gt;"",LOOKUP(2,1/('Weekly Tracker'!$E$2:$E$766=$A1553)/('Weekly Tracker'!$H$2:$H$766&lt;&gt;""),'Weekly Tracker'!$I$2:$I$766),"")</f>
        <v/>
      </c>
      <c r="J1553" s="9">
        <f>IFERROR(LOOKUP(2,1/('Weekly Tracker'!$E$2:$E$766=$A1553)/('Weekly Tracker'!$J$2:$J$766&lt;&gt;""),'Weekly Tracker'!$J$2:$J$766),"")</f>
        <v/>
      </c>
      <c r="K1553" s="9">
        <f>IFERROR(LOOKUP(2,1/('Weekly Tracker'!$E$2:$E$766=$A1553)/('Weekly Tracker'!$N$2:$N$766&lt;&gt;""),'Weekly Tracker'!$N$2:$N$766),"")</f>
        <v/>
      </c>
      <c r="L1553" s="9">
        <f>IFERROR(LOOKUP(2,1/('Weekly Tracker'!$E$2:$E$766=$A1553)/('Weekly Tracker'!$O$2:$O$766&lt;&gt;""),'Weekly Tracker'!$O$2:$O$766),"")</f>
        <v/>
      </c>
    </row>
    <row r="1554">
      <c r="A1554" s="9" t="inlineStr">
        <is>
          <t>Vijay-FordEx HCL</t>
        </is>
      </c>
      <c r="B1554" s="9" t="inlineStr">
        <is>
          <t>919840242841</t>
        </is>
      </c>
      <c r="C1554" s="9" t="n"/>
      <c r="D1554" s="9" t="n"/>
      <c r="E1554" s="9" t="n"/>
      <c r="F1554" s="9">
        <f>IFERROR(LOOKUP(2,1/('Weekly Tracker'!$E$2:$E$766=$A1554)/('Weekly Tracker'!$F$2:$F$766&lt;&gt;""),'Weekly Tracker'!$F$2:$F$766),"")</f>
        <v/>
      </c>
      <c r="G1554" s="16">
        <f>IF(F1554&lt;&gt;"",LOOKUP(2,1/('Weekly Tracker'!$E$2:$E$766=$A1554)/('Weekly Tracker'!$F$2:$F$766&lt;&gt;""),'Weekly Tracker'!$G$2:$G$766),"")</f>
        <v/>
      </c>
      <c r="H1554" s="9">
        <f>IFERROR(LOOKUP(2,1/('Weekly Tracker'!$E$2:$E$766=$A1554)/('Weekly Tracker'!$H$2:$H$766&lt;&gt;""),'Weekly Tracker'!$H$2:$H$766),"")</f>
        <v/>
      </c>
      <c r="I1554" s="16">
        <f>IF(H1554&lt;&gt;"",LOOKUP(2,1/('Weekly Tracker'!$E$2:$E$766=$A1554)/('Weekly Tracker'!$H$2:$H$766&lt;&gt;""),'Weekly Tracker'!$I$2:$I$766),"")</f>
        <v/>
      </c>
      <c r="J1554" s="9">
        <f>IFERROR(LOOKUP(2,1/('Weekly Tracker'!$E$2:$E$766=$A1554)/('Weekly Tracker'!$J$2:$J$766&lt;&gt;""),'Weekly Tracker'!$J$2:$J$766),"")</f>
        <v/>
      </c>
      <c r="K1554" s="9">
        <f>IFERROR(LOOKUP(2,1/('Weekly Tracker'!$E$2:$E$766=$A1554)/('Weekly Tracker'!$N$2:$N$766&lt;&gt;""),'Weekly Tracker'!$N$2:$N$766),"")</f>
        <v/>
      </c>
      <c r="L1554" s="9">
        <f>IFERROR(LOOKUP(2,1/('Weekly Tracker'!$E$2:$E$766=$A1554)/('Weekly Tracker'!$O$2:$O$766&lt;&gt;""),'Weekly Tracker'!$O$2:$O$766),"")</f>
        <v/>
      </c>
    </row>
    <row r="1555">
      <c r="A1555" s="9" t="inlineStr">
        <is>
          <t>Deepika Ford HCL</t>
        </is>
      </c>
      <c r="B1555" s="9" t="inlineStr">
        <is>
          <t>919912099577</t>
        </is>
      </c>
      <c r="C1555" s="9" t="n"/>
      <c r="D1555" s="9" t="n"/>
      <c r="E1555" s="9" t="n"/>
      <c r="F1555" s="9">
        <f>IFERROR(LOOKUP(2,1/('Weekly Tracker'!$E$2:$E$766=$A1555)/('Weekly Tracker'!$F$2:$F$766&lt;&gt;""),'Weekly Tracker'!$F$2:$F$766),"")</f>
        <v/>
      </c>
      <c r="G1555" s="16">
        <f>IF(F1555&lt;&gt;"",LOOKUP(2,1/('Weekly Tracker'!$E$2:$E$766=$A1555)/('Weekly Tracker'!$F$2:$F$766&lt;&gt;""),'Weekly Tracker'!$G$2:$G$766),"")</f>
        <v/>
      </c>
      <c r="H1555" s="9">
        <f>IFERROR(LOOKUP(2,1/('Weekly Tracker'!$E$2:$E$766=$A1555)/('Weekly Tracker'!$H$2:$H$766&lt;&gt;""),'Weekly Tracker'!$H$2:$H$766),"")</f>
        <v/>
      </c>
      <c r="I1555" s="16">
        <f>IF(H1555&lt;&gt;"",LOOKUP(2,1/('Weekly Tracker'!$E$2:$E$766=$A1555)/('Weekly Tracker'!$H$2:$H$766&lt;&gt;""),'Weekly Tracker'!$I$2:$I$766),"")</f>
        <v/>
      </c>
      <c r="J1555" s="9">
        <f>IFERROR(LOOKUP(2,1/('Weekly Tracker'!$E$2:$E$766=$A1555)/('Weekly Tracker'!$J$2:$J$766&lt;&gt;""),'Weekly Tracker'!$J$2:$J$766),"")</f>
        <v/>
      </c>
      <c r="K1555" s="9">
        <f>IFERROR(LOOKUP(2,1/('Weekly Tracker'!$E$2:$E$766=$A1555)/('Weekly Tracker'!$N$2:$N$766&lt;&gt;""),'Weekly Tracker'!$N$2:$N$766),"")</f>
        <v/>
      </c>
      <c r="L1555" s="9">
        <f>IFERROR(LOOKUP(2,1/('Weekly Tracker'!$E$2:$E$766=$A1555)/('Weekly Tracker'!$O$2:$O$766&lt;&gt;""),'Weekly Tracker'!$O$2:$O$766),"")</f>
        <v/>
      </c>
    </row>
    <row r="1556">
      <c r="A1556" s="9" t="inlineStr">
        <is>
          <t>Allan Laptop HCL</t>
        </is>
      </c>
      <c r="B1556" s="9" t="inlineStr">
        <is>
          <t>917904707875</t>
        </is>
      </c>
      <c r="C1556" s="9" t="n"/>
      <c r="D1556" s="9" t="n"/>
      <c r="E1556" s="9" t="n"/>
      <c r="F1556" s="9">
        <f>IFERROR(LOOKUP(2,1/('Weekly Tracker'!$E$2:$E$766=$A1556)/('Weekly Tracker'!$F$2:$F$766&lt;&gt;""),'Weekly Tracker'!$F$2:$F$766),"")</f>
        <v/>
      </c>
      <c r="G1556" s="16">
        <f>IF(F1556&lt;&gt;"",LOOKUP(2,1/('Weekly Tracker'!$E$2:$E$766=$A1556)/('Weekly Tracker'!$F$2:$F$766&lt;&gt;""),'Weekly Tracker'!$G$2:$G$766),"")</f>
        <v/>
      </c>
      <c r="H1556" s="9">
        <f>IFERROR(LOOKUP(2,1/('Weekly Tracker'!$E$2:$E$766=$A1556)/('Weekly Tracker'!$H$2:$H$766&lt;&gt;""),'Weekly Tracker'!$H$2:$H$766),"")</f>
        <v/>
      </c>
      <c r="I1556" s="16">
        <f>IF(H1556&lt;&gt;"",LOOKUP(2,1/('Weekly Tracker'!$E$2:$E$766=$A1556)/('Weekly Tracker'!$H$2:$H$766&lt;&gt;""),'Weekly Tracker'!$I$2:$I$766),"")</f>
        <v/>
      </c>
      <c r="J1556" s="9">
        <f>IFERROR(LOOKUP(2,1/('Weekly Tracker'!$E$2:$E$766=$A1556)/('Weekly Tracker'!$J$2:$J$766&lt;&gt;""),'Weekly Tracker'!$J$2:$J$766),"")</f>
        <v/>
      </c>
      <c r="K1556" s="9">
        <f>IFERROR(LOOKUP(2,1/('Weekly Tracker'!$E$2:$E$766=$A1556)/('Weekly Tracker'!$N$2:$N$766&lt;&gt;""),'Weekly Tracker'!$N$2:$N$766),"")</f>
        <v/>
      </c>
      <c r="L1556" s="9">
        <f>IFERROR(LOOKUP(2,1/('Weekly Tracker'!$E$2:$E$766=$A1556)/('Weekly Tracker'!$O$2:$O$766&lt;&gt;""),'Weekly Tracker'!$O$2:$O$766),"")</f>
        <v/>
      </c>
    </row>
    <row r="1557">
      <c r="A1557" s="9" t="inlineStr">
        <is>
          <t>Sankar sankar Insta</t>
        </is>
      </c>
      <c r="B1557" s="9" t="inlineStr">
        <is>
          <t>84381 15020</t>
        </is>
      </c>
      <c r="C1557" s="9" t="n"/>
      <c r="D1557" s="9" t="n"/>
      <c r="E1557" s="9" t="n"/>
      <c r="F1557" s="9">
        <f>IFERROR(LOOKUP(2,1/('Weekly Tracker'!$E$2:$E$766=$A1557)/('Weekly Tracker'!$F$2:$F$766&lt;&gt;""),'Weekly Tracker'!$F$2:$F$766),"")</f>
        <v/>
      </c>
      <c r="G1557" s="16">
        <f>IF(F1557&lt;&gt;"",LOOKUP(2,1/('Weekly Tracker'!$E$2:$E$766=$A1557)/('Weekly Tracker'!$F$2:$F$766&lt;&gt;""),'Weekly Tracker'!$G$2:$G$766),"")</f>
        <v/>
      </c>
      <c r="H1557" s="9">
        <f>IFERROR(LOOKUP(2,1/('Weekly Tracker'!$E$2:$E$766=$A1557)/('Weekly Tracker'!$H$2:$H$766&lt;&gt;""),'Weekly Tracker'!$H$2:$H$766),"")</f>
        <v/>
      </c>
      <c r="I1557" s="16">
        <f>IF(H1557&lt;&gt;"",LOOKUP(2,1/('Weekly Tracker'!$E$2:$E$766=$A1557)/('Weekly Tracker'!$H$2:$H$766&lt;&gt;""),'Weekly Tracker'!$I$2:$I$766),"")</f>
        <v/>
      </c>
      <c r="J1557" s="9">
        <f>IFERROR(LOOKUP(2,1/('Weekly Tracker'!$E$2:$E$766=$A1557)/('Weekly Tracker'!$J$2:$J$766&lt;&gt;""),'Weekly Tracker'!$J$2:$J$766),"")</f>
        <v/>
      </c>
      <c r="K1557" s="9">
        <f>IFERROR(LOOKUP(2,1/('Weekly Tracker'!$E$2:$E$766=$A1557)/('Weekly Tracker'!$N$2:$N$766&lt;&gt;""),'Weekly Tracker'!$N$2:$N$766),"")</f>
        <v/>
      </c>
      <c r="L1557" s="9">
        <f>IFERROR(LOOKUP(2,1/('Weekly Tracker'!$E$2:$E$766=$A1557)/('Weekly Tracker'!$O$2:$O$766&lt;&gt;""),'Weekly Tracker'!$O$2:$O$766),"")</f>
        <v/>
      </c>
    </row>
    <row r="1558">
      <c r="A1558" s="9" t="inlineStr">
        <is>
          <t>Kirthivasan Murugan HCL</t>
        </is>
      </c>
      <c r="B1558" s="9" t="inlineStr">
        <is>
          <t>9962851493</t>
        </is>
      </c>
      <c r="C1558" s="9" t="n"/>
      <c r="D1558" s="9" t="n"/>
      <c r="E1558" s="9" t="n"/>
      <c r="F1558" s="9">
        <f>IFERROR(LOOKUP(2,1/('Weekly Tracker'!$E$2:$E$766=$A1558)/('Weekly Tracker'!$F$2:$F$766&lt;&gt;""),'Weekly Tracker'!$F$2:$F$766),"")</f>
        <v/>
      </c>
      <c r="G1558" s="16">
        <f>IF(F1558&lt;&gt;"",LOOKUP(2,1/('Weekly Tracker'!$E$2:$E$766=$A1558)/('Weekly Tracker'!$F$2:$F$766&lt;&gt;""),'Weekly Tracker'!$G$2:$G$766),"")</f>
        <v/>
      </c>
      <c r="H1558" s="9">
        <f>IFERROR(LOOKUP(2,1/('Weekly Tracker'!$E$2:$E$766=$A1558)/('Weekly Tracker'!$H$2:$H$766&lt;&gt;""),'Weekly Tracker'!$H$2:$H$766),"")</f>
        <v/>
      </c>
      <c r="I1558" s="16">
        <f>IF(H1558&lt;&gt;"",LOOKUP(2,1/('Weekly Tracker'!$E$2:$E$766=$A1558)/('Weekly Tracker'!$H$2:$H$766&lt;&gt;""),'Weekly Tracker'!$I$2:$I$766),"")</f>
        <v/>
      </c>
      <c r="J1558" s="9">
        <f>IFERROR(LOOKUP(2,1/('Weekly Tracker'!$E$2:$E$766=$A1558)/('Weekly Tracker'!$J$2:$J$766&lt;&gt;""),'Weekly Tracker'!$J$2:$J$766),"")</f>
        <v/>
      </c>
      <c r="K1558" s="9">
        <f>IFERROR(LOOKUP(2,1/('Weekly Tracker'!$E$2:$E$766=$A1558)/('Weekly Tracker'!$N$2:$N$766&lt;&gt;""),'Weekly Tracker'!$N$2:$N$766),"")</f>
        <v/>
      </c>
      <c r="L1558" s="9">
        <f>IFERROR(LOOKUP(2,1/('Weekly Tracker'!$E$2:$E$766=$A1558)/('Weekly Tracker'!$O$2:$O$766&lt;&gt;""),'Weekly Tracker'!$O$2:$O$766),"")</f>
        <v/>
      </c>
    </row>
    <row r="1559">
      <c r="A1559" s="9" t="inlineStr">
        <is>
          <t>Srinivasulu HCL</t>
        </is>
      </c>
      <c r="B1559" s="9" t="inlineStr">
        <is>
          <t>919840565798</t>
        </is>
      </c>
      <c r="C1559" s="9" t="n"/>
      <c r="D1559" s="9" t="n"/>
      <c r="E1559" s="9" t="n"/>
      <c r="F1559" s="9">
        <f>IFERROR(LOOKUP(2,1/('Weekly Tracker'!$E$2:$E$766=$A1559)/('Weekly Tracker'!$F$2:$F$766&lt;&gt;""),'Weekly Tracker'!$F$2:$F$766),"")</f>
        <v/>
      </c>
      <c r="G1559" s="16">
        <f>IF(F1559&lt;&gt;"",LOOKUP(2,1/('Weekly Tracker'!$E$2:$E$766=$A1559)/('Weekly Tracker'!$F$2:$F$766&lt;&gt;""),'Weekly Tracker'!$G$2:$G$766),"")</f>
        <v/>
      </c>
      <c r="H1559" s="9">
        <f>IFERROR(LOOKUP(2,1/('Weekly Tracker'!$E$2:$E$766=$A1559)/('Weekly Tracker'!$H$2:$H$766&lt;&gt;""),'Weekly Tracker'!$H$2:$H$766),"")</f>
        <v/>
      </c>
      <c r="I1559" s="16">
        <f>IF(H1559&lt;&gt;"",LOOKUP(2,1/('Weekly Tracker'!$E$2:$E$766=$A1559)/('Weekly Tracker'!$H$2:$H$766&lt;&gt;""),'Weekly Tracker'!$I$2:$I$766),"")</f>
        <v/>
      </c>
      <c r="J1559" s="9">
        <f>IFERROR(LOOKUP(2,1/('Weekly Tracker'!$E$2:$E$766=$A1559)/('Weekly Tracker'!$J$2:$J$766&lt;&gt;""),'Weekly Tracker'!$J$2:$J$766),"")</f>
        <v/>
      </c>
      <c r="K1559" s="9">
        <f>IFERROR(LOOKUP(2,1/('Weekly Tracker'!$E$2:$E$766=$A1559)/('Weekly Tracker'!$N$2:$N$766&lt;&gt;""),'Weekly Tracker'!$N$2:$N$766),"")</f>
        <v/>
      </c>
      <c r="L1559" s="9">
        <f>IFERROR(LOOKUP(2,1/('Weekly Tracker'!$E$2:$E$766=$A1559)/('Weekly Tracker'!$O$2:$O$766&lt;&gt;""),'Weekly Tracker'!$O$2:$O$766),"")</f>
        <v/>
      </c>
    </row>
    <row r="1560">
      <c r="A1560" s="9" t="inlineStr">
        <is>
          <t>Prakash ips FB</t>
        </is>
      </c>
      <c r="B1560" s="9" t="inlineStr">
        <is>
          <t>8675230072</t>
        </is>
      </c>
      <c r="C1560" s="9" t="n"/>
      <c r="D1560" s="9" t="n"/>
      <c r="E1560" s="9" t="n"/>
      <c r="F1560" s="9">
        <f>IFERROR(LOOKUP(2,1/('Weekly Tracker'!$E$2:$E$766=$A1560)/('Weekly Tracker'!$F$2:$F$766&lt;&gt;""),'Weekly Tracker'!$F$2:$F$766),"")</f>
        <v/>
      </c>
      <c r="G1560" s="16">
        <f>IF(F1560&lt;&gt;"",LOOKUP(2,1/('Weekly Tracker'!$E$2:$E$766=$A1560)/('Weekly Tracker'!$F$2:$F$766&lt;&gt;""),'Weekly Tracker'!$G$2:$G$766),"")</f>
        <v/>
      </c>
      <c r="H1560" s="9">
        <f>IFERROR(LOOKUP(2,1/('Weekly Tracker'!$E$2:$E$766=$A1560)/('Weekly Tracker'!$H$2:$H$766&lt;&gt;""),'Weekly Tracker'!$H$2:$H$766),"")</f>
        <v/>
      </c>
      <c r="I1560" s="16">
        <f>IF(H1560&lt;&gt;"",LOOKUP(2,1/('Weekly Tracker'!$E$2:$E$766=$A1560)/('Weekly Tracker'!$H$2:$H$766&lt;&gt;""),'Weekly Tracker'!$I$2:$I$766),"")</f>
        <v/>
      </c>
      <c r="J1560" s="9">
        <f>IFERROR(LOOKUP(2,1/('Weekly Tracker'!$E$2:$E$766=$A1560)/('Weekly Tracker'!$J$2:$J$766&lt;&gt;""),'Weekly Tracker'!$J$2:$J$766),"")</f>
        <v/>
      </c>
      <c r="K1560" s="9">
        <f>IFERROR(LOOKUP(2,1/('Weekly Tracker'!$E$2:$E$766=$A1560)/('Weekly Tracker'!$N$2:$N$766&lt;&gt;""),'Weekly Tracker'!$N$2:$N$766),"")</f>
        <v/>
      </c>
      <c r="L1560" s="9">
        <f>IFERROR(LOOKUP(2,1/('Weekly Tracker'!$E$2:$E$766=$A1560)/('Weekly Tracker'!$O$2:$O$766&lt;&gt;""),'Weekly Tracker'!$O$2:$O$766),"")</f>
        <v/>
      </c>
    </row>
    <row r="1561">
      <c r="A1561" s="9" t="inlineStr">
        <is>
          <t>Kavitha HCL</t>
        </is>
      </c>
      <c r="B1561" s="9" t="inlineStr">
        <is>
          <t>917530017274</t>
        </is>
      </c>
      <c r="C1561" s="9" t="n"/>
      <c r="D1561" s="9" t="n"/>
      <c r="E1561" s="9" t="n"/>
      <c r="F1561" s="9">
        <f>IFERROR(LOOKUP(2,1/('Weekly Tracker'!$E$2:$E$766=$A1561)/('Weekly Tracker'!$F$2:$F$766&lt;&gt;""),'Weekly Tracker'!$F$2:$F$766),"")</f>
        <v/>
      </c>
      <c r="G1561" s="16">
        <f>IF(F1561&lt;&gt;"",LOOKUP(2,1/('Weekly Tracker'!$E$2:$E$766=$A1561)/('Weekly Tracker'!$F$2:$F$766&lt;&gt;""),'Weekly Tracker'!$G$2:$G$766),"")</f>
        <v/>
      </c>
      <c r="H1561" s="9">
        <f>IFERROR(LOOKUP(2,1/('Weekly Tracker'!$E$2:$E$766=$A1561)/('Weekly Tracker'!$H$2:$H$766&lt;&gt;""),'Weekly Tracker'!$H$2:$H$766),"")</f>
        <v/>
      </c>
      <c r="I1561" s="16">
        <f>IF(H1561&lt;&gt;"",LOOKUP(2,1/('Weekly Tracker'!$E$2:$E$766=$A1561)/('Weekly Tracker'!$H$2:$H$766&lt;&gt;""),'Weekly Tracker'!$I$2:$I$766),"")</f>
        <v/>
      </c>
      <c r="J1561" s="9">
        <f>IFERROR(LOOKUP(2,1/('Weekly Tracker'!$E$2:$E$766=$A1561)/('Weekly Tracker'!$J$2:$J$766&lt;&gt;""),'Weekly Tracker'!$J$2:$J$766),"")</f>
        <v/>
      </c>
      <c r="K1561" s="9">
        <f>IFERROR(LOOKUP(2,1/('Weekly Tracker'!$E$2:$E$766=$A1561)/('Weekly Tracker'!$N$2:$N$766&lt;&gt;""),'Weekly Tracker'!$N$2:$N$766),"")</f>
        <v/>
      </c>
      <c r="L1561" s="9">
        <f>IFERROR(LOOKUP(2,1/('Weekly Tracker'!$E$2:$E$766=$A1561)/('Weekly Tracker'!$O$2:$O$766&lt;&gt;""),'Weekly Tracker'!$O$2:$O$766),"")</f>
        <v/>
      </c>
    </row>
    <row r="1562">
      <c r="A1562" s="9" t="inlineStr">
        <is>
          <t>VenkadeshaPerumal VP</t>
        </is>
      </c>
      <c r="B1562" s="9" t="n"/>
      <c r="C1562" s="9" t="n"/>
      <c r="D1562" s="9" t="n"/>
      <c r="E1562" s="9" t="n"/>
      <c r="F1562" s="9">
        <f>IFERROR(LOOKUP(2,1/('Weekly Tracker'!$E$2:$E$766=$A1562)/('Weekly Tracker'!$F$2:$F$766&lt;&gt;""),'Weekly Tracker'!$F$2:$F$766),"")</f>
        <v/>
      </c>
      <c r="G1562" s="16">
        <f>IF(F1562&lt;&gt;"",LOOKUP(2,1/('Weekly Tracker'!$E$2:$E$766=$A1562)/('Weekly Tracker'!$F$2:$F$766&lt;&gt;""),'Weekly Tracker'!$G$2:$G$766),"")</f>
        <v/>
      </c>
      <c r="H1562" s="9">
        <f>IFERROR(LOOKUP(2,1/('Weekly Tracker'!$E$2:$E$766=$A1562)/('Weekly Tracker'!$H$2:$H$766&lt;&gt;""),'Weekly Tracker'!$H$2:$H$766),"")</f>
        <v/>
      </c>
      <c r="I1562" s="16">
        <f>IF(H1562&lt;&gt;"",LOOKUP(2,1/('Weekly Tracker'!$E$2:$E$766=$A1562)/('Weekly Tracker'!$H$2:$H$766&lt;&gt;""),'Weekly Tracker'!$I$2:$I$766),"")</f>
        <v/>
      </c>
      <c r="J1562" s="9">
        <f>IFERROR(LOOKUP(2,1/('Weekly Tracker'!$E$2:$E$766=$A1562)/('Weekly Tracker'!$J$2:$J$766&lt;&gt;""),'Weekly Tracker'!$J$2:$J$766),"")</f>
        <v/>
      </c>
      <c r="K1562" s="9">
        <f>IFERROR(LOOKUP(2,1/('Weekly Tracker'!$E$2:$E$766=$A1562)/('Weekly Tracker'!$N$2:$N$766&lt;&gt;""),'Weekly Tracker'!$N$2:$N$766),"")</f>
        <v/>
      </c>
      <c r="L1562" s="9">
        <f>IFERROR(LOOKUP(2,1/('Weekly Tracker'!$E$2:$E$766=$A1562)/('Weekly Tracker'!$O$2:$O$766&lt;&gt;""),'Weekly Tracker'!$O$2:$O$766),"")</f>
        <v/>
      </c>
    </row>
    <row r="1563">
      <c r="A1563" s="9" t="inlineStr">
        <is>
          <t>Ram Karthik</t>
        </is>
      </c>
      <c r="B1563" s="9" t="n"/>
      <c r="C1563" s="9" t="n"/>
      <c r="D1563" s="9" t="n"/>
      <c r="E1563" s="9" t="n"/>
      <c r="F1563" s="9">
        <f>IFERROR(LOOKUP(2,1/('Weekly Tracker'!$E$2:$E$766=$A1563)/('Weekly Tracker'!$F$2:$F$766&lt;&gt;""),'Weekly Tracker'!$F$2:$F$766),"")</f>
        <v/>
      </c>
      <c r="G1563" s="16">
        <f>IF(F1563&lt;&gt;"",LOOKUP(2,1/('Weekly Tracker'!$E$2:$E$766=$A1563)/('Weekly Tracker'!$F$2:$F$766&lt;&gt;""),'Weekly Tracker'!$G$2:$G$766),"")</f>
        <v/>
      </c>
      <c r="H1563" s="9">
        <f>IFERROR(LOOKUP(2,1/('Weekly Tracker'!$E$2:$E$766=$A1563)/('Weekly Tracker'!$H$2:$H$766&lt;&gt;""),'Weekly Tracker'!$H$2:$H$766),"")</f>
        <v/>
      </c>
      <c r="I1563" s="16">
        <f>IF(H1563&lt;&gt;"",LOOKUP(2,1/('Weekly Tracker'!$E$2:$E$766=$A1563)/('Weekly Tracker'!$H$2:$H$766&lt;&gt;""),'Weekly Tracker'!$I$2:$I$766),"")</f>
        <v/>
      </c>
      <c r="J1563" s="9">
        <f>IFERROR(LOOKUP(2,1/('Weekly Tracker'!$E$2:$E$766=$A1563)/('Weekly Tracker'!$J$2:$J$766&lt;&gt;""),'Weekly Tracker'!$J$2:$J$766),"")</f>
        <v/>
      </c>
      <c r="K1563" s="9">
        <f>IFERROR(LOOKUP(2,1/('Weekly Tracker'!$E$2:$E$766=$A1563)/('Weekly Tracker'!$N$2:$N$766&lt;&gt;""),'Weekly Tracker'!$N$2:$N$766),"")</f>
        <v/>
      </c>
      <c r="L1563" s="9">
        <f>IFERROR(LOOKUP(2,1/('Weekly Tracker'!$E$2:$E$766=$A1563)/('Weekly Tracker'!$O$2:$O$766&lt;&gt;""),'Weekly Tracker'!$O$2:$O$766),"")</f>
        <v/>
      </c>
    </row>
    <row r="1564">
      <c r="A1564" s="9" t="inlineStr">
        <is>
          <t>Ram karthick</t>
        </is>
      </c>
      <c r="B1564" s="9" t="inlineStr">
        <is>
          <t>8248755723</t>
        </is>
      </c>
      <c r="C1564" s="9" t="n"/>
      <c r="D1564" s="9" t="n"/>
      <c r="E1564" s="9" t="n"/>
      <c r="F1564" s="9">
        <f>IFERROR(LOOKUP(2,1/('Weekly Tracker'!$E$2:$E$766=$A1564)/('Weekly Tracker'!$F$2:$F$766&lt;&gt;""),'Weekly Tracker'!$F$2:$F$766),"")</f>
        <v/>
      </c>
      <c r="G1564" s="16">
        <f>IF(F1564&lt;&gt;"",LOOKUP(2,1/('Weekly Tracker'!$E$2:$E$766=$A1564)/('Weekly Tracker'!$F$2:$F$766&lt;&gt;""),'Weekly Tracker'!$G$2:$G$766),"")</f>
        <v/>
      </c>
      <c r="H1564" s="9">
        <f>IFERROR(LOOKUP(2,1/('Weekly Tracker'!$E$2:$E$766=$A1564)/('Weekly Tracker'!$H$2:$H$766&lt;&gt;""),'Weekly Tracker'!$H$2:$H$766),"")</f>
        <v/>
      </c>
      <c r="I1564" s="16">
        <f>IF(H1564&lt;&gt;"",LOOKUP(2,1/('Weekly Tracker'!$E$2:$E$766=$A1564)/('Weekly Tracker'!$H$2:$H$766&lt;&gt;""),'Weekly Tracker'!$I$2:$I$766),"")</f>
        <v/>
      </c>
      <c r="J1564" s="9">
        <f>IFERROR(LOOKUP(2,1/('Weekly Tracker'!$E$2:$E$766=$A1564)/('Weekly Tracker'!$J$2:$J$766&lt;&gt;""),'Weekly Tracker'!$J$2:$J$766),"")</f>
        <v/>
      </c>
      <c r="K1564" s="9">
        <f>IFERROR(LOOKUP(2,1/('Weekly Tracker'!$E$2:$E$766=$A1564)/('Weekly Tracker'!$N$2:$N$766&lt;&gt;""),'Weekly Tracker'!$N$2:$N$766),"")</f>
        <v/>
      </c>
      <c r="L1564" s="9">
        <f>IFERROR(LOOKUP(2,1/('Weekly Tracker'!$E$2:$E$766=$A1564)/('Weekly Tracker'!$O$2:$O$766&lt;&gt;""),'Weekly Tracker'!$O$2:$O$766),"")</f>
        <v/>
      </c>
    </row>
    <row r="1565">
      <c r="A1565" s="9" t="inlineStr">
        <is>
          <t>Bala Murugan Comcast IV</t>
        </is>
      </c>
      <c r="B1565" s="9" t="inlineStr">
        <is>
          <t>919944477678</t>
        </is>
      </c>
      <c r="C1565" s="9" t="n"/>
      <c r="D1565" s="9" t="n"/>
      <c r="E1565" s="9" t="n"/>
      <c r="F1565" s="9">
        <f>IFERROR(LOOKUP(2,1/('Weekly Tracker'!$E$2:$E$766=$A1565)/('Weekly Tracker'!$F$2:$F$766&lt;&gt;""),'Weekly Tracker'!$F$2:$F$766),"")</f>
        <v/>
      </c>
      <c r="G1565" s="16">
        <f>IF(F1565&lt;&gt;"",LOOKUP(2,1/('Weekly Tracker'!$E$2:$E$766=$A1565)/('Weekly Tracker'!$F$2:$F$766&lt;&gt;""),'Weekly Tracker'!$G$2:$G$766),"")</f>
        <v/>
      </c>
      <c r="H1565" s="9">
        <f>IFERROR(LOOKUP(2,1/('Weekly Tracker'!$E$2:$E$766=$A1565)/('Weekly Tracker'!$H$2:$H$766&lt;&gt;""),'Weekly Tracker'!$H$2:$H$766),"")</f>
        <v/>
      </c>
      <c r="I1565" s="16">
        <f>IF(H1565&lt;&gt;"",LOOKUP(2,1/('Weekly Tracker'!$E$2:$E$766=$A1565)/('Weekly Tracker'!$H$2:$H$766&lt;&gt;""),'Weekly Tracker'!$I$2:$I$766),"")</f>
        <v/>
      </c>
      <c r="J1565" s="9">
        <f>IFERROR(LOOKUP(2,1/('Weekly Tracker'!$E$2:$E$766=$A1565)/('Weekly Tracker'!$J$2:$J$766&lt;&gt;""),'Weekly Tracker'!$J$2:$J$766),"")</f>
        <v/>
      </c>
      <c r="K1565" s="9">
        <f>IFERROR(LOOKUP(2,1/('Weekly Tracker'!$E$2:$E$766=$A1565)/('Weekly Tracker'!$N$2:$N$766&lt;&gt;""),'Weekly Tracker'!$N$2:$N$766),"")</f>
        <v/>
      </c>
      <c r="L1565" s="9">
        <f>IFERROR(LOOKUP(2,1/('Weekly Tracker'!$E$2:$E$766=$A1565)/('Weekly Tracker'!$O$2:$O$766&lt;&gt;""),'Weekly Tracker'!$O$2:$O$766),"")</f>
        <v/>
      </c>
    </row>
    <row r="1566">
      <c r="A1566" s="9" t="inlineStr">
        <is>
          <t>Brindha Sree Expcerditors</t>
        </is>
      </c>
      <c r="B1566" s="9" t="inlineStr">
        <is>
          <t>917338999411</t>
        </is>
      </c>
      <c r="C1566" s="9" t="n"/>
      <c r="D1566" s="9" t="n"/>
      <c r="E1566" s="9" t="n"/>
      <c r="F1566" s="9">
        <f>IFERROR(LOOKUP(2,1/('Weekly Tracker'!$E$2:$E$766=$A1566)/('Weekly Tracker'!$F$2:$F$766&lt;&gt;""),'Weekly Tracker'!$F$2:$F$766),"")</f>
        <v/>
      </c>
      <c r="G1566" s="16">
        <f>IF(F1566&lt;&gt;"",LOOKUP(2,1/('Weekly Tracker'!$E$2:$E$766=$A1566)/('Weekly Tracker'!$F$2:$F$766&lt;&gt;""),'Weekly Tracker'!$G$2:$G$766),"")</f>
        <v/>
      </c>
      <c r="H1566" s="9">
        <f>IFERROR(LOOKUP(2,1/('Weekly Tracker'!$E$2:$E$766=$A1566)/('Weekly Tracker'!$H$2:$H$766&lt;&gt;""),'Weekly Tracker'!$H$2:$H$766),"")</f>
        <v/>
      </c>
      <c r="I1566" s="16">
        <f>IF(H1566&lt;&gt;"",LOOKUP(2,1/('Weekly Tracker'!$E$2:$E$766=$A1566)/('Weekly Tracker'!$H$2:$H$766&lt;&gt;""),'Weekly Tracker'!$I$2:$I$766),"")</f>
        <v/>
      </c>
      <c r="J1566" s="9">
        <f>IFERROR(LOOKUP(2,1/('Weekly Tracker'!$E$2:$E$766=$A1566)/('Weekly Tracker'!$J$2:$J$766&lt;&gt;""),'Weekly Tracker'!$J$2:$J$766),"")</f>
        <v/>
      </c>
      <c r="K1566" s="9">
        <f>IFERROR(LOOKUP(2,1/('Weekly Tracker'!$E$2:$E$766=$A1566)/('Weekly Tracker'!$N$2:$N$766&lt;&gt;""),'Weekly Tracker'!$N$2:$N$766),"")</f>
        <v/>
      </c>
      <c r="L1566" s="9">
        <f>IFERROR(LOOKUP(2,1/('Weekly Tracker'!$E$2:$E$766=$A1566)/('Weekly Tracker'!$O$2:$O$766&lt;&gt;""),'Weekly Tracker'!$O$2:$O$766),"")</f>
        <v/>
      </c>
    </row>
    <row r="1567">
      <c r="A1567" s="9" t="inlineStr">
        <is>
          <t>Vigneshwaran K FB</t>
        </is>
      </c>
      <c r="B1567" s="9" t="inlineStr">
        <is>
          <t>90436 41521</t>
        </is>
      </c>
      <c r="C1567" s="9" t="n"/>
      <c r="D1567" s="9" t="n"/>
      <c r="E1567" s="9" t="n"/>
      <c r="F1567" s="9">
        <f>IFERROR(LOOKUP(2,1/('Weekly Tracker'!$E$2:$E$766=$A1567)/('Weekly Tracker'!$F$2:$F$766&lt;&gt;""),'Weekly Tracker'!$F$2:$F$766),"")</f>
        <v/>
      </c>
      <c r="G1567" s="16">
        <f>IF(F1567&lt;&gt;"",LOOKUP(2,1/('Weekly Tracker'!$E$2:$E$766=$A1567)/('Weekly Tracker'!$F$2:$F$766&lt;&gt;""),'Weekly Tracker'!$G$2:$G$766),"")</f>
        <v/>
      </c>
      <c r="H1567" s="9">
        <f>IFERROR(LOOKUP(2,1/('Weekly Tracker'!$E$2:$E$766=$A1567)/('Weekly Tracker'!$H$2:$H$766&lt;&gt;""),'Weekly Tracker'!$H$2:$H$766),"")</f>
        <v/>
      </c>
      <c r="I1567" s="16">
        <f>IF(H1567&lt;&gt;"",LOOKUP(2,1/('Weekly Tracker'!$E$2:$E$766=$A1567)/('Weekly Tracker'!$H$2:$H$766&lt;&gt;""),'Weekly Tracker'!$I$2:$I$766),"")</f>
        <v/>
      </c>
      <c r="J1567" s="9">
        <f>IFERROR(LOOKUP(2,1/('Weekly Tracker'!$E$2:$E$766=$A1567)/('Weekly Tracker'!$J$2:$J$766&lt;&gt;""),'Weekly Tracker'!$J$2:$J$766),"")</f>
        <v/>
      </c>
      <c r="K1567" s="9">
        <f>IFERROR(LOOKUP(2,1/('Weekly Tracker'!$E$2:$E$766=$A1567)/('Weekly Tracker'!$N$2:$N$766&lt;&gt;""),'Weekly Tracker'!$N$2:$N$766),"")</f>
        <v/>
      </c>
      <c r="L1567" s="9">
        <f>IFERROR(LOOKUP(2,1/('Weekly Tracker'!$E$2:$E$766=$A1567)/('Weekly Tracker'!$O$2:$O$766&lt;&gt;""),'Weekly Tracker'!$O$2:$O$766),"")</f>
        <v/>
      </c>
    </row>
    <row r="1568">
      <c r="A1568" s="9" t="inlineStr">
        <is>
          <t>Dileepan k Finnable</t>
        </is>
      </c>
      <c r="B1568" s="9" t="inlineStr">
        <is>
          <t>84284 22432</t>
        </is>
      </c>
      <c r="C1568" s="9" t="n"/>
      <c r="D1568" s="9" t="n"/>
      <c r="E1568" s="9" t="n"/>
      <c r="F1568" s="9">
        <f>IFERROR(LOOKUP(2,1/('Weekly Tracker'!$E$2:$E$766=$A1568)/('Weekly Tracker'!$F$2:$F$766&lt;&gt;""),'Weekly Tracker'!$F$2:$F$766),"")</f>
        <v/>
      </c>
      <c r="G1568" s="16">
        <f>IF(F1568&lt;&gt;"",LOOKUP(2,1/('Weekly Tracker'!$E$2:$E$766=$A1568)/('Weekly Tracker'!$F$2:$F$766&lt;&gt;""),'Weekly Tracker'!$G$2:$G$766),"")</f>
        <v/>
      </c>
      <c r="H1568" s="9">
        <f>IFERROR(LOOKUP(2,1/('Weekly Tracker'!$E$2:$E$766=$A1568)/('Weekly Tracker'!$H$2:$H$766&lt;&gt;""),'Weekly Tracker'!$H$2:$H$766),"")</f>
        <v/>
      </c>
      <c r="I1568" s="16">
        <f>IF(H1568&lt;&gt;"",LOOKUP(2,1/('Weekly Tracker'!$E$2:$E$766=$A1568)/('Weekly Tracker'!$H$2:$H$766&lt;&gt;""),'Weekly Tracker'!$I$2:$I$766),"")</f>
        <v/>
      </c>
      <c r="J1568" s="9">
        <f>IFERROR(LOOKUP(2,1/('Weekly Tracker'!$E$2:$E$766=$A1568)/('Weekly Tracker'!$J$2:$J$766&lt;&gt;""),'Weekly Tracker'!$J$2:$J$766),"")</f>
        <v/>
      </c>
      <c r="K1568" s="9">
        <f>IFERROR(LOOKUP(2,1/('Weekly Tracker'!$E$2:$E$766=$A1568)/('Weekly Tracker'!$N$2:$N$766&lt;&gt;""),'Weekly Tracker'!$N$2:$N$766),"")</f>
        <v/>
      </c>
      <c r="L1568" s="9">
        <f>IFERROR(LOOKUP(2,1/('Weekly Tracker'!$E$2:$E$766=$A1568)/('Weekly Tracker'!$O$2:$O$766&lt;&gt;""),'Weekly Tracker'!$O$2:$O$766),"")</f>
        <v/>
      </c>
    </row>
    <row r="1569">
      <c r="A1569" s="9" t="inlineStr">
        <is>
          <t>Abdul Razzak Hcas💡</t>
        </is>
      </c>
      <c r="B1569" s="9" t="inlineStr">
        <is>
          <t>+91 733-9639493</t>
        </is>
      </c>
      <c r="C1569" s="9" t="n"/>
      <c r="D1569" s="9" t="n"/>
      <c r="E1569" s="9" t="n"/>
      <c r="F1569" s="9">
        <f>IFERROR(LOOKUP(2,1/('Weekly Tracker'!$E$2:$E$766=$A1569)/('Weekly Tracker'!$F$2:$F$766&lt;&gt;""),'Weekly Tracker'!$F$2:$F$766),"")</f>
        <v/>
      </c>
      <c r="G1569" s="16">
        <f>IF(F1569&lt;&gt;"",LOOKUP(2,1/('Weekly Tracker'!$E$2:$E$766=$A1569)/('Weekly Tracker'!$F$2:$F$766&lt;&gt;""),'Weekly Tracker'!$G$2:$G$766),"")</f>
        <v/>
      </c>
      <c r="H1569" s="9">
        <f>IFERROR(LOOKUP(2,1/('Weekly Tracker'!$E$2:$E$766=$A1569)/('Weekly Tracker'!$H$2:$H$766&lt;&gt;""),'Weekly Tracker'!$H$2:$H$766),"")</f>
        <v/>
      </c>
      <c r="I1569" s="16">
        <f>IF(H1569&lt;&gt;"",LOOKUP(2,1/('Weekly Tracker'!$E$2:$E$766=$A1569)/('Weekly Tracker'!$H$2:$H$766&lt;&gt;""),'Weekly Tracker'!$I$2:$I$766),"")</f>
        <v/>
      </c>
      <c r="J1569" s="9">
        <f>IFERROR(LOOKUP(2,1/('Weekly Tracker'!$E$2:$E$766=$A1569)/('Weekly Tracker'!$J$2:$J$766&lt;&gt;""),'Weekly Tracker'!$J$2:$J$766),"")</f>
        <v/>
      </c>
      <c r="K1569" s="9">
        <f>IFERROR(LOOKUP(2,1/('Weekly Tracker'!$E$2:$E$766=$A1569)/('Weekly Tracker'!$N$2:$N$766&lt;&gt;""),'Weekly Tracker'!$N$2:$N$766),"")</f>
        <v/>
      </c>
      <c r="L1569" s="9">
        <f>IFERROR(LOOKUP(2,1/('Weekly Tracker'!$E$2:$E$766=$A1569)/('Weekly Tracker'!$O$2:$O$766&lt;&gt;""),'Weekly Tracker'!$O$2:$O$766),"")</f>
        <v/>
      </c>
    </row>
    <row r="1570">
      <c r="A1570" s="9" t="inlineStr">
        <is>
          <t>Santhosh Ford HCL</t>
        </is>
      </c>
      <c r="B1570" s="9" t="inlineStr">
        <is>
          <t>8220532205</t>
        </is>
      </c>
      <c r="C1570" s="9" t="n"/>
      <c r="D1570" s="9" t="n"/>
      <c r="E1570" s="9" t="n"/>
      <c r="F1570" s="9">
        <f>IFERROR(LOOKUP(2,1/('Weekly Tracker'!$E$2:$E$766=$A1570)/('Weekly Tracker'!$F$2:$F$766&lt;&gt;""),'Weekly Tracker'!$F$2:$F$766),"")</f>
        <v/>
      </c>
      <c r="G1570" s="16">
        <f>IF(F1570&lt;&gt;"",LOOKUP(2,1/('Weekly Tracker'!$E$2:$E$766=$A1570)/('Weekly Tracker'!$F$2:$F$766&lt;&gt;""),'Weekly Tracker'!$G$2:$G$766),"")</f>
        <v/>
      </c>
      <c r="H1570" s="9">
        <f>IFERROR(LOOKUP(2,1/('Weekly Tracker'!$E$2:$E$766=$A1570)/('Weekly Tracker'!$H$2:$H$766&lt;&gt;""),'Weekly Tracker'!$H$2:$H$766),"")</f>
        <v/>
      </c>
      <c r="I1570" s="16">
        <f>IF(H1570&lt;&gt;"",LOOKUP(2,1/('Weekly Tracker'!$E$2:$E$766=$A1570)/('Weekly Tracker'!$H$2:$H$766&lt;&gt;""),'Weekly Tracker'!$I$2:$I$766),"")</f>
        <v/>
      </c>
      <c r="J1570" s="9">
        <f>IFERROR(LOOKUP(2,1/('Weekly Tracker'!$E$2:$E$766=$A1570)/('Weekly Tracker'!$J$2:$J$766&lt;&gt;""),'Weekly Tracker'!$J$2:$J$766),"")</f>
        <v/>
      </c>
      <c r="K1570" s="9">
        <f>IFERROR(LOOKUP(2,1/('Weekly Tracker'!$E$2:$E$766=$A1570)/('Weekly Tracker'!$N$2:$N$766&lt;&gt;""),'Weekly Tracker'!$N$2:$N$766),"")</f>
        <v/>
      </c>
      <c r="L1570" s="9">
        <f>IFERROR(LOOKUP(2,1/('Weekly Tracker'!$E$2:$E$766=$A1570)/('Weekly Tracker'!$O$2:$O$766&lt;&gt;""),'Weekly Tracker'!$O$2:$O$766),"")</f>
        <v/>
      </c>
    </row>
    <row r="1571">
      <c r="A1571" s="9" t="inlineStr">
        <is>
          <t>Nitin Singh HCL</t>
        </is>
      </c>
      <c r="B1571" s="9" t="inlineStr">
        <is>
          <t>8650607070</t>
        </is>
      </c>
      <c r="C1571" s="9" t="n"/>
      <c r="D1571" s="9" t="n"/>
      <c r="E1571" s="9" t="n"/>
      <c r="F1571" s="9">
        <f>IFERROR(LOOKUP(2,1/('Weekly Tracker'!$E$2:$E$766=$A1571)/('Weekly Tracker'!$F$2:$F$766&lt;&gt;""),'Weekly Tracker'!$F$2:$F$766),"")</f>
        <v/>
      </c>
      <c r="G1571" s="16">
        <f>IF(F1571&lt;&gt;"",LOOKUP(2,1/('Weekly Tracker'!$E$2:$E$766=$A1571)/('Weekly Tracker'!$F$2:$F$766&lt;&gt;""),'Weekly Tracker'!$G$2:$G$766),"")</f>
        <v/>
      </c>
      <c r="H1571" s="9">
        <f>IFERROR(LOOKUP(2,1/('Weekly Tracker'!$E$2:$E$766=$A1571)/('Weekly Tracker'!$H$2:$H$766&lt;&gt;""),'Weekly Tracker'!$H$2:$H$766),"")</f>
        <v/>
      </c>
      <c r="I1571" s="16">
        <f>IF(H1571&lt;&gt;"",LOOKUP(2,1/('Weekly Tracker'!$E$2:$E$766=$A1571)/('Weekly Tracker'!$H$2:$H$766&lt;&gt;""),'Weekly Tracker'!$I$2:$I$766),"")</f>
        <v/>
      </c>
      <c r="J1571" s="9">
        <f>IFERROR(LOOKUP(2,1/('Weekly Tracker'!$E$2:$E$766=$A1571)/('Weekly Tracker'!$J$2:$J$766&lt;&gt;""),'Weekly Tracker'!$J$2:$J$766),"")</f>
        <v/>
      </c>
      <c r="K1571" s="9">
        <f>IFERROR(LOOKUP(2,1/('Weekly Tracker'!$E$2:$E$766=$A1571)/('Weekly Tracker'!$N$2:$N$766&lt;&gt;""),'Weekly Tracker'!$N$2:$N$766),"")</f>
        <v/>
      </c>
      <c r="L1571" s="9">
        <f>IFERROR(LOOKUP(2,1/('Weekly Tracker'!$E$2:$E$766=$A1571)/('Weekly Tracker'!$O$2:$O$766&lt;&gt;""),'Weekly Tracker'!$O$2:$O$766),"")</f>
        <v/>
      </c>
    </row>
    <row r="1572">
      <c r="A1572" s="9" t="inlineStr">
        <is>
          <t>Ramesh Tirumalai HCL</t>
        </is>
      </c>
      <c r="B1572" s="9" t="inlineStr">
        <is>
          <t>918015835172</t>
        </is>
      </c>
      <c r="C1572" s="9" t="n"/>
      <c r="D1572" s="9" t="n"/>
      <c r="E1572" s="9" t="n"/>
      <c r="F1572" s="9">
        <f>IFERROR(LOOKUP(2,1/('Weekly Tracker'!$E$2:$E$766=$A1572)/('Weekly Tracker'!$F$2:$F$766&lt;&gt;""),'Weekly Tracker'!$F$2:$F$766),"")</f>
        <v/>
      </c>
      <c r="G1572" s="16">
        <f>IF(F1572&lt;&gt;"",LOOKUP(2,1/('Weekly Tracker'!$E$2:$E$766=$A1572)/('Weekly Tracker'!$F$2:$F$766&lt;&gt;""),'Weekly Tracker'!$G$2:$G$766),"")</f>
        <v/>
      </c>
      <c r="H1572" s="9">
        <f>IFERROR(LOOKUP(2,1/('Weekly Tracker'!$E$2:$E$766=$A1572)/('Weekly Tracker'!$H$2:$H$766&lt;&gt;""),'Weekly Tracker'!$H$2:$H$766),"")</f>
        <v/>
      </c>
      <c r="I1572" s="16">
        <f>IF(H1572&lt;&gt;"",LOOKUP(2,1/('Weekly Tracker'!$E$2:$E$766=$A1572)/('Weekly Tracker'!$H$2:$H$766&lt;&gt;""),'Weekly Tracker'!$I$2:$I$766),"")</f>
        <v/>
      </c>
      <c r="J1572" s="9">
        <f>IFERROR(LOOKUP(2,1/('Weekly Tracker'!$E$2:$E$766=$A1572)/('Weekly Tracker'!$J$2:$J$766&lt;&gt;""),'Weekly Tracker'!$J$2:$J$766),"")</f>
        <v/>
      </c>
      <c r="K1572" s="9">
        <f>IFERROR(LOOKUP(2,1/('Weekly Tracker'!$E$2:$E$766=$A1572)/('Weekly Tracker'!$N$2:$N$766&lt;&gt;""),'Weekly Tracker'!$N$2:$N$766),"")</f>
        <v/>
      </c>
      <c r="L1572" s="9">
        <f>IFERROR(LOOKUP(2,1/('Weekly Tracker'!$E$2:$E$766=$A1572)/('Weekly Tracker'!$O$2:$O$766&lt;&gt;""),'Weekly Tracker'!$O$2:$O$766),"")</f>
        <v/>
      </c>
    </row>
    <row r="1573">
      <c r="A1573" s="9" t="inlineStr">
        <is>
          <t>Tushar Keval HCL</t>
        </is>
      </c>
      <c r="B1573" s="9" t="inlineStr">
        <is>
          <t>8007977958</t>
        </is>
      </c>
      <c r="C1573" s="9" t="n"/>
      <c r="D1573" s="9" t="n"/>
      <c r="E1573" s="9" t="n"/>
      <c r="F1573" s="9">
        <f>IFERROR(LOOKUP(2,1/('Weekly Tracker'!$E$2:$E$766=$A1573)/('Weekly Tracker'!$F$2:$F$766&lt;&gt;""),'Weekly Tracker'!$F$2:$F$766),"")</f>
        <v/>
      </c>
      <c r="G1573" s="16">
        <f>IF(F1573&lt;&gt;"",LOOKUP(2,1/('Weekly Tracker'!$E$2:$E$766=$A1573)/('Weekly Tracker'!$F$2:$F$766&lt;&gt;""),'Weekly Tracker'!$G$2:$G$766),"")</f>
        <v/>
      </c>
      <c r="H1573" s="9">
        <f>IFERROR(LOOKUP(2,1/('Weekly Tracker'!$E$2:$E$766=$A1573)/('Weekly Tracker'!$H$2:$H$766&lt;&gt;""),'Weekly Tracker'!$H$2:$H$766),"")</f>
        <v/>
      </c>
      <c r="I1573" s="16">
        <f>IF(H1573&lt;&gt;"",LOOKUP(2,1/('Weekly Tracker'!$E$2:$E$766=$A1573)/('Weekly Tracker'!$H$2:$H$766&lt;&gt;""),'Weekly Tracker'!$I$2:$I$766),"")</f>
        <v/>
      </c>
      <c r="J1573" s="9">
        <f>IFERROR(LOOKUP(2,1/('Weekly Tracker'!$E$2:$E$766=$A1573)/('Weekly Tracker'!$J$2:$J$766&lt;&gt;""),'Weekly Tracker'!$J$2:$J$766),"")</f>
        <v/>
      </c>
      <c r="K1573" s="9">
        <f>IFERROR(LOOKUP(2,1/('Weekly Tracker'!$E$2:$E$766=$A1573)/('Weekly Tracker'!$N$2:$N$766&lt;&gt;""),'Weekly Tracker'!$N$2:$N$766),"")</f>
        <v/>
      </c>
      <c r="L1573" s="9">
        <f>IFERROR(LOOKUP(2,1/('Weekly Tracker'!$E$2:$E$766=$A1573)/('Weekly Tracker'!$O$2:$O$766&lt;&gt;""),'Weekly Tracker'!$O$2:$O$766),"")</f>
        <v/>
      </c>
    </row>
    <row r="1574">
      <c r="A1574" s="9" t="inlineStr">
        <is>
          <t>Vignesh Murugan FB</t>
        </is>
      </c>
      <c r="B1574" s="9" t="inlineStr">
        <is>
          <t>70925 84889</t>
        </is>
      </c>
      <c r="C1574" s="9" t="n"/>
      <c r="D1574" s="9" t="n"/>
      <c r="E1574" s="9" t="n"/>
      <c r="F1574" s="9">
        <f>IFERROR(LOOKUP(2,1/('Weekly Tracker'!$E$2:$E$766=$A1574)/('Weekly Tracker'!$F$2:$F$766&lt;&gt;""),'Weekly Tracker'!$F$2:$F$766),"")</f>
        <v/>
      </c>
      <c r="G1574" s="16">
        <f>IF(F1574&lt;&gt;"",LOOKUP(2,1/('Weekly Tracker'!$E$2:$E$766=$A1574)/('Weekly Tracker'!$F$2:$F$766&lt;&gt;""),'Weekly Tracker'!$G$2:$G$766),"")</f>
        <v/>
      </c>
      <c r="H1574" s="9">
        <f>IFERROR(LOOKUP(2,1/('Weekly Tracker'!$E$2:$E$766=$A1574)/('Weekly Tracker'!$H$2:$H$766&lt;&gt;""),'Weekly Tracker'!$H$2:$H$766),"")</f>
        <v/>
      </c>
      <c r="I1574" s="16">
        <f>IF(H1574&lt;&gt;"",LOOKUP(2,1/('Weekly Tracker'!$E$2:$E$766=$A1574)/('Weekly Tracker'!$H$2:$H$766&lt;&gt;""),'Weekly Tracker'!$I$2:$I$766),"")</f>
        <v/>
      </c>
      <c r="J1574" s="9">
        <f>IFERROR(LOOKUP(2,1/('Weekly Tracker'!$E$2:$E$766=$A1574)/('Weekly Tracker'!$J$2:$J$766&lt;&gt;""),'Weekly Tracker'!$J$2:$J$766),"")</f>
        <v/>
      </c>
      <c r="K1574" s="9">
        <f>IFERROR(LOOKUP(2,1/('Weekly Tracker'!$E$2:$E$766=$A1574)/('Weekly Tracker'!$N$2:$N$766&lt;&gt;""),'Weekly Tracker'!$N$2:$N$766),"")</f>
        <v/>
      </c>
      <c r="L1574" s="9">
        <f>IFERROR(LOOKUP(2,1/('Weekly Tracker'!$E$2:$E$766=$A1574)/('Weekly Tracker'!$O$2:$O$766&lt;&gt;""),'Weekly Tracker'!$O$2:$O$766),"")</f>
        <v/>
      </c>
    </row>
    <row r="1575">
      <c r="A1575" s="9" t="inlineStr">
        <is>
          <t>Saravanan Ford hCL</t>
        </is>
      </c>
      <c r="B1575" s="9" t="inlineStr">
        <is>
          <t>916369726231</t>
        </is>
      </c>
      <c r="C1575" s="9" t="n"/>
      <c r="D1575" s="9" t="n"/>
      <c r="E1575" s="9" t="n"/>
      <c r="F1575" s="9">
        <f>IFERROR(LOOKUP(2,1/('Weekly Tracker'!$E$2:$E$766=$A1575)/('Weekly Tracker'!$F$2:$F$766&lt;&gt;""),'Weekly Tracker'!$F$2:$F$766),"")</f>
        <v/>
      </c>
      <c r="G1575" s="16">
        <f>IF(F1575&lt;&gt;"",LOOKUP(2,1/('Weekly Tracker'!$E$2:$E$766=$A1575)/('Weekly Tracker'!$F$2:$F$766&lt;&gt;""),'Weekly Tracker'!$G$2:$G$766),"")</f>
        <v/>
      </c>
      <c r="H1575" s="9">
        <f>IFERROR(LOOKUP(2,1/('Weekly Tracker'!$E$2:$E$766=$A1575)/('Weekly Tracker'!$H$2:$H$766&lt;&gt;""),'Weekly Tracker'!$H$2:$H$766),"")</f>
        <v/>
      </c>
      <c r="I1575" s="16">
        <f>IF(H1575&lt;&gt;"",LOOKUP(2,1/('Weekly Tracker'!$E$2:$E$766=$A1575)/('Weekly Tracker'!$H$2:$H$766&lt;&gt;""),'Weekly Tracker'!$I$2:$I$766),"")</f>
        <v/>
      </c>
      <c r="J1575" s="9">
        <f>IFERROR(LOOKUP(2,1/('Weekly Tracker'!$E$2:$E$766=$A1575)/('Weekly Tracker'!$J$2:$J$766&lt;&gt;""),'Weekly Tracker'!$J$2:$J$766),"")</f>
        <v/>
      </c>
      <c r="K1575" s="9">
        <f>IFERROR(LOOKUP(2,1/('Weekly Tracker'!$E$2:$E$766=$A1575)/('Weekly Tracker'!$N$2:$N$766&lt;&gt;""),'Weekly Tracker'!$N$2:$N$766),"")</f>
        <v/>
      </c>
      <c r="L1575" s="9">
        <f>IFERROR(LOOKUP(2,1/('Weekly Tracker'!$E$2:$E$766=$A1575)/('Weekly Tracker'!$O$2:$O$766&lt;&gt;""),'Weekly Tracker'!$O$2:$O$766),"")</f>
        <v/>
      </c>
    </row>
    <row r="1576">
      <c r="A1576" s="9" t="inlineStr">
        <is>
          <t>Suresh HCL</t>
        </is>
      </c>
      <c r="B1576" s="9" t="inlineStr">
        <is>
          <t>77028 47245</t>
        </is>
      </c>
      <c r="C1576" s="9" t="n"/>
      <c r="D1576" s="9" t="n"/>
      <c r="E1576" s="9" t="n"/>
      <c r="F1576" s="9">
        <f>IFERROR(LOOKUP(2,1/('Weekly Tracker'!$E$2:$E$766=$A1576)/('Weekly Tracker'!$F$2:$F$766&lt;&gt;""),'Weekly Tracker'!$F$2:$F$766),"")</f>
        <v/>
      </c>
      <c r="G1576" s="16">
        <f>IF(F1576&lt;&gt;"",LOOKUP(2,1/('Weekly Tracker'!$E$2:$E$766=$A1576)/('Weekly Tracker'!$F$2:$F$766&lt;&gt;""),'Weekly Tracker'!$G$2:$G$766),"")</f>
        <v/>
      </c>
      <c r="H1576" s="9">
        <f>IFERROR(LOOKUP(2,1/('Weekly Tracker'!$E$2:$E$766=$A1576)/('Weekly Tracker'!$H$2:$H$766&lt;&gt;""),'Weekly Tracker'!$H$2:$H$766),"")</f>
        <v/>
      </c>
      <c r="I1576" s="16">
        <f>IF(H1576&lt;&gt;"",LOOKUP(2,1/('Weekly Tracker'!$E$2:$E$766=$A1576)/('Weekly Tracker'!$H$2:$H$766&lt;&gt;""),'Weekly Tracker'!$I$2:$I$766),"")</f>
        <v/>
      </c>
      <c r="J1576" s="9">
        <f>IFERROR(LOOKUP(2,1/('Weekly Tracker'!$E$2:$E$766=$A1576)/('Weekly Tracker'!$J$2:$J$766&lt;&gt;""),'Weekly Tracker'!$J$2:$J$766),"")</f>
        <v/>
      </c>
      <c r="K1576" s="9">
        <f>IFERROR(LOOKUP(2,1/('Weekly Tracker'!$E$2:$E$766=$A1576)/('Weekly Tracker'!$N$2:$N$766&lt;&gt;""),'Weekly Tracker'!$N$2:$N$766),"")</f>
        <v/>
      </c>
      <c r="L1576" s="9">
        <f>IFERROR(LOOKUP(2,1/('Weekly Tracker'!$E$2:$E$766=$A1576)/('Weekly Tracker'!$O$2:$O$766&lt;&gt;""),'Weekly Tracker'!$O$2:$O$766),"")</f>
        <v/>
      </c>
    </row>
    <row r="1577">
      <c r="A1577" s="9" t="inlineStr">
        <is>
          <t>Vignesh Icici</t>
        </is>
      </c>
      <c r="B1577" s="9" t="inlineStr">
        <is>
          <t>919500244316</t>
        </is>
      </c>
      <c r="C1577" s="9" t="n"/>
      <c r="D1577" s="9" t="n"/>
      <c r="E1577" s="9" t="n"/>
      <c r="F1577" s="9">
        <f>IFERROR(LOOKUP(2,1/('Weekly Tracker'!$E$2:$E$766=$A1577)/('Weekly Tracker'!$F$2:$F$766&lt;&gt;""),'Weekly Tracker'!$F$2:$F$766),"")</f>
        <v/>
      </c>
      <c r="G1577" s="16">
        <f>IF(F1577&lt;&gt;"",LOOKUP(2,1/('Weekly Tracker'!$E$2:$E$766=$A1577)/('Weekly Tracker'!$F$2:$F$766&lt;&gt;""),'Weekly Tracker'!$G$2:$G$766),"")</f>
        <v/>
      </c>
      <c r="H1577" s="9">
        <f>IFERROR(LOOKUP(2,1/('Weekly Tracker'!$E$2:$E$766=$A1577)/('Weekly Tracker'!$H$2:$H$766&lt;&gt;""),'Weekly Tracker'!$H$2:$H$766),"")</f>
        <v/>
      </c>
      <c r="I1577" s="16">
        <f>IF(H1577&lt;&gt;"",LOOKUP(2,1/('Weekly Tracker'!$E$2:$E$766=$A1577)/('Weekly Tracker'!$H$2:$H$766&lt;&gt;""),'Weekly Tracker'!$I$2:$I$766),"")</f>
        <v/>
      </c>
      <c r="J1577" s="9">
        <f>IFERROR(LOOKUP(2,1/('Weekly Tracker'!$E$2:$E$766=$A1577)/('Weekly Tracker'!$J$2:$J$766&lt;&gt;""),'Weekly Tracker'!$J$2:$J$766),"")</f>
        <v/>
      </c>
      <c r="K1577" s="9">
        <f>IFERROR(LOOKUP(2,1/('Weekly Tracker'!$E$2:$E$766=$A1577)/('Weekly Tracker'!$N$2:$N$766&lt;&gt;""),'Weekly Tracker'!$N$2:$N$766),"")</f>
        <v/>
      </c>
      <c r="L1577" s="9">
        <f>IFERROR(LOOKUP(2,1/('Weekly Tracker'!$E$2:$E$766=$A1577)/('Weekly Tracker'!$O$2:$O$766&lt;&gt;""),'Weekly Tracker'!$O$2:$O$766),"")</f>
        <v/>
      </c>
    </row>
    <row r="1578">
      <c r="A1578" s="9" t="inlineStr">
        <is>
          <t>Tamilselvan Arasakumar FB</t>
        </is>
      </c>
      <c r="B1578" s="9" t="inlineStr">
        <is>
          <t>6369-045409</t>
        </is>
      </c>
      <c r="C1578" s="9" t="n"/>
      <c r="D1578" s="9" t="n"/>
      <c r="E1578" s="9" t="n"/>
      <c r="F1578" s="9">
        <f>IFERROR(LOOKUP(2,1/('Weekly Tracker'!$E$2:$E$766=$A1578)/('Weekly Tracker'!$F$2:$F$766&lt;&gt;""),'Weekly Tracker'!$F$2:$F$766),"")</f>
        <v/>
      </c>
      <c r="G1578" s="16">
        <f>IF(F1578&lt;&gt;"",LOOKUP(2,1/('Weekly Tracker'!$E$2:$E$766=$A1578)/('Weekly Tracker'!$F$2:$F$766&lt;&gt;""),'Weekly Tracker'!$G$2:$G$766),"")</f>
        <v/>
      </c>
      <c r="H1578" s="9">
        <f>IFERROR(LOOKUP(2,1/('Weekly Tracker'!$E$2:$E$766=$A1578)/('Weekly Tracker'!$H$2:$H$766&lt;&gt;""),'Weekly Tracker'!$H$2:$H$766),"")</f>
        <v/>
      </c>
      <c r="I1578" s="16">
        <f>IF(H1578&lt;&gt;"",LOOKUP(2,1/('Weekly Tracker'!$E$2:$E$766=$A1578)/('Weekly Tracker'!$H$2:$H$766&lt;&gt;""),'Weekly Tracker'!$I$2:$I$766),"")</f>
        <v/>
      </c>
      <c r="J1578" s="9">
        <f>IFERROR(LOOKUP(2,1/('Weekly Tracker'!$E$2:$E$766=$A1578)/('Weekly Tracker'!$J$2:$J$766&lt;&gt;""),'Weekly Tracker'!$J$2:$J$766),"")</f>
        <v/>
      </c>
      <c r="K1578" s="9">
        <f>IFERROR(LOOKUP(2,1/('Weekly Tracker'!$E$2:$E$766=$A1578)/('Weekly Tracker'!$N$2:$N$766&lt;&gt;""),'Weekly Tracker'!$N$2:$N$766),"")</f>
        <v/>
      </c>
      <c r="L1578" s="9">
        <f>IFERROR(LOOKUP(2,1/('Weekly Tracker'!$E$2:$E$766=$A1578)/('Weekly Tracker'!$O$2:$O$766&lt;&gt;""),'Weekly Tracker'!$O$2:$O$766),"")</f>
        <v/>
      </c>
    </row>
    <row r="1579">
      <c r="A1579" s="9" t="inlineStr">
        <is>
          <t>Ashok Kumar Ford</t>
        </is>
      </c>
      <c r="B1579" s="9" t="inlineStr">
        <is>
          <t>+91 99622 42322</t>
        </is>
      </c>
      <c r="C1579" s="9" t="n"/>
      <c r="D1579" s="9" t="n"/>
      <c r="E1579" s="9" t="n"/>
      <c r="F1579" s="9">
        <f>IFERROR(LOOKUP(2,1/('Weekly Tracker'!$E$2:$E$766=$A1579)/('Weekly Tracker'!$F$2:$F$766&lt;&gt;""),'Weekly Tracker'!$F$2:$F$766),"")</f>
        <v/>
      </c>
      <c r="G1579" s="16">
        <f>IF(F1579&lt;&gt;"",LOOKUP(2,1/('Weekly Tracker'!$E$2:$E$766=$A1579)/('Weekly Tracker'!$F$2:$F$766&lt;&gt;""),'Weekly Tracker'!$G$2:$G$766),"")</f>
        <v/>
      </c>
      <c r="H1579" s="9">
        <f>IFERROR(LOOKUP(2,1/('Weekly Tracker'!$E$2:$E$766=$A1579)/('Weekly Tracker'!$H$2:$H$766&lt;&gt;""),'Weekly Tracker'!$H$2:$H$766),"")</f>
        <v/>
      </c>
      <c r="I1579" s="16">
        <f>IF(H1579&lt;&gt;"",LOOKUP(2,1/('Weekly Tracker'!$E$2:$E$766=$A1579)/('Weekly Tracker'!$H$2:$H$766&lt;&gt;""),'Weekly Tracker'!$I$2:$I$766),"")</f>
        <v/>
      </c>
      <c r="J1579" s="9">
        <f>IFERROR(LOOKUP(2,1/('Weekly Tracker'!$E$2:$E$766=$A1579)/('Weekly Tracker'!$J$2:$J$766&lt;&gt;""),'Weekly Tracker'!$J$2:$J$766),"")</f>
        <v/>
      </c>
      <c r="K1579" s="9">
        <f>IFERROR(LOOKUP(2,1/('Weekly Tracker'!$E$2:$E$766=$A1579)/('Weekly Tracker'!$N$2:$N$766&lt;&gt;""),'Weekly Tracker'!$N$2:$N$766),"")</f>
        <v/>
      </c>
      <c r="L1579" s="9">
        <f>IFERROR(LOOKUP(2,1/('Weekly Tracker'!$E$2:$E$766=$A1579)/('Weekly Tracker'!$O$2:$O$766&lt;&gt;""),'Weekly Tracker'!$O$2:$O$766),"")</f>
        <v/>
      </c>
    </row>
    <row r="1580">
      <c r="A1580" s="9" t="inlineStr">
        <is>
          <t>Vignesh Icici Direct</t>
        </is>
      </c>
      <c r="B1580" s="9" t="inlineStr">
        <is>
          <t>916383197563</t>
        </is>
      </c>
      <c r="C1580" s="9" t="n"/>
      <c r="D1580" s="9" t="n"/>
      <c r="E1580" s="9" t="n"/>
      <c r="F1580" s="9">
        <f>IFERROR(LOOKUP(2,1/('Weekly Tracker'!$E$2:$E$766=$A1580)/('Weekly Tracker'!$F$2:$F$766&lt;&gt;""),'Weekly Tracker'!$F$2:$F$766),"")</f>
        <v/>
      </c>
      <c r="G1580" s="16">
        <f>IF(F1580&lt;&gt;"",LOOKUP(2,1/('Weekly Tracker'!$E$2:$E$766=$A1580)/('Weekly Tracker'!$F$2:$F$766&lt;&gt;""),'Weekly Tracker'!$G$2:$G$766),"")</f>
        <v/>
      </c>
      <c r="H1580" s="9">
        <f>IFERROR(LOOKUP(2,1/('Weekly Tracker'!$E$2:$E$766=$A1580)/('Weekly Tracker'!$H$2:$H$766&lt;&gt;""),'Weekly Tracker'!$H$2:$H$766),"")</f>
        <v/>
      </c>
      <c r="I1580" s="16">
        <f>IF(H1580&lt;&gt;"",LOOKUP(2,1/('Weekly Tracker'!$E$2:$E$766=$A1580)/('Weekly Tracker'!$H$2:$H$766&lt;&gt;""),'Weekly Tracker'!$I$2:$I$766),"")</f>
        <v/>
      </c>
      <c r="J1580" s="9">
        <f>IFERROR(LOOKUP(2,1/('Weekly Tracker'!$E$2:$E$766=$A1580)/('Weekly Tracker'!$J$2:$J$766&lt;&gt;""),'Weekly Tracker'!$J$2:$J$766),"")</f>
        <v/>
      </c>
      <c r="K1580" s="9">
        <f>IFERROR(LOOKUP(2,1/('Weekly Tracker'!$E$2:$E$766=$A1580)/('Weekly Tracker'!$N$2:$N$766&lt;&gt;""),'Weekly Tracker'!$N$2:$N$766),"")</f>
        <v/>
      </c>
      <c r="L1580" s="9">
        <f>IFERROR(LOOKUP(2,1/('Weekly Tracker'!$E$2:$E$766=$A1580)/('Weekly Tracker'!$O$2:$O$766&lt;&gt;""),'Weekly Tracker'!$O$2:$O$766),"")</f>
        <v/>
      </c>
    </row>
    <row r="1581">
      <c r="A1581" s="9" t="inlineStr">
        <is>
          <t>Sakthisree Aravindhan FB</t>
        </is>
      </c>
      <c r="B1581" s="9" t="inlineStr">
        <is>
          <t>8825917365</t>
        </is>
      </c>
      <c r="C1581" s="9" t="n"/>
      <c r="D1581" s="9" t="n"/>
      <c r="E1581" s="9" t="n"/>
      <c r="F1581" s="9">
        <f>IFERROR(LOOKUP(2,1/('Weekly Tracker'!$E$2:$E$766=$A1581)/('Weekly Tracker'!$F$2:$F$766&lt;&gt;""),'Weekly Tracker'!$F$2:$F$766),"")</f>
        <v/>
      </c>
      <c r="G1581" s="16">
        <f>IF(F1581&lt;&gt;"",LOOKUP(2,1/('Weekly Tracker'!$E$2:$E$766=$A1581)/('Weekly Tracker'!$F$2:$F$766&lt;&gt;""),'Weekly Tracker'!$G$2:$G$766),"")</f>
        <v/>
      </c>
      <c r="H1581" s="9">
        <f>IFERROR(LOOKUP(2,1/('Weekly Tracker'!$E$2:$E$766=$A1581)/('Weekly Tracker'!$H$2:$H$766&lt;&gt;""),'Weekly Tracker'!$H$2:$H$766),"")</f>
        <v/>
      </c>
      <c r="I1581" s="16">
        <f>IF(H1581&lt;&gt;"",LOOKUP(2,1/('Weekly Tracker'!$E$2:$E$766=$A1581)/('Weekly Tracker'!$H$2:$H$766&lt;&gt;""),'Weekly Tracker'!$I$2:$I$766),"")</f>
        <v/>
      </c>
      <c r="J1581" s="9">
        <f>IFERROR(LOOKUP(2,1/('Weekly Tracker'!$E$2:$E$766=$A1581)/('Weekly Tracker'!$J$2:$J$766&lt;&gt;""),'Weekly Tracker'!$J$2:$J$766),"")</f>
        <v/>
      </c>
      <c r="K1581" s="9">
        <f>IFERROR(LOOKUP(2,1/('Weekly Tracker'!$E$2:$E$766=$A1581)/('Weekly Tracker'!$N$2:$N$766&lt;&gt;""),'Weekly Tracker'!$N$2:$N$766),"")</f>
        <v/>
      </c>
      <c r="L1581" s="9">
        <f>IFERROR(LOOKUP(2,1/('Weekly Tracker'!$E$2:$E$766=$A1581)/('Weekly Tracker'!$O$2:$O$766&lt;&gt;""),'Weekly Tracker'!$O$2:$O$766),"")</f>
        <v/>
      </c>
    </row>
    <row r="1582">
      <c r="A1582" s="9" t="inlineStr">
        <is>
          <t>Ramu Sharp</t>
        </is>
      </c>
      <c r="B1582" s="9" t="n"/>
      <c r="C1582" s="9" t="n"/>
      <c r="D1582" s="9" t="n"/>
      <c r="E1582" s="9" t="n"/>
      <c r="F1582" s="9">
        <f>IFERROR(LOOKUP(2,1/('Weekly Tracker'!$E$2:$E$766=$A1582)/('Weekly Tracker'!$F$2:$F$766&lt;&gt;""),'Weekly Tracker'!$F$2:$F$766),"")</f>
        <v/>
      </c>
      <c r="G1582" s="16">
        <f>IF(F1582&lt;&gt;"",LOOKUP(2,1/('Weekly Tracker'!$E$2:$E$766=$A1582)/('Weekly Tracker'!$F$2:$F$766&lt;&gt;""),'Weekly Tracker'!$G$2:$G$766),"")</f>
        <v/>
      </c>
      <c r="H1582" s="9">
        <f>IFERROR(LOOKUP(2,1/('Weekly Tracker'!$E$2:$E$766=$A1582)/('Weekly Tracker'!$H$2:$H$766&lt;&gt;""),'Weekly Tracker'!$H$2:$H$766),"")</f>
        <v/>
      </c>
      <c r="I1582" s="16">
        <f>IF(H1582&lt;&gt;"",LOOKUP(2,1/('Weekly Tracker'!$E$2:$E$766=$A1582)/('Weekly Tracker'!$H$2:$H$766&lt;&gt;""),'Weekly Tracker'!$I$2:$I$766),"")</f>
        <v/>
      </c>
      <c r="J1582" s="9">
        <f>IFERROR(LOOKUP(2,1/('Weekly Tracker'!$E$2:$E$766=$A1582)/('Weekly Tracker'!$J$2:$J$766&lt;&gt;""),'Weekly Tracker'!$J$2:$J$766),"")</f>
        <v/>
      </c>
      <c r="K1582" s="9">
        <f>IFERROR(LOOKUP(2,1/('Weekly Tracker'!$E$2:$E$766=$A1582)/('Weekly Tracker'!$N$2:$N$766&lt;&gt;""),'Weekly Tracker'!$N$2:$N$766),"")</f>
        <v/>
      </c>
      <c r="L1582" s="9">
        <f>IFERROR(LOOKUP(2,1/('Weekly Tracker'!$E$2:$E$766=$A1582)/('Weekly Tracker'!$O$2:$O$766&lt;&gt;""),'Weekly Tracker'!$O$2:$O$766),"")</f>
        <v/>
      </c>
    </row>
    <row r="1583">
      <c r="A1583" s="9" t="inlineStr">
        <is>
          <t>Kamal Hasan Scl</t>
        </is>
      </c>
      <c r="B1583" s="9" t="inlineStr">
        <is>
          <t>8190-034928</t>
        </is>
      </c>
      <c r="C1583" s="9" t="n"/>
      <c r="D1583" s="9" t="n"/>
      <c r="E1583" s="9" t="n"/>
      <c r="F1583" s="9">
        <f>IFERROR(LOOKUP(2,1/('Weekly Tracker'!$E$2:$E$766=$A1583)/('Weekly Tracker'!$F$2:$F$766&lt;&gt;""),'Weekly Tracker'!$F$2:$F$766),"")</f>
        <v/>
      </c>
      <c r="G1583" s="16">
        <f>IF(F1583&lt;&gt;"",LOOKUP(2,1/('Weekly Tracker'!$E$2:$E$766=$A1583)/('Weekly Tracker'!$F$2:$F$766&lt;&gt;""),'Weekly Tracker'!$G$2:$G$766),"")</f>
        <v/>
      </c>
      <c r="H1583" s="9">
        <f>IFERROR(LOOKUP(2,1/('Weekly Tracker'!$E$2:$E$766=$A1583)/('Weekly Tracker'!$H$2:$H$766&lt;&gt;""),'Weekly Tracker'!$H$2:$H$766),"")</f>
        <v/>
      </c>
      <c r="I1583" s="16">
        <f>IF(H1583&lt;&gt;"",LOOKUP(2,1/('Weekly Tracker'!$E$2:$E$766=$A1583)/('Weekly Tracker'!$H$2:$H$766&lt;&gt;""),'Weekly Tracker'!$I$2:$I$766),"")</f>
        <v/>
      </c>
      <c r="J1583" s="9">
        <f>IFERROR(LOOKUP(2,1/('Weekly Tracker'!$E$2:$E$766=$A1583)/('Weekly Tracker'!$J$2:$J$766&lt;&gt;""),'Weekly Tracker'!$J$2:$J$766),"")</f>
        <v/>
      </c>
      <c r="K1583" s="9">
        <f>IFERROR(LOOKUP(2,1/('Weekly Tracker'!$E$2:$E$766=$A1583)/('Weekly Tracker'!$N$2:$N$766&lt;&gt;""),'Weekly Tracker'!$N$2:$N$766),"")</f>
        <v/>
      </c>
      <c r="L1583" s="9">
        <f>IFERROR(LOOKUP(2,1/('Weekly Tracker'!$E$2:$E$766=$A1583)/('Weekly Tracker'!$O$2:$O$766&lt;&gt;""),'Weekly Tracker'!$O$2:$O$766),"")</f>
        <v/>
      </c>
    </row>
    <row r="1584">
      <c r="A1584" s="9" t="inlineStr">
        <is>
          <t>Deepak RAJ FB</t>
        </is>
      </c>
      <c r="B1584" s="9" t="inlineStr">
        <is>
          <t>919786622586</t>
        </is>
      </c>
      <c r="C1584" s="9" t="n"/>
      <c r="D1584" s="9" t="n"/>
      <c r="E1584" s="9" t="n"/>
      <c r="F1584" s="9">
        <f>IFERROR(LOOKUP(2,1/('Weekly Tracker'!$E$2:$E$766=$A1584)/('Weekly Tracker'!$F$2:$F$766&lt;&gt;""),'Weekly Tracker'!$F$2:$F$766),"")</f>
        <v/>
      </c>
      <c r="G1584" s="16">
        <f>IF(F1584&lt;&gt;"",LOOKUP(2,1/('Weekly Tracker'!$E$2:$E$766=$A1584)/('Weekly Tracker'!$F$2:$F$766&lt;&gt;""),'Weekly Tracker'!$G$2:$G$766),"")</f>
        <v/>
      </c>
      <c r="H1584" s="9">
        <f>IFERROR(LOOKUP(2,1/('Weekly Tracker'!$E$2:$E$766=$A1584)/('Weekly Tracker'!$H$2:$H$766&lt;&gt;""),'Weekly Tracker'!$H$2:$H$766),"")</f>
        <v/>
      </c>
      <c r="I1584" s="16">
        <f>IF(H1584&lt;&gt;"",LOOKUP(2,1/('Weekly Tracker'!$E$2:$E$766=$A1584)/('Weekly Tracker'!$H$2:$H$766&lt;&gt;""),'Weekly Tracker'!$I$2:$I$766),"")</f>
        <v/>
      </c>
      <c r="J1584" s="9">
        <f>IFERROR(LOOKUP(2,1/('Weekly Tracker'!$E$2:$E$766=$A1584)/('Weekly Tracker'!$J$2:$J$766&lt;&gt;""),'Weekly Tracker'!$J$2:$J$766),"")</f>
        <v/>
      </c>
      <c r="K1584" s="9">
        <f>IFERROR(LOOKUP(2,1/('Weekly Tracker'!$E$2:$E$766=$A1584)/('Weekly Tracker'!$N$2:$N$766&lt;&gt;""),'Weekly Tracker'!$N$2:$N$766),"")</f>
        <v/>
      </c>
      <c r="L1584" s="9">
        <f>IFERROR(LOOKUP(2,1/('Weekly Tracker'!$E$2:$E$766=$A1584)/('Weekly Tracker'!$O$2:$O$766&lt;&gt;""),'Weekly Tracker'!$O$2:$O$766),"")</f>
        <v/>
      </c>
    </row>
    <row r="1585">
      <c r="A1585" s="9" t="inlineStr">
        <is>
          <t>Deepak Raj</t>
        </is>
      </c>
      <c r="B1585" s="9" t="inlineStr">
        <is>
          <t>+91 97866 22586</t>
        </is>
      </c>
      <c r="C1585" s="9" t="n"/>
      <c r="D1585" s="9" t="n"/>
      <c r="E1585" s="9" t="n"/>
      <c r="F1585" s="9">
        <f>IFERROR(LOOKUP(2,1/('Weekly Tracker'!$E$2:$E$766=$A1585)/('Weekly Tracker'!$F$2:$F$766&lt;&gt;""),'Weekly Tracker'!$F$2:$F$766),"")</f>
        <v/>
      </c>
      <c r="G1585" s="16">
        <f>IF(F1585&lt;&gt;"",LOOKUP(2,1/('Weekly Tracker'!$E$2:$E$766=$A1585)/('Weekly Tracker'!$F$2:$F$766&lt;&gt;""),'Weekly Tracker'!$G$2:$G$766),"")</f>
        <v/>
      </c>
      <c r="H1585" s="9">
        <f>IFERROR(LOOKUP(2,1/('Weekly Tracker'!$E$2:$E$766=$A1585)/('Weekly Tracker'!$H$2:$H$766&lt;&gt;""),'Weekly Tracker'!$H$2:$H$766),"")</f>
        <v/>
      </c>
      <c r="I1585" s="16">
        <f>IF(H1585&lt;&gt;"",LOOKUP(2,1/('Weekly Tracker'!$E$2:$E$766=$A1585)/('Weekly Tracker'!$H$2:$H$766&lt;&gt;""),'Weekly Tracker'!$I$2:$I$766),"")</f>
        <v/>
      </c>
      <c r="J1585" s="9">
        <f>IFERROR(LOOKUP(2,1/('Weekly Tracker'!$E$2:$E$766=$A1585)/('Weekly Tracker'!$J$2:$J$766&lt;&gt;""),'Weekly Tracker'!$J$2:$J$766),"")</f>
        <v/>
      </c>
      <c r="K1585" s="9">
        <f>IFERROR(LOOKUP(2,1/('Weekly Tracker'!$E$2:$E$766=$A1585)/('Weekly Tracker'!$N$2:$N$766&lt;&gt;""),'Weekly Tracker'!$N$2:$N$766),"")</f>
        <v/>
      </c>
      <c r="L1585" s="9">
        <f>IFERROR(LOOKUP(2,1/('Weekly Tracker'!$E$2:$E$766=$A1585)/('Weekly Tracker'!$O$2:$O$766&lt;&gt;""),'Weekly Tracker'!$O$2:$O$766),"")</f>
        <v/>
      </c>
    </row>
    <row r="1586">
      <c r="A1586" s="9" t="inlineStr">
        <is>
          <t>Ashok kumar FB</t>
        </is>
      </c>
      <c r="B1586" s="9" t="inlineStr">
        <is>
          <t>824-8114723</t>
        </is>
      </c>
      <c r="C1586" s="9" t="n"/>
      <c r="D1586" s="9" t="n"/>
      <c r="E1586" s="9" t="n"/>
      <c r="F1586" s="9">
        <f>IFERROR(LOOKUP(2,1/('Weekly Tracker'!$E$2:$E$766=$A1586)/('Weekly Tracker'!$F$2:$F$766&lt;&gt;""),'Weekly Tracker'!$F$2:$F$766),"")</f>
        <v/>
      </c>
      <c r="G1586" s="16">
        <f>IF(F1586&lt;&gt;"",LOOKUP(2,1/('Weekly Tracker'!$E$2:$E$766=$A1586)/('Weekly Tracker'!$F$2:$F$766&lt;&gt;""),'Weekly Tracker'!$G$2:$G$766),"")</f>
        <v/>
      </c>
      <c r="H1586" s="9">
        <f>IFERROR(LOOKUP(2,1/('Weekly Tracker'!$E$2:$E$766=$A1586)/('Weekly Tracker'!$H$2:$H$766&lt;&gt;""),'Weekly Tracker'!$H$2:$H$766),"")</f>
        <v/>
      </c>
      <c r="I1586" s="16">
        <f>IF(H1586&lt;&gt;"",LOOKUP(2,1/('Weekly Tracker'!$E$2:$E$766=$A1586)/('Weekly Tracker'!$H$2:$H$766&lt;&gt;""),'Weekly Tracker'!$I$2:$I$766),"")</f>
        <v/>
      </c>
      <c r="J1586" s="9">
        <f>IFERROR(LOOKUP(2,1/('Weekly Tracker'!$E$2:$E$766=$A1586)/('Weekly Tracker'!$J$2:$J$766&lt;&gt;""),'Weekly Tracker'!$J$2:$J$766),"")</f>
        <v/>
      </c>
      <c r="K1586" s="9">
        <f>IFERROR(LOOKUP(2,1/('Weekly Tracker'!$E$2:$E$766=$A1586)/('Weekly Tracker'!$N$2:$N$766&lt;&gt;""),'Weekly Tracker'!$N$2:$N$766),"")</f>
        <v/>
      </c>
      <c r="L1586" s="9">
        <f>IFERROR(LOOKUP(2,1/('Weekly Tracker'!$E$2:$E$766=$A1586)/('Weekly Tracker'!$O$2:$O$766&lt;&gt;""),'Weekly Tracker'!$O$2:$O$766),"")</f>
        <v/>
      </c>
    </row>
    <row r="1587">
      <c r="A1587" s="9" t="inlineStr">
        <is>
          <t>Rudhvik Insta</t>
        </is>
      </c>
      <c r="B1587" s="9" t="inlineStr">
        <is>
          <t>82207 39452</t>
        </is>
      </c>
      <c r="C1587" s="9" t="n"/>
      <c r="D1587" s="9" t="n"/>
      <c r="E1587" s="9" t="n"/>
      <c r="F1587" s="9">
        <f>IFERROR(LOOKUP(2,1/('Weekly Tracker'!$E$2:$E$766=$A1587)/('Weekly Tracker'!$F$2:$F$766&lt;&gt;""),'Weekly Tracker'!$F$2:$F$766),"")</f>
        <v/>
      </c>
      <c r="G1587" s="16">
        <f>IF(F1587&lt;&gt;"",LOOKUP(2,1/('Weekly Tracker'!$E$2:$E$766=$A1587)/('Weekly Tracker'!$F$2:$F$766&lt;&gt;""),'Weekly Tracker'!$G$2:$G$766),"")</f>
        <v/>
      </c>
      <c r="H1587" s="9">
        <f>IFERROR(LOOKUP(2,1/('Weekly Tracker'!$E$2:$E$766=$A1587)/('Weekly Tracker'!$H$2:$H$766&lt;&gt;""),'Weekly Tracker'!$H$2:$H$766),"")</f>
        <v/>
      </c>
      <c r="I1587" s="16">
        <f>IF(H1587&lt;&gt;"",LOOKUP(2,1/('Weekly Tracker'!$E$2:$E$766=$A1587)/('Weekly Tracker'!$H$2:$H$766&lt;&gt;""),'Weekly Tracker'!$I$2:$I$766),"")</f>
        <v/>
      </c>
      <c r="J1587" s="9">
        <f>IFERROR(LOOKUP(2,1/('Weekly Tracker'!$E$2:$E$766=$A1587)/('Weekly Tracker'!$J$2:$J$766&lt;&gt;""),'Weekly Tracker'!$J$2:$J$766),"")</f>
        <v/>
      </c>
      <c r="K1587" s="9">
        <f>IFERROR(LOOKUP(2,1/('Weekly Tracker'!$E$2:$E$766=$A1587)/('Weekly Tracker'!$N$2:$N$766&lt;&gt;""),'Weekly Tracker'!$N$2:$N$766),"")</f>
        <v/>
      </c>
      <c r="L1587" s="9">
        <f>IFERROR(LOOKUP(2,1/('Weekly Tracker'!$E$2:$E$766=$A1587)/('Weekly Tracker'!$O$2:$O$766&lt;&gt;""),'Weekly Tracker'!$O$2:$O$766),"")</f>
        <v/>
      </c>
    </row>
    <row r="1588">
      <c r="A1588" s="9" t="inlineStr">
        <is>
          <t>Sasi Kumar FB</t>
        </is>
      </c>
      <c r="B1588" s="9" t="inlineStr">
        <is>
          <t>+965 65817471</t>
        </is>
      </c>
      <c r="C1588" s="9" t="n"/>
      <c r="D1588" s="9" t="n"/>
      <c r="E1588" s="9" t="n"/>
      <c r="F1588" s="9">
        <f>IFERROR(LOOKUP(2,1/('Weekly Tracker'!$E$2:$E$766=$A1588)/('Weekly Tracker'!$F$2:$F$766&lt;&gt;""),'Weekly Tracker'!$F$2:$F$766),"")</f>
        <v/>
      </c>
      <c r="G1588" s="16">
        <f>IF(F1588&lt;&gt;"",LOOKUP(2,1/('Weekly Tracker'!$E$2:$E$766=$A1588)/('Weekly Tracker'!$F$2:$F$766&lt;&gt;""),'Weekly Tracker'!$G$2:$G$766),"")</f>
        <v/>
      </c>
      <c r="H1588" s="9">
        <f>IFERROR(LOOKUP(2,1/('Weekly Tracker'!$E$2:$E$766=$A1588)/('Weekly Tracker'!$H$2:$H$766&lt;&gt;""),'Weekly Tracker'!$H$2:$H$766),"")</f>
        <v/>
      </c>
      <c r="I1588" s="16">
        <f>IF(H1588&lt;&gt;"",LOOKUP(2,1/('Weekly Tracker'!$E$2:$E$766=$A1588)/('Weekly Tracker'!$H$2:$H$766&lt;&gt;""),'Weekly Tracker'!$I$2:$I$766),"")</f>
        <v/>
      </c>
      <c r="J1588" s="9">
        <f>IFERROR(LOOKUP(2,1/('Weekly Tracker'!$E$2:$E$766=$A1588)/('Weekly Tracker'!$J$2:$J$766&lt;&gt;""),'Weekly Tracker'!$J$2:$J$766),"")</f>
        <v/>
      </c>
      <c r="K1588" s="9">
        <f>IFERROR(LOOKUP(2,1/('Weekly Tracker'!$E$2:$E$766=$A1588)/('Weekly Tracker'!$N$2:$N$766&lt;&gt;""),'Weekly Tracker'!$N$2:$N$766),"")</f>
        <v/>
      </c>
      <c r="L1588" s="9">
        <f>IFERROR(LOOKUP(2,1/('Weekly Tracker'!$E$2:$E$766=$A1588)/('Weekly Tracker'!$O$2:$O$766&lt;&gt;""),'Weekly Tracker'!$O$2:$O$766),"")</f>
        <v/>
      </c>
    </row>
    <row r="1589">
      <c r="A1589" s="9" t="inlineStr">
        <is>
          <t>Kasi Anna</t>
        </is>
      </c>
      <c r="B1589" s="9" t="inlineStr">
        <is>
          <t>919894608206</t>
        </is>
      </c>
      <c r="C1589" s="9" t="n"/>
      <c r="D1589" s="9" t="n"/>
      <c r="E1589" s="9" t="n"/>
      <c r="F1589" s="9">
        <f>IFERROR(LOOKUP(2,1/('Weekly Tracker'!$E$2:$E$766=$A1589)/('Weekly Tracker'!$F$2:$F$766&lt;&gt;""),'Weekly Tracker'!$F$2:$F$766),"")</f>
        <v/>
      </c>
      <c r="G1589" s="16">
        <f>IF(F1589&lt;&gt;"",LOOKUP(2,1/('Weekly Tracker'!$E$2:$E$766=$A1589)/('Weekly Tracker'!$F$2:$F$766&lt;&gt;""),'Weekly Tracker'!$G$2:$G$766),"")</f>
        <v/>
      </c>
      <c r="H1589" s="9">
        <f>IFERROR(LOOKUP(2,1/('Weekly Tracker'!$E$2:$E$766=$A1589)/('Weekly Tracker'!$H$2:$H$766&lt;&gt;""),'Weekly Tracker'!$H$2:$H$766),"")</f>
        <v/>
      </c>
      <c r="I1589" s="16">
        <f>IF(H1589&lt;&gt;"",LOOKUP(2,1/('Weekly Tracker'!$E$2:$E$766=$A1589)/('Weekly Tracker'!$H$2:$H$766&lt;&gt;""),'Weekly Tracker'!$I$2:$I$766),"")</f>
        <v/>
      </c>
      <c r="J1589" s="9">
        <f>IFERROR(LOOKUP(2,1/('Weekly Tracker'!$E$2:$E$766=$A1589)/('Weekly Tracker'!$J$2:$J$766&lt;&gt;""),'Weekly Tracker'!$J$2:$J$766),"")</f>
        <v/>
      </c>
      <c r="K1589" s="9">
        <f>IFERROR(LOOKUP(2,1/('Weekly Tracker'!$E$2:$E$766=$A1589)/('Weekly Tracker'!$N$2:$N$766&lt;&gt;""),'Weekly Tracker'!$N$2:$N$766),"")</f>
        <v/>
      </c>
      <c r="L1589" s="9">
        <f>IFERROR(LOOKUP(2,1/('Weekly Tracker'!$E$2:$E$766=$A1589)/('Weekly Tracker'!$O$2:$O$766&lt;&gt;""),'Weekly Tracker'!$O$2:$O$766),"")</f>
        <v/>
      </c>
    </row>
    <row r="1590">
      <c r="A1590" s="9" t="inlineStr">
        <is>
          <t>Meenaksi Sis</t>
        </is>
      </c>
      <c r="B1590" s="9" t="inlineStr">
        <is>
          <t>6380-908080</t>
        </is>
      </c>
      <c r="C1590" s="9" t="n"/>
      <c r="D1590" s="9" t="n"/>
      <c r="E1590" s="9" t="n"/>
      <c r="F1590" s="9">
        <f>IFERROR(LOOKUP(2,1/('Weekly Tracker'!$E$2:$E$766=$A1590)/('Weekly Tracker'!$F$2:$F$766&lt;&gt;""),'Weekly Tracker'!$F$2:$F$766),"")</f>
        <v/>
      </c>
      <c r="G1590" s="16">
        <f>IF(F1590&lt;&gt;"",LOOKUP(2,1/('Weekly Tracker'!$E$2:$E$766=$A1590)/('Weekly Tracker'!$F$2:$F$766&lt;&gt;""),'Weekly Tracker'!$G$2:$G$766),"")</f>
        <v/>
      </c>
      <c r="H1590" s="9">
        <f>IFERROR(LOOKUP(2,1/('Weekly Tracker'!$E$2:$E$766=$A1590)/('Weekly Tracker'!$H$2:$H$766&lt;&gt;""),'Weekly Tracker'!$H$2:$H$766),"")</f>
        <v/>
      </c>
      <c r="I1590" s="16">
        <f>IF(H1590&lt;&gt;"",LOOKUP(2,1/('Weekly Tracker'!$E$2:$E$766=$A1590)/('Weekly Tracker'!$H$2:$H$766&lt;&gt;""),'Weekly Tracker'!$I$2:$I$766),"")</f>
        <v/>
      </c>
      <c r="J1590" s="9">
        <f>IFERROR(LOOKUP(2,1/('Weekly Tracker'!$E$2:$E$766=$A1590)/('Weekly Tracker'!$J$2:$J$766&lt;&gt;""),'Weekly Tracker'!$J$2:$J$766),"")</f>
        <v/>
      </c>
      <c r="K1590" s="9">
        <f>IFERROR(LOOKUP(2,1/('Weekly Tracker'!$E$2:$E$766=$A1590)/('Weekly Tracker'!$N$2:$N$766&lt;&gt;""),'Weekly Tracker'!$N$2:$N$766),"")</f>
        <v/>
      </c>
      <c r="L1590" s="9">
        <f>IFERROR(LOOKUP(2,1/('Weekly Tracker'!$E$2:$E$766=$A1590)/('Weekly Tracker'!$O$2:$O$766&lt;&gt;""),'Weekly Tracker'!$O$2:$O$766),"")</f>
        <v/>
      </c>
    </row>
    <row r="1591">
      <c r="A1591" s="9" t="inlineStr">
        <is>
          <t>Gayathri HCL Ford</t>
        </is>
      </c>
      <c r="B1591" s="9" t="inlineStr">
        <is>
          <t>917708566637</t>
        </is>
      </c>
      <c r="C1591" s="9" t="n"/>
      <c r="D1591" s="9" t="n"/>
      <c r="E1591" s="9" t="n"/>
      <c r="F1591" s="9">
        <f>IFERROR(LOOKUP(2,1/('Weekly Tracker'!$E$2:$E$766=$A1591)/('Weekly Tracker'!$F$2:$F$766&lt;&gt;""),'Weekly Tracker'!$F$2:$F$766),"")</f>
        <v/>
      </c>
      <c r="G1591" s="16">
        <f>IF(F1591&lt;&gt;"",LOOKUP(2,1/('Weekly Tracker'!$E$2:$E$766=$A1591)/('Weekly Tracker'!$F$2:$F$766&lt;&gt;""),'Weekly Tracker'!$G$2:$G$766),"")</f>
        <v/>
      </c>
      <c r="H1591" s="9">
        <f>IFERROR(LOOKUP(2,1/('Weekly Tracker'!$E$2:$E$766=$A1591)/('Weekly Tracker'!$H$2:$H$766&lt;&gt;""),'Weekly Tracker'!$H$2:$H$766),"")</f>
        <v/>
      </c>
      <c r="I1591" s="16">
        <f>IF(H1591&lt;&gt;"",LOOKUP(2,1/('Weekly Tracker'!$E$2:$E$766=$A1591)/('Weekly Tracker'!$H$2:$H$766&lt;&gt;""),'Weekly Tracker'!$I$2:$I$766),"")</f>
        <v/>
      </c>
      <c r="J1591" s="9">
        <f>IFERROR(LOOKUP(2,1/('Weekly Tracker'!$E$2:$E$766=$A1591)/('Weekly Tracker'!$J$2:$J$766&lt;&gt;""),'Weekly Tracker'!$J$2:$J$766),"")</f>
        <v/>
      </c>
      <c r="K1591" s="9">
        <f>IFERROR(LOOKUP(2,1/('Weekly Tracker'!$E$2:$E$766=$A1591)/('Weekly Tracker'!$N$2:$N$766&lt;&gt;""),'Weekly Tracker'!$N$2:$N$766),"")</f>
        <v/>
      </c>
      <c r="L1591" s="9">
        <f>IFERROR(LOOKUP(2,1/('Weekly Tracker'!$E$2:$E$766=$A1591)/('Weekly Tracker'!$O$2:$O$766&lt;&gt;""),'Weekly Tracker'!$O$2:$O$766),"")</f>
        <v/>
      </c>
    </row>
    <row r="1592">
      <c r="A1592" s="9" t="inlineStr">
        <is>
          <t>Sheik Mohamad CAR kdnl</t>
        </is>
      </c>
      <c r="B1592" s="9" t="inlineStr">
        <is>
          <t>918807808232</t>
        </is>
      </c>
      <c r="C1592" s="9" t="n"/>
      <c r="D1592" s="9" t="n"/>
      <c r="E1592" s="9" t="n"/>
      <c r="F1592" s="9">
        <f>IFERROR(LOOKUP(2,1/('Weekly Tracker'!$E$2:$E$766=$A1592)/('Weekly Tracker'!$F$2:$F$766&lt;&gt;""),'Weekly Tracker'!$F$2:$F$766),"")</f>
        <v/>
      </c>
      <c r="G1592" s="16">
        <f>IF(F1592&lt;&gt;"",LOOKUP(2,1/('Weekly Tracker'!$E$2:$E$766=$A1592)/('Weekly Tracker'!$F$2:$F$766&lt;&gt;""),'Weekly Tracker'!$G$2:$G$766),"")</f>
        <v/>
      </c>
      <c r="H1592" s="9">
        <f>IFERROR(LOOKUP(2,1/('Weekly Tracker'!$E$2:$E$766=$A1592)/('Weekly Tracker'!$H$2:$H$766&lt;&gt;""),'Weekly Tracker'!$H$2:$H$766),"")</f>
        <v/>
      </c>
      <c r="I1592" s="16">
        <f>IF(H1592&lt;&gt;"",LOOKUP(2,1/('Weekly Tracker'!$E$2:$E$766=$A1592)/('Weekly Tracker'!$H$2:$H$766&lt;&gt;""),'Weekly Tracker'!$I$2:$I$766),"")</f>
        <v/>
      </c>
      <c r="J1592" s="9">
        <f>IFERROR(LOOKUP(2,1/('Weekly Tracker'!$E$2:$E$766=$A1592)/('Weekly Tracker'!$J$2:$J$766&lt;&gt;""),'Weekly Tracker'!$J$2:$J$766),"")</f>
        <v/>
      </c>
      <c r="K1592" s="9">
        <f>IFERROR(LOOKUP(2,1/('Weekly Tracker'!$E$2:$E$766=$A1592)/('Weekly Tracker'!$N$2:$N$766&lt;&gt;""),'Weekly Tracker'!$N$2:$N$766),"")</f>
        <v/>
      </c>
      <c r="L1592" s="9">
        <f>IFERROR(LOOKUP(2,1/('Weekly Tracker'!$E$2:$E$766=$A1592)/('Weekly Tracker'!$O$2:$O$766&lt;&gt;""),'Weekly Tracker'!$O$2:$O$766),"")</f>
        <v/>
      </c>
    </row>
    <row r="1593">
      <c r="A1593" s="9" t="inlineStr">
        <is>
          <t>Soni Coder Insta</t>
        </is>
      </c>
      <c r="B1593" s="9" t="inlineStr">
        <is>
          <t>87693 43334</t>
        </is>
      </c>
      <c r="C1593" s="9" t="n"/>
      <c r="D1593" s="9" t="n"/>
      <c r="E1593" s="9" t="n"/>
      <c r="F1593" s="9">
        <f>IFERROR(LOOKUP(2,1/('Weekly Tracker'!$E$2:$E$766=$A1593)/('Weekly Tracker'!$F$2:$F$766&lt;&gt;""),'Weekly Tracker'!$F$2:$F$766),"")</f>
        <v/>
      </c>
      <c r="G1593" s="16">
        <f>IF(F1593&lt;&gt;"",LOOKUP(2,1/('Weekly Tracker'!$E$2:$E$766=$A1593)/('Weekly Tracker'!$F$2:$F$766&lt;&gt;""),'Weekly Tracker'!$G$2:$G$766),"")</f>
        <v/>
      </c>
      <c r="H1593" s="9">
        <f>IFERROR(LOOKUP(2,1/('Weekly Tracker'!$E$2:$E$766=$A1593)/('Weekly Tracker'!$H$2:$H$766&lt;&gt;""),'Weekly Tracker'!$H$2:$H$766),"")</f>
        <v/>
      </c>
      <c r="I1593" s="16">
        <f>IF(H1593&lt;&gt;"",LOOKUP(2,1/('Weekly Tracker'!$E$2:$E$766=$A1593)/('Weekly Tracker'!$H$2:$H$766&lt;&gt;""),'Weekly Tracker'!$I$2:$I$766),"")</f>
        <v/>
      </c>
      <c r="J1593" s="9">
        <f>IFERROR(LOOKUP(2,1/('Weekly Tracker'!$E$2:$E$766=$A1593)/('Weekly Tracker'!$J$2:$J$766&lt;&gt;""),'Weekly Tracker'!$J$2:$J$766),"")</f>
        <v/>
      </c>
      <c r="K1593" s="9">
        <f>IFERROR(LOOKUP(2,1/('Weekly Tracker'!$E$2:$E$766=$A1593)/('Weekly Tracker'!$N$2:$N$766&lt;&gt;""),'Weekly Tracker'!$N$2:$N$766),"")</f>
        <v/>
      </c>
      <c r="L1593" s="9">
        <f>IFERROR(LOOKUP(2,1/('Weekly Tracker'!$E$2:$E$766=$A1593)/('Weekly Tracker'!$O$2:$O$766&lt;&gt;""),'Weekly Tracker'!$O$2:$O$766),"")</f>
        <v/>
      </c>
    </row>
    <row r="1594">
      <c r="A1594" s="9" t="inlineStr">
        <is>
          <t>Shinu Jose TCS HR</t>
        </is>
      </c>
      <c r="B1594" s="9" t="inlineStr">
        <is>
          <t>917593010833</t>
        </is>
      </c>
      <c r="C1594" s="9" t="n"/>
      <c r="D1594" s="9" t="n"/>
      <c r="E1594" s="9" t="n"/>
      <c r="F1594" s="9">
        <f>IFERROR(LOOKUP(2,1/('Weekly Tracker'!$E$2:$E$766=$A1594)/('Weekly Tracker'!$F$2:$F$766&lt;&gt;""),'Weekly Tracker'!$F$2:$F$766),"")</f>
        <v/>
      </c>
      <c r="G1594" s="16">
        <f>IF(F1594&lt;&gt;"",LOOKUP(2,1/('Weekly Tracker'!$E$2:$E$766=$A1594)/('Weekly Tracker'!$F$2:$F$766&lt;&gt;""),'Weekly Tracker'!$G$2:$G$766),"")</f>
        <v/>
      </c>
      <c r="H1594" s="9">
        <f>IFERROR(LOOKUP(2,1/('Weekly Tracker'!$E$2:$E$766=$A1594)/('Weekly Tracker'!$H$2:$H$766&lt;&gt;""),'Weekly Tracker'!$H$2:$H$766),"")</f>
        <v/>
      </c>
      <c r="I1594" s="16">
        <f>IF(H1594&lt;&gt;"",LOOKUP(2,1/('Weekly Tracker'!$E$2:$E$766=$A1594)/('Weekly Tracker'!$H$2:$H$766&lt;&gt;""),'Weekly Tracker'!$I$2:$I$766),"")</f>
        <v/>
      </c>
      <c r="J1594" s="9">
        <f>IFERROR(LOOKUP(2,1/('Weekly Tracker'!$E$2:$E$766=$A1594)/('Weekly Tracker'!$J$2:$J$766&lt;&gt;""),'Weekly Tracker'!$J$2:$J$766),"")</f>
        <v/>
      </c>
      <c r="K1594" s="9">
        <f>IFERROR(LOOKUP(2,1/('Weekly Tracker'!$E$2:$E$766=$A1594)/('Weekly Tracker'!$N$2:$N$766&lt;&gt;""),'Weekly Tracker'!$N$2:$N$766),"")</f>
        <v/>
      </c>
      <c r="L1594" s="9">
        <f>IFERROR(LOOKUP(2,1/('Weekly Tracker'!$E$2:$E$766=$A1594)/('Weekly Tracker'!$O$2:$O$766&lt;&gt;""),'Weekly Tracker'!$O$2:$O$766),"")</f>
        <v/>
      </c>
    </row>
    <row r="1595">
      <c r="A1595" s="9" t="inlineStr">
        <is>
          <t>Selvam</t>
        </is>
      </c>
      <c r="B1595" s="9" t="inlineStr">
        <is>
          <t>919791517425</t>
        </is>
      </c>
      <c r="C1595" s="9" t="n"/>
      <c r="D1595" s="9" t="n"/>
      <c r="E1595" s="9" t="n"/>
      <c r="F1595" s="9">
        <f>IFERROR(LOOKUP(2,1/('Weekly Tracker'!$E$2:$E$766=$A1595)/('Weekly Tracker'!$F$2:$F$766&lt;&gt;""),'Weekly Tracker'!$F$2:$F$766),"")</f>
        <v/>
      </c>
      <c r="G1595" s="16">
        <f>IF(F1595&lt;&gt;"",LOOKUP(2,1/('Weekly Tracker'!$E$2:$E$766=$A1595)/('Weekly Tracker'!$F$2:$F$766&lt;&gt;""),'Weekly Tracker'!$G$2:$G$766),"")</f>
        <v/>
      </c>
      <c r="H1595" s="9">
        <f>IFERROR(LOOKUP(2,1/('Weekly Tracker'!$E$2:$E$766=$A1595)/('Weekly Tracker'!$H$2:$H$766&lt;&gt;""),'Weekly Tracker'!$H$2:$H$766),"")</f>
        <v/>
      </c>
      <c r="I1595" s="16">
        <f>IF(H1595&lt;&gt;"",LOOKUP(2,1/('Weekly Tracker'!$E$2:$E$766=$A1595)/('Weekly Tracker'!$H$2:$H$766&lt;&gt;""),'Weekly Tracker'!$I$2:$I$766),"")</f>
        <v/>
      </c>
      <c r="J1595" s="9">
        <f>IFERROR(LOOKUP(2,1/('Weekly Tracker'!$E$2:$E$766=$A1595)/('Weekly Tracker'!$J$2:$J$766&lt;&gt;""),'Weekly Tracker'!$J$2:$J$766),"")</f>
        <v/>
      </c>
      <c r="K1595" s="9">
        <f>IFERROR(LOOKUP(2,1/('Weekly Tracker'!$E$2:$E$766=$A1595)/('Weekly Tracker'!$N$2:$N$766&lt;&gt;""),'Weekly Tracker'!$N$2:$N$766),"")</f>
        <v/>
      </c>
      <c r="L1595" s="9">
        <f>IFERROR(LOOKUP(2,1/('Weekly Tracker'!$E$2:$E$766=$A1595)/('Weekly Tracker'!$O$2:$O$766&lt;&gt;""),'Weekly Tracker'!$O$2:$O$766),"")</f>
        <v/>
      </c>
    </row>
    <row r="1596">
      <c r="A1596" s="9" t="inlineStr">
        <is>
          <t>Mariappan Scan</t>
        </is>
      </c>
      <c r="B1596" s="9" t="inlineStr">
        <is>
          <t>9884189111</t>
        </is>
      </c>
      <c r="C1596" s="9" t="n"/>
      <c r="D1596" s="9" t="n"/>
      <c r="E1596" s="9" t="n"/>
      <c r="F1596" s="9">
        <f>IFERROR(LOOKUP(2,1/('Weekly Tracker'!$E$2:$E$766=$A1596)/('Weekly Tracker'!$F$2:$F$766&lt;&gt;""),'Weekly Tracker'!$F$2:$F$766),"")</f>
        <v/>
      </c>
      <c r="G1596" s="16">
        <f>IF(F1596&lt;&gt;"",LOOKUP(2,1/('Weekly Tracker'!$E$2:$E$766=$A1596)/('Weekly Tracker'!$F$2:$F$766&lt;&gt;""),'Weekly Tracker'!$G$2:$G$766),"")</f>
        <v/>
      </c>
      <c r="H1596" s="9">
        <f>IFERROR(LOOKUP(2,1/('Weekly Tracker'!$E$2:$E$766=$A1596)/('Weekly Tracker'!$H$2:$H$766&lt;&gt;""),'Weekly Tracker'!$H$2:$H$766),"")</f>
        <v/>
      </c>
      <c r="I1596" s="16">
        <f>IF(H1596&lt;&gt;"",LOOKUP(2,1/('Weekly Tracker'!$E$2:$E$766=$A1596)/('Weekly Tracker'!$H$2:$H$766&lt;&gt;""),'Weekly Tracker'!$I$2:$I$766),"")</f>
        <v/>
      </c>
      <c r="J1596" s="9">
        <f>IFERROR(LOOKUP(2,1/('Weekly Tracker'!$E$2:$E$766=$A1596)/('Weekly Tracker'!$J$2:$J$766&lt;&gt;""),'Weekly Tracker'!$J$2:$J$766),"")</f>
        <v/>
      </c>
      <c r="K1596" s="9">
        <f>IFERROR(LOOKUP(2,1/('Weekly Tracker'!$E$2:$E$766=$A1596)/('Weekly Tracker'!$N$2:$N$766&lt;&gt;""),'Weekly Tracker'!$N$2:$N$766),"")</f>
        <v/>
      </c>
      <c r="L1596" s="9">
        <f>IFERROR(LOOKUP(2,1/('Weekly Tracker'!$E$2:$E$766=$A1596)/('Weekly Tracker'!$O$2:$O$766&lt;&gt;""),'Weekly Tracker'!$O$2:$O$766),"")</f>
        <v/>
      </c>
    </row>
    <row r="1597">
      <c r="A1597" s="9" t="inlineStr">
        <is>
          <t>Lab Anamoly Scan</t>
        </is>
      </c>
      <c r="B1597" s="9" t="inlineStr">
        <is>
          <t>918939877234</t>
        </is>
      </c>
      <c r="C1597" s="9" t="n"/>
      <c r="D1597" s="9" t="n"/>
      <c r="E1597" s="9" t="n"/>
      <c r="F1597" s="9">
        <f>IFERROR(LOOKUP(2,1/('Weekly Tracker'!$E$2:$E$766=$A1597)/('Weekly Tracker'!$F$2:$F$766&lt;&gt;""),'Weekly Tracker'!$F$2:$F$766),"")</f>
        <v/>
      </c>
      <c r="G1597" s="16">
        <f>IF(F1597&lt;&gt;"",LOOKUP(2,1/('Weekly Tracker'!$E$2:$E$766=$A1597)/('Weekly Tracker'!$F$2:$F$766&lt;&gt;""),'Weekly Tracker'!$G$2:$G$766),"")</f>
        <v/>
      </c>
      <c r="H1597" s="9">
        <f>IFERROR(LOOKUP(2,1/('Weekly Tracker'!$E$2:$E$766=$A1597)/('Weekly Tracker'!$H$2:$H$766&lt;&gt;""),'Weekly Tracker'!$H$2:$H$766),"")</f>
        <v/>
      </c>
      <c r="I1597" s="16">
        <f>IF(H1597&lt;&gt;"",LOOKUP(2,1/('Weekly Tracker'!$E$2:$E$766=$A1597)/('Weekly Tracker'!$H$2:$H$766&lt;&gt;""),'Weekly Tracker'!$I$2:$I$766),"")</f>
        <v/>
      </c>
      <c r="J1597" s="9">
        <f>IFERROR(LOOKUP(2,1/('Weekly Tracker'!$E$2:$E$766=$A1597)/('Weekly Tracker'!$J$2:$J$766&lt;&gt;""),'Weekly Tracker'!$J$2:$J$766),"")</f>
        <v/>
      </c>
      <c r="K1597" s="9">
        <f>IFERROR(LOOKUP(2,1/('Weekly Tracker'!$E$2:$E$766=$A1597)/('Weekly Tracker'!$N$2:$N$766&lt;&gt;""),'Weekly Tracker'!$N$2:$N$766),"")</f>
        <v/>
      </c>
      <c r="L1597" s="9">
        <f>IFERROR(LOOKUP(2,1/('Weekly Tracker'!$E$2:$E$766=$A1597)/('Weekly Tracker'!$O$2:$O$766&lt;&gt;""),'Weekly Tracker'!$O$2:$O$766),"")</f>
        <v/>
      </c>
    </row>
    <row r="1598">
      <c r="A1598" s="9" t="inlineStr">
        <is>
          <t>Rahul HR Cognizant</t>
        </is>
      </c>
      <c r="B1598" s="9" t="inlineStr">
        <is>
          <t>917358507073</t>
        </is>
      </c>
      <c r="C1598" s="9" t="n"/>
      <c r="D1598" s="9" t="n"/>
      <c r="E1598" s="9" t="n"/>
      <c r="F1598" s="9">
        <f>IFERROR(LOOKUP(2,1/('Weekly Tracker'!$E$2:$E$766=$A1598)/('Weekly Tracker'!$F$2:$F$766&lt;&gt;""),'Weekly Tracker'!$F$2:$F$766),"")</f>
        <v/>
      </c>
      <c r="G1598" s="16">
        <f>IF(F1598&lt;&gt;"",LOOKUP(2,1/('Weekly Tracker'!$E$2:$E$766=$A1598)/('Weekly Tracker'!$F$2:$F$766&lt;&gt;""),'Weekly Tracker'!$G$2:$G$766),"")</f>
        <v/>
      </c>
      <c r="H1598" s="9">
        <f>IFERROR(LOOKUP(2,1/('Weekly Tracker'!$E$2:$E$766=$A1598)/('Weekly Tracker'!$H$2:$H$766&lt;&gt;""),'Weekly Tracker'!$H$2:$H$766),"")</f>
        <v/>
      </c>
      <c r="I1598" s="16">
        <f>IF(H1598&lt;&gt;"",LOOKUP(2,1/('Weekly Tracker'!$E$2:$E$766=$A1598)/('Weekly Tracker'!$H$2:$H$766&lt;&gt;""),'Weekly Tracker'!$I$2:$I$766),"")</f>
        <v/>
      </c>
      <c r="J1598" s="9">
        <f>IFERROR(LOOKUP(2,1/('Weekly Tracker'!$E$2:$E$766=$A1598)/('Weekly Tracker'!$J$2:$J$766&lt;&gt;""),'Weekly Tracker'!$J$2:$J$766),"")</f>
        <v/>
      </c>
      <c r="K1598" s="9">
        <f>IFERROR(LOOKUP(2,1/('Weekly Tracker'!$E$2:$E$766=$A1598)/('Weekly Tracker'!$N$2:$N$766&lt;&gt;""),'Weekly Tracker'!$N$2:$N$766),"")</f>
        <v/>
      </c>
      <c r="L1598" s="9">
        <f>IFERROR(LOOKUP(2,1/('Weekly Tracker'!$E$2:$E$766=$A1598)/('Weekly Tracker'!$O$2:$O$766&lt;&gt;""),'Weekly Tracker'!$O$2:$O$766),"")</f>
        <v/>
      </c>
    </row>
    <row r="1599">
      <c r="A1599" s="9" t="inlineStr">
        <is>
          <t>Elumalai Milkman</t>
        </is>
      </c>
      <c r="B1599" s="9" t="inlineStr">
        <is>
          <t>918148792665</t>
        </is>
      </c>
      <c r="C1599" s="9" t="n"/>
      <c r="D1599" s="9" t="n"/>
      <c r="E1599" s="9" t="n"/>
      <c r="F1599" s="9">
        <f>IFERROR(LOOKUP(2,1/('Weekly Tracker'!$E$2:$E$766=$A1599)/('Weekly Tracker'!$F$2:$F$766&lt;&gt;""),'Weekly Tracker'!$F$2:$F$766),"")</f>
        <v/>
      </c>
      <c r="G1599" s="16">
        <f>IF(F1599&lt;&gt;"",LOOKUP(2,1/('Weekly Tracker'!$E$2:$E$766=$A1599)/('Weekly Tracker'!$F$2:$F$766&lt;&gt;""),'Weekly Tracker'!$G$2:$G$766),"")</f>
        <v/>
      </c>
      <c r="H1599" s="9">
        <f>IFERROR(LOOKUP(2,1/('Weekly Tracker'!$E$2:$E$766=$A1599)/('Weekly Tracker'!$H$2:$H$766&lt;&gt;""),'Weekly Tracker'!$H$2:$H$766),"")</f>
        <v/>
      </c>
      <c r="I1599" s="16">
        <f>IF(H1599&lt;&gt;"",LOOKUP(2,1/('Weekly Tracker'!$E$2:$E$766=$A1599)/('Weekly Tracker'!$H$2:$H$766&lt;&gt;""),'Weekly Tracker'!$I$2:$I$766),"")</f>
        <v/>
      </c>
      <c r="J1599" s="9">
        <f>IFERROR(LOOKUP(2,1/('Weekly Tracker'!$E$2:$E$766=$A1599)/('Weekly Tracker'!$J$2:$J$766&lt;&gt;""),'Weekly Tracker'!$J$2:$J$766),"")</f>
        <v/>
      </c>
      <c r="K1599" s="9">
        <f>IFERROR(LOOKUP(2,1/('Weekly Tracker'!$E$2:$E$766=$A1599)/('Weekly Tracker'!$N$2:$N$766&lt;&gt;""),'Weekly Tracker'!$N$2:$N$766),"")</f>
        <v/>
      </c>
      <c r="L1599" s="9">
        <f>IFERROR(LOOKUP(2,1/('Weekly Tracker'!$E$2:$E$766=$A1599)/('Weekly Tracker'!$O$2:$O$766&lt;&gt;""),'Weekly Tracker'!$O$2:$O$766),"")</f>
        <v/>
      </c>
    </row>
    <row r="1600">
      <c r="A1600" s="9" t="inlineStr">
        <is>
          <t>Anita Ford</t>
        </is>
      </c>
      <c r="B1600" s="9" t="inlineStr">
        <is>
          <t>98842 10445</t>
        </is>
      </c>
      <c r="C1600" s="9" t="n"/>
      <c r="D1600" s="9" t="n"/>
      <c r="E1600" s="9" t="n"/>
      <c r="F1600" s="9">
        <f>IFERROR(LOOKUP(2,1/('Weekly Tracker'!$E$2:$E$766=$A1600)/('Weekly Tracker'!$F$2:$F$766&lt;&gt;""),'Weekly Tracker'!$F$2:$F$766),"")</f>
        <v/>
      </c>
      <c r="G1600" s="16">
        <f>IF(F1600&lt;&gt;"",LOOKUP(2,1/('Weekly Tracker'!$E$2:$E$766=$A1600)/('Weekly Tracker'!$F$2:$F$766&lt;&gt;""),'Weekly Tracker'!$G$2:$G$766),"")</f>
        <v/>
      </c>
      <c r="H1600" s="9">
        <f>IFERROR(LOOKUP(2,1/('Weekly Tracker'!$E$2:$E$766=$A1600)/('Weekly Tracker'!$H$2:$H$766&lt;&gt;""),'Weekly Tracker'!$H$2:$H$766),"")</f>
        <v/>
      </c>
      <c r="I1600" s="16">
        <f>IF(H1600&lt;&gt;"",LOOKUP(2,1/('Weekly Tracker'!$E$2:$E$766=$A1600)/('Weekly Tracker'!$H$2:$H$766&lt;&gt;""),'Weekly Tracker'!$I$2:$I$766),"")</f>
        <v/>
      </c>
      <c r="J1600" s="9">
        <f>IFERROR(LOOKUP(2,1/('Weekly Tracker'!$E$2:$E$766=$A1600)/('Weekly Tracker'!$J$2:$J$766&lt;&gt;""),'Weekly Tracker'!$J$2:$J$766),"")</f>
        <v/>
      </c>
      <c r="K1600" s="9">
        <f>IFERROR(LOOKUP(2,1/('Weekly Tracker'!$E$2:$E$766=$A1600)/('Weekly Tracker'!$N$2:$N$766&lt;&gt;""),'Weekly Tracker'!$N$2:$N$766),"")</f>
        <v/>
      </c>
      <c r="L1600" s="9">
        <f>IFERROR(LOOKUP(2,1/('Weekly Tracker'!$E$2:$E$766=$A1600)/('Weekly Tracker'!$O$2:$O$766&lt;&gt;""),'Weekly Tracker'!$O$2:$O$766),"")</f>
        <v/>
      </c>
    </row>
    <row r="1601">
      <c r="A1601" s="9" t="inlineStr">
        <is>
          <t>Brilly Sharon Sir</t>
        </is>
      </c>
      <c r="B1601" s="9" t="inlineStr">
        <is>
          <t>919789515316, +91 97893 45316</t>
        </is>
      </c>
      <c r="C1601" s="9" t="n"/>
      <c r="D1601" s="9" t="n"/>
      <c r="E1601" s="9" t="n"/>
      <c r="F1601" s="9">
        <f>IFERROR(LOOKUP(2,1/('Weekly Tracker'!$E$2:$E$766=$A1601)/('Weekly Tracker'!$F$2:$F$766&lt;&gt;""),'Weekly Tracker'!$F$2:$F$766),"")</f>
        <v/>
      </c>
      <c r="G1601" s="16">
        <f>IF(F1601&lt;&gt;"",LOOKUP(2,1/('Weekly Tracker'!$E$2:$E$766=$A1601)/('Weekly Tracker'!$F$2:$F$766&lt;&gt;""),'Weekly Tracker'!$G$2:$G$766),"")</f>
        <v/>
      </c>
      <c r="H1601" s="9">
        <f>IFERROR(LOOKUP(2,1/('Weekly Tracker'!$E$2:$E$766=$A1601)/('Weekly Tracker'!$H$2:$H$766&lt;&gt;""),'Weekly Tracker'!$H$2:$H$766),"")</f>
        <v/>
      </c>
      <c r="I1601" s="16">
        <f>IF(H1601&lt;&gt;"",LOOKUP(2,1/('Weekly Tracker'!$E$2:$E$766=$A1601)/('Weekly Tracker'!$H$2:$H$766&lt;&gt;""),'Weekly Tracker'!$I$2:$I$766),"")</f>
        <v/>
      </c>
      <c r="J1601" s="9">
        <f>IFERROR(LOOKUP(2,1/('Weekly Tracker'!$E$2:$E$766=$A1601)/('Weekly Tracker'!$J$2:$J$766&lt;&gt;""),'Weekly Tracker'!$J$2:$J$766),"")</f>
        <v/>
      </c>
      <c r="K1601" s="9">
        <f>IFERROR(LOOKUP(2,1/('Weekly Tracker'!$E$2:$E$766=$A1601)/('Weekly Tracker'!$N$2:$N$766&lt;&gt;""),'Weekly Tracker'!$N$2:$N$766),"")</f>
        <v/>
      </c>
      <c r="L1601" s="9">
        <f>IFERROR(LOOKUP(2,1/('Weekly Tracker'!$E$2:$E$766=$A1601)/('Weekly Tracker'!$O$2:$O$766&lt;&gt;""),'Weekly Tracker'!$O$2:$O$766),"")</f>
        <v/>
      </c>
    </row>
    <row r="1602">
      <c r="A1602" s="9" t="inlineStr">
        <is>
          <t>Vignesh HCL Ford</t>
        </is>
      </c>
      <c r="B1602" s="9" t="inlineStr">
        <is>
          <t>919790631732</t>
        </is>
      </c>
      <c r="C1602" s="9" t="n"/>
      <c r="D1602" s="9" t="n"/>
      <c r="E1602" s="9" t="n"/>
      <c r="F1602" s="9">
        <f>IFERROR(LOOKUP(2,1/('Weekly Tracker'!$E$2:$E$766=$A1602)/('Weekly Tracker'!$F$2:$F$766&lt;&gt;""),'Weekly Tracker'!$F$2:$F$766),"")</f>
        <v/>
      </c>
      <c r="G1602" s="16">
        <f>IF(F1602&lt;&gt;"",LOOKUP(2,1/('Weekly Tracker'!$E$2:$E$766=$A1602)/('Weekly Tracker'!$F$2:$F$766&lt;&gt;""),'Weekly Tracker'!$G$2:$G$766),"")</f>
        <v/>
      </c>
      <c r="H1602" s="9">
        <f>IFERROR(LOOKUP(2,1/('Weekly Tracker'!$E$2:$E$766=$A1602)/('Weekly Tracker'!$H$2:$H$766&lt;&gt;""),'Weekly Tracker'!$H$2:$H$766),"")</f>
        <v/>
      </c>
      <c r="I1602" s="16">
        <f>IF(H1602&lt;&gt;"",LOOKUP(2,1/('Weekly Tracker'!$E$2:$E$766=$A1602)/('Weekly Tracker'!$H$2:$H$766&lt;&gt;""),'Weekly Tracker'!$I$2:$I$766),"")</f>
        <v/>
      </c>
      <c r="J1602" s="9">
        <f>IFERROR(LOOKUP(2,1/('Weekly Tracker'!$E$2:$E$766=$A1602)/('Weekly Tracker'!$J$2:$J$766&lt;&gt;""),'Weekly Tracker'!$J$2:$J$766),"")</f>
        <v/>
      </c>
      <c r="K1602" s="9">
        <f>IFERROR(LOOKUP(2,1/('Weekly Tracker'!$E$2:$E$766=$A1602)/('Weekly Tracker'!$N$2:$N$766&lt;&gt;""),'Weekly Tracker'!$N$2:$N$766),"")</f>
        <v/>
      </c>
      <c r="L1602" s="9">
        <f>IFERROR(LOOKUP(2,1/('Weekly Tracker'!$E$2:$E$766=$A1602)/('Weekly Tracker'!$O$2:$O$766&lt;&gt;""),'Weekly Tracker'!$O$2:$O$766),"")</f>
        <v/>
      </c>
    </row>
    <row r="1603">
      <c r="A1603" s="9" t="inlineStr">
        <is>
          <t>Sundari Charu</t>
        </is>
      </c>
      <c r="B1603" s="9" t="inlineStr">
        <is>
          <t>95661 68973</t>
        </is>
      </c>
      <c r="C1603" s="9" t="n"/>
      <c r="D1603" s="9" t="n"/>
      <c r="E1603" s="9" t="n"/>
      <c r="F1603" s="9">
        <f>IFERROR(LOOKUP(2,1/('Weekly Tracker'!$E$2:$E$766=$A1603)/('Weekly Tracker'!$F$2:$F$766&lt;&gt;""),'Weekly Tracker'!$F$2:$F$766),"")</f>
        <v/>
      </c>
      <c r="G1603" s="16">
        <f>IF(F1603&lt;&gt;"",LOOKUP(2,1/('Weekly Tracker'!$E$2:$E$766=$A1603)/('Weekly Tracker'!$F$2:$F$766&lt;&gt;""),'Weekly Tracker'!$G$2:$G$766),"")</f>
        <v/>
      </c>
      <c r="H1603" s="9">
        <f>IFERROR(LOOKUP(2,1/('Weekly Tracker'!$E$2:$E$766=$A1603)/('Weekly Tracker'!$H$2:$H$766&lt;&gt;""),'Weekly Tracker'!$H$2:$H$766),"")</f>
        <v/>
      </c>
      <c r="I1603" s="16">
        <f>IF(H1603&lt;&gt;"",LOOKUP(2,1/('Weekly Tracker'!$E$2:$E$766=$A1603)/('Weekly Tracker'!$H$2:$H$766&lt;&gt;""),'Weekly Tracker'!$I$2:$I$766),"")</f>
        <v/>
      </c>
      <c r="J1603" s="9">
        <f>IFERROR(LOOKUP(2,1/('Weekly Tracker'!$E$2:$E$766=$A1603)/('Weekly Tracker'!$J$2:$J$766&lt;&gt;""),'Weekly Tracker'!$J$2:$J$766),"")</f>
        <v/>
      </c>
      <c r="K1603" s="9">
        <f>IFERROR(LOOKUP(2,1/('Weekly Tracker'!$E$2:$E$766=$A1603)/('Weekly Tracker'!$N$2:$N$766&lt;&gt;""),'Weekly Tracker'!$N$2:$N$766),"")</f>
        <v/>
      </c>
      <c r="L1603" s="9">
        <f>IFERROR(LOOKUP(2,1/('Weekly Tracker'!$E$2:$E$766=$A1603)/('Weekly Tracker'!$O$2:$O$766&lt;&gt;""),'Weekly Tracker'!$O$2:$O$766),"")</f>
        <v/>
      </c>
    </row>
    <row r="1604">
      <c r="A1604" s="9" t="inlineStr">
        <is>
          <t>Akshaya N</t>
        </is>
      </c>
      <c r="B1604" s="9" t="inlineStr">
        <is>
          <t>919789181755</t>
        </is>
      </c>
      <c r="C1604" s="9" t="n"/>
      <c r="D1604" s="9" t="n"/>
      <c r="E1604" s="9" t="n"/>
      <c r="F1604" s="9">
        <f>IFERROR(LOOKUP(2,1/('Weekly Tracker'!$E$2:$E$766=$A1604)/('Weekly Tracker'!$F$2:$F$766&lt;&gt;""),'Weekly Tracker'!$F$2:$F$766),"")</f>
        <v/>
      </c>
      <c r="G1604" s="16">
        <f>IF(F1604&lt;&gt;"",LOOKUP(2,1/('Weekly Tracker'!$E$2:$E$766=$A1604)/('Weekly Tracker'!$F$2:$F$766&lt;&gt;""),'Weekly Tracker'!$G$2:$G$766),"")</f>
        <v/>
      </c>
      <c r="H1604" s="9">
        <f>IFERROR(LOOKUP(2,1/('Weekly Tracker'!$E$2:$E$766=$A1604)/('Weekly Tracker'!$H$2:$H$766&lt;&gt;""),'Weekly Tracker'!$H$2:$H$766),"")</f>
        <v/>
      </c>
      <c r="I1604" s="16">
        <f>IF(H1604&lt;&gt;"",LOOKUP(2,1/('Weekly Tracker'!$E$2:$E$766=$A1604)/('Weekly Tracker'!$H$2:$H$766&lt;&gt;""),'Weekly Tracker'!$I$2:$I$766),"")</f>
        <v/>
      </c>
      <c r="J1604" s="9">
        <f>IFERROR(LOOKUP(2,1/('Weekly Tracker'!$E$2:$E$766=$A1604)/('Weekly Tracker'!$J$2:$J$766&lt;&gt;""),'Weekly Tracker'!$J$2:$J$766),"")</f>
        <v/>
      </c>
      <c r="K1604" s="9">
        <f>IFERROR(LOOKUP(2,1/('Weekly Tracker'!$E$2:$E$766=$A1604)/('Weekly Tracker'!$N$2:$N$766&lt;&gt;""),'Weekly Tracker'!$N$2:$N$766),"")</f>
        <v/>
      </c>
      <c r="L1604" s="9">
        <f>IFERROR(LOOKUP(2,1/('Weekly Tracker'!$E$2:$E$766=$A1604)/('Weekly Tracker'!$O$2:$O$766&lt;&gt;""),'Weekly Tracker'!$O$2:$O$766),"")</f>
        <v/>
      </c>
    </row>
    <row r="1605">
      <c r="A1605" s="9" t="inlineStr">
        <is>
          <t>Sripraksh Pooshnam CTS</t>
        </is>
      </c>
      <c r="B1605" s="9" t="inlineStr">
        <is>
          <t>919789052060</t>
        </is>
      </c>
      <c r="C1605" s="9" t="n"/>
      <c r="D1605" s="9" t="n"/>
      <c r="E1605" s="9" t="n"/>
      <c r="F1605" s="9">
        <f>IFERROR(LOOKUP(2,1/('Weekly Tracker'!$E$2:$E$766=$A1605)/('Weekly Tracker'!$F$2:$F$766&lt;&gt;""),'Weekly Tracker'!$F$2:$F$766),"")</f>
        <v/>
      </c>
      <c r="G1605" s="16">
        <f>IF(F1605&lt;&gt;"",LOOKUP(2,1/('Weekly Tracker'!$E$2:$E$766=$A1605)/('Weekly Tracker'!$F$2:$F$766&lt;&gt;""),'Weekly Tracker'!$G$2:$G$766),"")</f>
        <v/>
      </c>
      <c r="H1605" s="9">
        <f>IFERROR(LOOKUP(2,1/('Weekly Tracker'!$E$2:$E$766=$A1605)/('Weekly Tracker'!$H$2:$H$766&lt;&gt;""),'Weekly Tracker'!$H$2:$H$766),"")</f>
        <v/>
      </c>
      <c r="I1605" s="16">
        <f>IF(H1605&lt;&gt;"",LOOKUP(2,1/('Weekly Tracker'!$E$2:$E$766=$A1605)/('Weekly Tracker'!$H$2:$H$766&lt;&gt;""),'Weekly Tracker'!$I$2:$I$766),"")</f>
        <v/>
      </c>
      <c r="J1605" s="9">
        <f>IFERROR(LOOKUP(2,1/('Weekly Tracker'!$E$2:$E$766=$A1605)/('Weekly Tracker'!$J$2:$J$766&lt;&gt;""),'Weekly Tracker'!$J$2:$J$766),"")</f>
        <v/>
      </c>
      <c r="K1605" s="9">
        <f>IFERROR(LOOKUP(2,1/('Weekly Tracker'!$E$2:$E$766=$A1605)/('Weekly Tracker'!$N$2:$N$766&lt;&gt;""),'Weekly Tracker'!$N$2:$N$766),"")</f>
        <v/>
      </c>
      <c r="L1605" s="9">
        <f>IFERROR(LOOKUP(2,1/('Weekly Tracker'!$E$2:$E$766=$A1605)/('Weekly Tracker'!$O$2:$O$766&lt;&gt;""),'Weekly Tracker'!$O$2:$O$766),"")</f>
        <v/>
      </c>
    </row>
    <row r="1606">
      <c r="A1606" s="9" t="inlineStr">
        <is>
          <t>Ananth vel Grp</t>
        </is>
      </c>
      <c r="B1606" s="9" t="inlineStr">
        <is>
          <t>919994175498</t>
        </is>
      </c>
      <c r="C1606" s="9" t="n"/>
      <c r="D1606" s="9" t="n"/>
      <c r="E1606" s="9" t="n"/>
      <c r="F1606" s="9">
        <f>IFERROR(LOOKUP(2,1/('Weekly Tracker'!$E$2:$E$766=$A1606)/('Weekly Tracker'!$F$2:$F$766&lt;&gt;""),'Weekly Tracker'!$F$2:$F$766),"")</f>
        <v/>
      </c>
      <c r="G1606" s="16">
        <f>IF(F1606&lt;&gt;"",LOOKUP(2,1/('Weekly Tracker'!$E$2:$E$766=$A1606)/('Weekly Tracker'!$F$2:$F$766&lt;&gt;""),'Weekly Tracker'!$G$2:$G$766),"")</f>
        <v/>
      </c>
      <c r="H1606" s="9">
        <f>IFERROR(LOOKUP(2,1/('Weekly Tracker'!$E$2:$E$766=$A1606)/('Weekly Tracker'!$H$2:$H$766&lt;&gt;""),'Weekly Tracker'!$H$2:$H$766),"")</f>
        <v/>
      </c>
      <c r="I1606" s="16">
        <f>IF(H1606&lt;&gt;"",LOOKUP(2,1/('Weekly Tracker'!$E$2:$E$766=$A1606)/('Weekly Tracker'!$H$2:$H$766&lt;&gt;""),'Weekly Tracker'!$I$2:$I$766),"")</f>
        <v/>
      </c>
      <c r="J1606" s="9">
        <f>IFERROR(LOOKUP(2,1/('Weekly Tracker'!$E$2:$E$766=$A1606)/('Weekly Tracker'!$J$2:$J$766&lt;&gt;""),'Weekly Tracker'!$J$2:$J$766),"")</f>
        <v/>
      </c>
      <c r="K1606" s="9">
        <f>IFERROR(LOOKUP(2,1/('Weekly Tracker'!$E$2:$E$766=$A1606)/('Weekly Tracker'!$N$2:$N$766&lt;&gt;""),'Weekly Tracker'!$N$2:$N$766),"")</f>
        <v/>
      </c>
      <c r="L1606" s="9">
        <f>IFERROR(LOOKUP(2,1/('Weekly Tracker'!$E$2:$E$766=$A1606)/('Weekly Tracker'!$O$2:$O$766&lt;&gt;""),'Weekly Tracker'!$O$2:$O$766),"")</f>
        <v/>
      </c>
    </row>
    <row r="1607">
      <c r="A1607" s="9" t="inlineStr">
        <is>
          <t>Dhamotharan CTS</t>
        </is>
      </c>
      <c r="B1607" s="9" t="inlineStr">
        <is>
          <t>919884048645</t>
        </is>
      </c>
      <c r="C1607" s="9" t="n"/>
      <c r="D1607" s="9" t="n"/>
      <c r="E1607" s="9" t="n"/>
      <c r="F1607" s="9">
        <f>IFERROR(LOOKUP(2,1/('Weekly Tracker'!$E$2:$E$766=$A1607)/('Weekly Tracker'!$F$2:$F$766&lt;&gt;""),'Weekly Tracker'!$F$2:$F$766),"")</f>
        <v/>
      </c>
      <c r="G1607" s="16">
        <f>IF(F1607&lt;&gt;"",LOOKUP(2,1/('Weekly Tracker'!$E$2:$E$766=$A1607)/('Weekly Tracker'!$F$2:$F$766&lt;&gt;""),'Weekly Tracker'!$G$2:$G$766),"")</f>
        <v/>
      </c>
      <c r="H1607" s="9">
        <f>IFERROR(LOOKUP(2,1/('Weekly Tracker'!$E$2:$E$766=$A1607)/('Weekly Tracker'!$H$2:$H$766&lt;&gt;""),'Weekly Tracker'!$H$2:$H$766),"")</f>
        <v/>
      </c>
      <c r="I1607" s="16">
        <f>IF(H1607&lt;&gt;"",LOOKUP(2,1/('Weekly Tracker'!$E$2:$E$766=$A1607)/('Weekly Tracker'!$H$2:$H$766&lt;&gt;""),'Weekly Tracker'!$I$2:$I$766),"")</f>
        <v/>
      </c>
      <c r="J1607" s="9">
        <f>IFERROR(LOOKUP(2,1/('Weekly Tracker'!$E$2:$E$766=$A1607)/('Weekly Tracker'!$J$2:$J$766&lt;&gt;""),'Weekly Tracker'!$J$2:$J$766),"")</f>
        <v/>
      </c>
      <c r="K1607" s="9">
        <f>IFERROR(LOOKUP(2,1/('Weekly Tracker'!$E$2:$E$766=$A1607)/('Weekly Tracker'!$N$2:$N$766&lt;&gt;""),'Weekly Tracker'!$N$2:$N$766),"")</f>
        <v/>
      </c>
      <c r="L1607" s="9">
        <f>IFERROR(LOOKUP(2,1/('Weekly Tracker'!$E$2:$E$766=$A1607)/('Weekly Tracker'!$O$2:$O$766&lt;&gt;""),'Weekly Tracker'!$O$2:$O$766),"")</f>
        <v/>
      </c>
    </row>
    <row r="1608">
      <c r="A1608" s="9" t="inlineStr">
        <is>
          <t>சுகன்யா வெங்கடேஸ்வர் Ece</t>
        </is>
      </c>
      <c r="B1608" s="9" t="inlineStr">
        <is>
          <t>918438375993</t>
        </is>
      </c>
      <c r="C1608" s="9" t="n"/>
      <c r="D1608" s="9" t="n"/>
      <c r="E1608" s="9" t="n"/>
      <c r="F1608" s="9">
        <f>IFERROR(LOOKUP(2,1/('Weekly Tracker'!$E$2:$E$766=$A1608)/('Weekly Tracker'!$F$2:$F$766&lt;&gt;""),'Weekly Tracker'!$F$2:$F$766),"")</f>
        <v/>
      </c>
      <c r="G1608" s="16">
        <f>IF(F1608&lt;&gt;"",LOOKUP(2,1/('Weekly Tracker'!$E$2:$E$766=$A1608)/('Weekly Tracker'!$F$2:$F$766&lt;&gt;""),'Weekly Tracker'!$G$2:$G$766),"")</f>
        <v/>
      </c>
      <c r="H1608" s="9">
        <f>IFERROR(LOOKUP(2,1/('Weekly Tracker'!$E$2:$E$766=$A1608)/('Weekly Tracker'!$H$2:$H$766&lt;&gt;""),'Weekly Tracker'!$H$2:$H$766),"")</f>
        <v/>
      </c>
      <c r="I1608" s="16">
        <f>IF(H1608&lt;&gt;"",LOOKUP(2,1/('Weekly Tracker'!$E$2:$E$766=$A1608)/('Weekly Tracker'!$H$2:$H$766&lt;&gt;""),'Weekly Tracker'!$I$2:$I$766),"")</f>
        <v/>
      </c>
      <c r="J1608" s="9">
        <f>IFERROR(LOOKUP(2,1/('Weekly Tracker'!$E$2:$E$766=$A1608)/('Weekly Tracker'!$J$2:$J$766&lt;&gt;""),'Weekly Tracker'!$J$2:$J$766),"")</f>
        <v/>
      </c>
      <c r="K1608" s="9">
        <f>IFERROR(LOOKUP(2,1/('Weekly Tracker'!$E$2:$E$766=$A1608)/('Weekly Tracker'!$N$2:$N$766&lt;&gt;""),'Weekly Tracker'!$N$2:$N$766),"")</f>
        <v/>
      </c>
      <c r="L1608" s="9">
        <f>IFERROR(LOOKUP(2,1/('Weekly Tracker'!$E$2:$E$766=$A1608)/('Weekly Tracker'!$O$2:$O$766&lt;&gt;""),'Weekly Tracker'!$O$2:$O$766),"")</f>
        <v/>
      </c>
    </row>
    <row r="1609">
      <c r="A1609" s="9" t="inlineStr">
        <is>
          <t>Thangaraj Honda Service</t>
        </is>
      </c>
      <c r="B1609" s="9" t="inlineStr">
        <is>
          <t>918925957737</t>
        </is>
      </c>
      <c r="C1609" s="9" t="n"/>
      <c r="D1609" s="9" t="n"/>
      <c r="E1609" s="9" t="n"/>
      <c r="F1609" s="9">
        <f>IFERROR(LOOKUP(2,1/('Weekly Tracker'!$E$2:$E$766=$A1609)/('Weekly Tracker'!$F$2:$F$766&lt;&gt;""),'Weekly Tracker'!$F$2:$F$766),"")</f>
        <v/>
      </c>
      <c r="G1609" s="16">
        <f>IF(F1609&lt;&gt;"",LOOKUP(2,1/('Weekly Tracker'!$E$2:$E$766=$A1609)/('Weekly Tracker'!$F$2:$F$766&lt;&gt;""),'Weekly Tracker'!$G$2:$G$766),"")</f>
        <v/>
      </c>
      <c r="H1609" s="9">
        <f>IFERROR(LOOKUP(2,1/('Weekly Tracker'!$E$2:$E$766=$A1609)/('Weekly Tracker'!$H$2:$H$766&lt;&gt;""),'Weekly Tracker'!$H$2:$H$766),"")</f>
        <v/>
      </c>
      <c r="I1609" s="16">
        <f>IF(H1609&lt;&gt;"",LOOKUP(2,1/('Weekly Tracker'!$E$2:$E$766=$A1609)/('Weekly Tracker'!$H$2:$H$766&lt;&gt;""),'Weekly Tracker'!$I$2:$I$766),"")</f>
        <v/>
      </c>
      <c r="J1609" s="9">
        <f>IFERROR(LOOKUP(2,1/('Weekly Tracker'!$E$2:$E$766=$A1609)/('Weekly Tracker'!$J$2:$J$766&lt;&gt;""),'Weekly Tracker'!$J$2:$J$766),"")</f>
        <v/>
      </c>
      <c r="K1609" s="9">
        <f>IFERROR(LOOKUP(2,1/('Weekly Tracker'!$E$2:$E$766=$A1609)/('Weekly Tracker'!$N$2:$N$766&lt;&gt;""),'Weekly Tracker'!$N$2:$N$766),"")</f>
        <v/>
      </c>
      <c r="L1609" s="9">
        <f>IFERROR(LOOKUP(2,1/('Weekly Tracker'!$E$2:$E$766=$A1609)/('Weekly Tracker'!$O$2:$O$766&lt;&gt;""),'Weekly Tracker'!$O$2:$O$766),"")</f>
        <v/>
      </c>
    </row>
    <row r="1610">
      <c r="A1610" s="9" t="inlineStr">
        <is>
          <t>Austin Antony CTS</t>
        </is>
      </c>
      <c r="B1610" s="9" t="inlineStr">
        <is>
          <t>919789835375</t>
        </is>
      </c>
      <c r="C1610" s="9" t="n"/>
      <c r="D1610" s="9" t="n"/>
      <c r="E1610" s="9" t="n"/>
      <c r="F1610" s="9">
        <f>IFERROR(LOOKUP(2,1/('Weekly Tracker'!$E$2:$E$766=$A1610)/('Weekly Tracker'!$F$2:$F$766&lt;&gt;""),'Weekly Tracker'!$F$2:$F$766),"")</f>
        <v/>
      </c>
      <c r="G1610" s="16">
        <f>IF(F1610&lt;&gt;"",LOOKUP(2,1/('Weekly Tracker'!$E$2:$E$766=$A1610)/('Weekly Tracker'!$F$2:$F$766&lt;&gt;""),'Weekly Tracker'!$G$2:$G$766),"")</f>
        <v/>
      </c>
      <c r="H1610" s="9">
        <f>IFERROR(LOOKUP(2,1/('Weekly Tracker'!$E$2:$E$766=$A1610)/('Weekly Tracker'!$H$2:$H$766&lt;&gt;""),'Weekly Tracker'!$H$2:$H$766),"")</f>
        <v/>
      </c>
      <c r="I1610" s="16">
        <f>IF(H1610&lt;&gt;"",LOOKUP(2,1/('Weekly Tracker'!$E$2:$E$766=$A1610)/('Weekly Tracker'!$H$2:$H$766&lt;&gt;""),'Weekly Tracker'!$I$2:$I$766),"")</f>
        <v/>
      </c>
      <c r="J1610" s="9">
        <f>IFERROR(LOOKUP(2,1/('Weekly Tracker'!$E$2:$E$766=$A1610)/('Weekly Tracker'!$J$2:$J$766&lt;&gt;""),'Weekly Tracker'!$J$2:$J$766),"")</f>
        <v/>
      </c>
      <c r="K1610" s="9">
        <f>IFERROR(LOOKUP(2,1/('Weekly Tracker'!$E$2:$E$766=$A1610)/('Weekly Tracker'!$N$2:$N$766&lt;&gt;""),'Weekly Tracker'!$N$2:$N$766),"")</f>
        <v/>
      </c>
      <c r="L1610" s="9">
        <f>IFERROR(LOOKUP(2,1/('Weekly Tracker'!$E$2:$E$766=$A1610)/('Weekly Tracker'!$O$2:$O$766&lt;&gt;""),'Weekly Tracker'!$O$2:$O$766),"")</f>
        <v/>
      </c>
    </row>
    <row r="1611">
      <c r="A1611" s="9" t="inlineStr">
        <is>
          <t>Kokila Project CTS</t>
        </is>
      </c>
      <c r="B1611" s="9" t="inlineStr">
        <is>
          <t>+91 89392 54331</t>
        </is>
      </c>
      <c r="C1611" s="9" t="n"/>
      <c r="D1611" s="9" t="n"/>
      <c r="E1611" s="9" t="n"/>
      <c r="F1611" s="9">
        <f>IFERROR(LOOKUP(2,1/('Weekly Tracker'!$E$2:$E$766=$A1611)/('Weekly Tracker'!$F$2:$F$766&lt;&gt;""),'Weekly Tracker'!$F$2:$F$766),"")</f>
        <v/>
      </c>
      <c r="G1611" s="16">
        <f>IF(F1611&lt;&gt;"",LOOKUP(2,1/('Weekly Tracker'!$E$2:$E$766=$A1611)/('Weekly Tracker'!$F$2:$F$766&lt;&gt;""),'Weekly Tracker'!$G$2:$G$766),"")</f>
        <v/>
      </c>
      <c r="H1611" s="9">
        <f>IFERROR(LOOKUP(2,1/('Weekly Tracker'!$E$2:$E$766=$A1611)/('Weekly Tracker'!$H$2:$H$766&lt;&gt;""),'Weekly Tracker'!$H$2:$H$766),"")</f>
        <v/>
      </c>
      <c r="I1611" s="16">
        <f>IF(H1611&lt;&gt;"",LOOKUP(2,1/('Weekly Tracker'!$E$2:$E$766=$A1611)/('Weekly Tracker'!$H$2:$H$766&lt;&gt;""),'Weekly Tracker'!$I$2:$I$766),"")</f>
        <v/>
      </c>
      <c r="J1611" s="9">
        <f>IFERROR(LOOKUP(2,1/('Weekly Tracker'!$E$2:$E$766=$A1611)/('Weekly Tracker'!$J$2:$J$766&lt;&gt;""),'Weekly Tracker'!$J$2:$J$766),"")</f>
        <v/>
      </c>
      <c r="K1611" s="9">
        <f>IFERROR(LOOKUP(2,1/('Weekly Tracker'!$E$2:$E$766=$A1611)/('Weekly Tracker'!$N$2:$N$766&lt;&gt;""),'Weekly Tracker'!$N$2:$N$766),"")</f>
        <v/>
      </c>
      <c r="L1611" s="9">
        <f>IFERROR(LOOKUP(2,1/('Weekly Tracker'!$E$2:$E$766=$A1611)/('Weekly Tracker'!$O$2:$O$766&lt;&gt;""),'Weekly Tracker'!$O$2:$O$766),"")</f>
        <v/>
      </c>
    </row>
    <row r="1612">
      <c r="A1612" s="9" t="inlineStr">
        <is>
          <t>Gavaskar Laptop CTS</t>
        </is>
      </c>
      <c r="B1612" s="9" t="inlineStr">
        <is>
          <t>+91 95977 21053</t>
        </is>
      </c>
      <c r="C1612" s="9" t="n"/>
      <c r="D1612" s="9" t="n"/>
      <c r="E1612" s="9" t="n"/>
      <c r="F1612" s="9">
        <f>IFERROR(LOOKUP(2,1/('Weekly Tracker'!$E$2:$E$766=$A1612)/('Weekly Tracker'!$F$2:$F$766&lt;&gt;""),'Weekly Tracker'!$F$2:$F$766),"")</f>
        <v/>
      </c>
      <c r="G1612" s="16">
        <f>IF(F1612&lt;&gt;"",LOOKUP(2,1/('Weekly Tracker'!$E$2:$E$766=$A1612)/('Weekly Tracker'!$F$2:$F$766&lt;&gt;""),'Weekly Tracker'!$G$2:$G$766),"")</f>
        <v/>
      </c>
      <c r="H1612" s="9">
        <f>IFERROR(LOOKUP(2,1/('Weekly Tracker'!$E$2:$E$766=$A1612)/('Weekly Tracker'!$H$2:$H$766&lt;&gt;""),'Weekly Tracker'!$H$2:$H$766),"")</f>
        <v/>
      </c>
      <c r="I1612" s="16">
        <f>IF(H1612&lt;&gt;"",LOOKUP(2,1/('Weekly Tracker'!$E$2:$E$766=$A1612)/('Weekly Tracker'!$H$2:$H$766&lt;&gt;""),'Weekly Tracker'!$I$2:$I$766),"")</f>
        <v/>
      </c>
      <c r="J1612" s="9">
        <f>IFERROR(LOOKUP(2,1/('Weekly Tracker'!$E$2:$E$766=$A1612)/('Weekly Tracker'!$J$2:$J$766&lt;&gt;""),'Weekly Tracker'!$J$2:$J$766),"")</f>
        <v/>
      </c>
      <c r="K1612" s="9">
        <f>IFERROR(LOOKUP(2,1/('Weekly Tracker'!$E$2:$E$766=$A1612)/('Weekly Tracker'!$N$2:$N$766&lt;&gt;""),'Weekly Tracker'!$N$2:$N$766),"")</f>
        <v/>
      </c>
      <c r="L1612" s="9">
        <f>IFERROR(LOOKUP(2,1/('Weekly Tracker'!$E$2:$E$766=$A1612)/('Weekly Tracker'!$O$2:$O$766&lt;&gt;""),'Weekly Tracker'!$O$2:$O$766),"")</f>
        <v/>
      </c>
    </row>
    <row r="1613">
      <c r="A1613" s="9" t="inlineStr">
        <is>
          <t>Rajat kumar CTS</t>
        </is>
      </c>
      <c r="B1613" s="9" t="inlineStr">
        <is>
          <t>+91 93794 77692</t>
        </is>
      </c>
      <c r="C1613" s="9" t="n"/>
      <c r="D1613" s="9" t="n"/>
      <c r="E1613" s="9" t="n"/>
      <c r="F1613" s="9">
        <f>IFERROR(LOOKUP(2,1/('Weekly Tracker'!$E$2:$E$766=$A1613)/('Weekly Tracker'!$F$2:$F$766&lt;&gt;""),'Weekly Tracker'!$F$2:$F$766),"")</f>
        <v/>
      </c>
      <c r="G1613" s="16">
        <f>IF(F1613&lt;&gt;"",LOOKUP(2,1/('Weekly Tracker'!$E$2:$E$766=$A1613)/('Weekly Tracker'!$F$2:$F$766&lt;&gt;""),'Weekly Tracker'!$G$2:$G$766),"")</f>
        <v/>
      </c>
      <c r="H1613" s="9">
        <f>IFERROR(LOOKUP(2,1/('Weekly Tracker'!$E$2:$E$766=$A1613)/('Weekly Tracker'!$H$2:$H$766&lt;&gt;""),'Weekly Tracker'!$H$2:$H$766),"")</f>
        <v/>
      </c>
      <c r="I1613" s="16">
        <f>IF(H1613&lt;&gt;"",LOOKUP(2,1/('Weekly Tracker'!$E$2:$E$766=$A1613)/('Weekly Tracker'!$H$2:$H$766&lt;&gt;""),'Weekly Tracker'!$I$2:$I$766),"")</f>
        <v/>
      </c>
      <c r="J1613" s="9">
        <f>IFERROR(LOOKUP(2,1/('Weekly Tracker'!$E$2:$E$766=$A1613)/('Weekly Tracker'!$J$2:$J$766&lt;&gt;""),'Weekly Tracker'!$J$2:$J$766),"")</f>
        <v/>
      </c>
      <c r="K1613" s="9">
        <f>IFERROR(LOOKUP(2,1/('Weekly Tracker'!$E$2:$E$766=$A1613)/('Weekly Tracker'!$N$2:$N$766&lt;&gt;""),'Weekly Tracker'!$N$2:$N$766),"")</f>
        <v/>
      </c>
      <c r="L1613" s="9">
        <f>IFERROR(LOOKUP(2,1/('Weekly Tracker'!$E$2:$E$766=$A1613)/('Weekly Tracker'!$O$2:$O$766&lt;&gt;""),'Weekly Tracker'!$O$2:$O$766),"")</f>
        <v/>
      </c>
    </row>
    <row r="1614">
      <c r="A1614" s="9" t="inlineStr">
        <is>
          <t>Arul Franco Prof</t>
        </is>
      </c>
      <c r="B1614" s="9" t="inlineStr">
        <is>
          <t>97914 97740</t>
        </is>
      </c>
      <c r="C1614" s="9" t="n"/>
      <c r="D1614" s="9" t="n"/>
      <c r="E1614" s="9" t="n"/>
      <c r="F1614" s="9">
        <f>IFERROR(LOOKUP(2,1/('Weekly Tracker'!$E$2:$E$766=$A1614)/('Weekly Tracker'!$F$2:$F$766&lt;&gt;""),'Weekly Tracker'!$F$2:$F$766),"")</f>
        <v/>
      </c>
      <c r="G1614" s="16">
        <f>IF(F1614&lt;&gt;"",LOOKUP(2,1/('Weekly Tracker'!$E$2:$E$766=$A1614)/('Weekly Tracker'!$F$2:$F$766&lt;&gt;""),'Weekly Tracker'!$G$2:$G$766),"")</f>
        <v/>
      </c>
      <c r="H1614" s="9">
        <f>IFERROR(LOOKUP(2,1/('Weekly Tracker'!$E$2:$E$766=$A1614)/('Weekly Tracker'!$H$2:$H$766&lt;&gt;""),'Weekly Tracker'!$H$2:$H$766),"")</f>
        <v/>
      </c>
      <c r="I1614" s="16">
        <f>IF(H1614&lt;&gt;"",LOOKUP(2,1/('Weekly Tracker'!$E$2:$E$766=$A1614)/('Weekly Tracker'!$H$2:$H$766&lt;&gt;""),'Weekly Tracker'!$I$2:$I$766),"")</f>
        <v/>
      </c>
      <c r="J1614" s="9">
        <f>IFERROR(LOOKUP(2,1/('Weekly Tracker'!$E$2:$E$766=$A1614)/('Weekly Tracker'!$J$2:$J$766&lt;&gt;""),'Weekly Tracker'!$J$2:$J$766),"")</f>
        <v/>
      </c>
      <c r="K1614" s="9">
        <f>IFERROR(LOOKUP(2,1/('Weekly Tracker'!$E$2:$E$766=$A1614)/('Weekly Tracker'!$N$2:$N$766&lt;&gt;""),'Weekly Tracker'!$N$2:$N$766),"")</f>
        <v/>
      </c>
      <c r="L1614" s="9">
        <f>IFERROR(LOOKUP(2,1/('Weekly Tracker'!$E$2:$E$766=$A1614)/('Weekly Tracker'!$O$2:$O$766&lt;&gt;""),'Weekly Tracker'!$O$2:$O$766),"")</f>
        <v/>
      </c>
    </row>
    <row r="1615">
      <c r="A1615" s="9" t="inlineStr">
        <is>
          <t>Ragu Ragu FB</t>
        </is>
      </c>
      <c r="B1615" s="9" t="inlineStr">
        <is>
          <t>96983 79552</t>
        </is>
      </c>
      <c r="C1615" s="9" t="n"/>
      <c r="D1615" s="9" t="n"/>
      <c r="E1615" s="9" t="n"/>
      <c r="F1615" s="9">
        <f>IFERROR(LOOKUP(2,1/('Weekly Tracker'!$E$2:$E$766=$A1615)/('Weekly Tracker'!$F$2:$F$766&lt;&gt;""),'Weekly Tracker'!$F$2:$F$766),"")</f>
        <v/>
      </c>
      <c r="G1615" s="16">
        <f>IF(F1615&lt;&gt;"",LOOKUP(2,1/('Weekly Tracker'!$E$2:$E$766=$A1615)/('Weekly Tracker'!$F$2:$F$766&lt;&gt;""),'Weekly Tracker'!$G$2:$G$766),"")</f>
        <v/>
      </c>
      <c r="H1615" s="9">
        <f>IFERROR(LOOKUP(2,1/('Weekly Tracker'!$E$2:$E$766=$A1615)/('Weekly Tracker'!$H$2:$H$766&lt;&gt;""),'Weekly Tracker'!$H$2:$H$766),"")</f>
        <v/>
      </c>
      <c r="I1615" s="16">
        <f>IF(H1615&lt;&gt;"",LOOKUP(2,1/('Weekly Tracker'!$E$2:$E$766=$A1615)/('Weekly Tracker'!$H$2:$H$766&lt;&gt;""),'Weekly Tracker'!$I$2:$I$766),"")</f>
        <v/>
      </c>
      <c r="J1615" s="9">
        <f>IFERROR(LOOKUP(2,1/('Weekly Tracker'!$E$2:$E$766=$A1615)/('Weekly Tracker'!$J$2:$J$766&lt;&gt;""),'Weekly Tracker'!$J$2:$J$766),"")</f>
        <v/>
      </c>
      <c r="K1615" s="9">
        <f>IFERROR(LOOKUP(2,1/('Weekly Tracker'!$E$2:$E$766=$A1615)/('Weekly Tracker'!$N$2:$N$766&lt;&gt;""),'Weekly Tracker'!$N$2:$N$766),"")</f>
        <v/>
      </c>
      <c r="L1615" s="9">
        <f>IFERROR(LOOKUP(2,1/('Weekly Tracker'!$E$2:$E$766=$A1615)/('Weekly Tracker'!$O$2:$O$766&lt;&gt;""),'Weekly Tracker'!$O$2:$O$766),"")</f>
        <v/>
      </c>
    </row>
    <row r="1616">
      <c r="A1616" s="9" t="inlineStr">
        <is>
          <t>Dhenakha ECE</t>
        </is>
      </c>
      <c r="B1616" s="9" t="inlineStr">
        <is>
          <t>+91 77088 39456</t>
        </is>
      </c>
      <c r="C1616" s="9" t="n"/>
      <c r="D1616" s="9" t="n"/>
      <c r="E1616" s="9" t="n"/>
      <c r="F1616" s="9">
        <f>IFERROR(LOOKUP(2,1/('Weekly Tracker'!$E$2:$E$766=$A1616)/('Weekly Tracker'!$F$2:$F$766&lt;&gt;""),'Weekly Tracker'!$F$2:$F$766),"")</f>
        <v/>
      </c>
      <c r="G1616" s="16">
        <f>IF(F1616&lt;&gt;"",LOOKUP(2,1/('Weekly Tracker'!$E$2:$E$766=$A1616)/('Weekly Tracker'!$F$2:$F$766&lt;&gt;""),'Weekly Tracker'!$G$2:$G$766),"")</f>
        <v/>
      </c>
      <c r="H1616" s="9">
        <f>IFERROR(LOOKUP(2,1/('Weekly Tracker'!$E$2:$E$766=$A1616)/('Weekly Tracker'!$H$2:$H$766&lt;&gt;""),'Weekly Tracker'!$H$2:$H$766),"")</f>
        <v/>
      </c>
      <c r="I1616" s="16">
        <f>IF(H1616&lt;&gt;"",LOOKUP(2,1/('Weekly Tracker'!$E$2:$E$766=$A1616)/('Weekly Tracker'!$H$2:$H$766&lt;&gt;""),'Weekly Tracker'!$I$2:$I$766),"")</f>
        <v/>
      </c>
      <c r="J1616" s="9">
        <f>IFERROR(LOOKUP(2,1/('Weekly Tracker'!$E$2:$E$766=$A1616)/('Weekly Tracker'!$J$2:$J$766&lt;&gt;""),'Weekly Tracker'!$J$2:$J$766),"")</f>
        <v/>
      </c>
      <c r="K1616" s="9">
        <f>IFERROR(LOOKUP(2,1/('Weekly Tracker'!$E$2:$E$766=$A1616)/('Weekly Tracker'!$N$2:$N$766&lt;&gt;""),'Weekly Tracker'!$N$2:$N$766),"")</f>
        <v/>
      </c>
      <c r="L1616" s="9">
        <f>IFERROR(LOOKUP(2,1/('Weekly Tracker'!$E$2:$E$766=$A1616)/('Weekly Tracker'!$O$2:$O$766&lt;&gt;""),'Weekly Tracker'!$O$2:$O$766),"")</f>
        <v/>
      </c>
    </row>
    <row r="1617">
      <c r="A1617" s="9" t="inlineStr">
        <is>
          <t>Mukundhan Grp Ucen</t>
        </is>
      </c>
      <c r="B1617" s="9" t="inlineStr">
        <is>
          <t>+91 97152 13459</t>
        </is>
      </c>
      <c r="C1617" s="9" t="n"/>
      <c r="D1617" s="9" t="n"/>
      <c r="E1617" s="9" t="n"/>
      <c r="F1617" s="9">
        <f>IFERROR(LOOKUP(2,1/('Weekly Tracker'!$E$2:$E$766=$A1617)/('Weekly Tracker'!$F$2:$F$766&lt;&gt;""),'Weekly Tracker'!$F$2:$F$766),"")</f>
        <v/>
      </c>
      <c r="G1617" s="16">
        <f>IF(F1617&lt;&gt;"",LOOKUP(2,1/('Weekly Tracker'!$E$2:$E$766=$A1617)/('Weekly Tracker'!$F$2:$F$766&lt;&gt;""),'Weekly Tracker'!$G$2:$G$766),"")</f>
        <v/>
      </c>
      <c r="H1617" s="9">
        <f>IFERROR(LOOKUP(2,1/('Weekly Tracker'!$E$2:$E$766=$A1617)/('Weekly Tracker'!$H$2:$H$766&lt;&gt;""),'Weekly Tracker'!$H$2:$H$766),"")</f>
        <v/>
      </c>
      <c r="I1617" s="16">
        <f>IF(H1617&lt;&gt;"",LOOKUP(2,1/('Weekly Tracker'!$E$2:$E$766=$A1617)/('Weekly Tracker'!$H$2:$H$766&lt;&gt;""),'Weekly Tracker'!$I$2:$I$766),"")</f>
        <v/>
      </c>
      <c r="J1617" s="9">
        <f>IFERROR(LOOKUP(2,1/('Weekly Tracker'!$E$2:$E$766=$A1617)/('Weekly Tracker'!$J$2:$J$766&lt;&gt;""),'Weekly Tracker'!$J$2:$J$766),"")</f>
        <v/>
      </c>
      <c r="K1617" s="9">
        <f>IFERROR(LOOKUP(2,1/('Weekly Tracker'!$E$2:$E$766=$A1617)/('Weekly Tracker'!$N$2:$N$766&lt;&gt;""),'Weekly Tracker'!$N$2:$N$766),"")</f>
        <v/>
      </c>
      <c r="L1617" s="9">
        <f>IFERROR(LOOKUP(2,1/('Weekly Tracker'!$E$2:$E$766=$A1617)/('Weekly Tracker'!$O$2:$O$766&lt;&gt;""),'Weekly Tracker'!$O$2:$O$766),"")</f>
        <v/>
      </c>
    </row>
    <row r="1618">
      <c r="A1618" s="9" t="inlineStr">
        <is>
          <t>Mythili mam</t>
        </is>
      </c>
      <c r="B1618" s="9" t="inlineStr">
        <is>
          <t>+91 94860 84836</t>
        </is>
      </c>
      <c r="C1618" s="9" t="n"/>
      <c r="D1618" s="9" t="n"/>
      <c r="E1618" s="9" t="n"/>
      <c r="F1618" s="9">
        <f>IFERROR(LOOKUP(2,1/('Weekly Tracker'!$E$2:$E$766=$A1618)/('Weekly Tracker'!$F$2:$F$766&lt;&gt;""),'Weekly Tracker'!$F$2:$F$766),"")</f>
        <v/>
      </c>
      <c r="G1618" s="16">
        <f>IF(F1618&lt;&gt;"",LOOKUP(2,1/('Weekly Tracker'!$E$2:$E$766=$A1618)/('Weekly Tracker'!$F$2:$F$766&lt;&gt;""),'Weekly Tracker'!$G$2:$G$766),"")</f>
        <v/>
      </c>
      <c r="H1618" s="9">
        <f>IFERROR(LOOKUP(2,1/('Weekly Tracker'!$E$2:$E$766=$A1618)/('Weekly Tracker'!$H$2:$H$766&lt;&gt;""),'Weekly Tracker'!$H$2:$H$766),"")</f>
        <v/>
      </c>
      <c r="I1618" s="16">
        <f>IF(H1618&lt;&gt;"",LOOKUP(2,1/('Weekly Tracker'!$E$2:$E$766=$A1618)/('Weekly Tracker'!$H$2:$H$766&lt;&gt;""),'Weekly Tracker'!$I$2:$I$766),"")</f>
        <v/>
      </c>
      <c r="J1618" s="9">
        <f>IFERROR(LOOKUP(2,1/('Weekly Tracker'!$E$2:$E$766=$A1618)/('Weekly Tracker'!$J$2:$J$766&lt;&gt;""),'Weekly Tracker'!$J$2:$J$766),"")</f>
        <v/>
      </c>
      <c r="K1618" s="9">
        <f>IFERROR(LOOKUP(2,1/('Weekly Tracker'!$E$2:$E$766=$A1618)/('Weekly Tracker'!$N$2:$N$766&lt;&gt;""),'Weekly Tracker'!$N$2:$N$766),"")</f>
        <v/>
      </c>
      <c r="L1618" s="9">
        <f>IFERROR(LOOKUP(2,1/('Weekly Tracker'!$E$2:$E$766=$A1618)/('Weekly Tracker'!$O$2:$O$766&lt;&gt;""),'Weekly Tracker'!$O$2:$O$766),"")</f>
        <v/>
      </c>
    </row>
    <row r="1619">
      <c r="A1619" s="9" t="inlineStr">
        <is>
          <t>Kavi FB</t>
        </is>
      </c>
      <c r="B1619" s="9" t="inlineStr">
        <is>
          <t>89032 19352</t>
        </is>
      </c>
      <c r="C1619" s="9" t="n"/>
      <c r="D1619" s="9" t="n"/>
      <c r="E1619" s="9" t="n"/>
      <c r="F1619" s="9">
        <f>IFERROR(LOOKUP(2,1/('Weekly Tracker'!$E$2:$E$766=$A1619)/('Weekly Tracker'!$F$2:$F$766&lt;&gt;""),'Weekly Tracker'!$F$2:$F$766),"")</f>
        <v/>
      </c>
      <c r="G1619" s="16">
        <f>IF(F1619&lt;&gt;"",LOOKUP(2,1/('Weekly Tracker'!$E$2:$E$766=$A1619)/('Weekly Tracker'!$F$2:$F$766&lt;&gt;""),'Weekly Tracker'!$G$2:$G$766),"")</f>
        <v/>
      </c>
      <c r="H1619" s="9">
        <f>IFERROR(LOOKUP(2,1/('Weekly Tracker'!$E$2:$E$766=$A1619)/('Weekly Tracker'!$H$2:$H$766&lt;&gt;""),'Weekly Tracker'!$H$2:$H$766),"")</f>
        <v/>
      </c>
      <c r="I1619" s="16">
        <f>IF(H1619&lt;&gt;"",LOOKUP(2,1/('Weekly Tracker'!$E$2:$E$766=$A1619)/('Weekly Tracker'!$H$2:$H$766&lt;&gt;""),'Weekly Tracker'!$I$2:$I$766),"")</f>
        <v/>
      </c>
      <c r="J1619" s="9">
        <f>IFERROR(LOOKUP(2,1/('Weekly Tracker'!$E$2:$E$766=$A1619)/('Weekly Tracker'!$J$2:$J$766&lt;&gt;""),'Weekly Tracker'!$J$2:$J$766),"")</f>
        <v/>
      </c>
      <c r="K1619" s="9">
        <f>IFERROR(LOOKUP(2,1/('Weekly Tracker'!$E$2:$E$766=$A1619)/('Weekly Tracker'!$N$2:$N$766&lt;&gt;""),'Weekly Tracker'!$N$2:$N$766),"")</f>
        <v/>
      </c>
      <c r="L1619" s="9">
        <f>IFERROR(LOOKUP(2,1/('Weekly Tracker'!$E$2:$E$766=$A1619)/('Weekly Tracker'!$O$2:$O$766&lt;&gt;""),'Weekly Tracker'!$O$2:$O$766),"")</f>
        <v/>
      </c>
    </row>
    <row r="1620">
      <c r="A1620" s="9" t="inlineStr">
        <is>
          <t>Asha TCS</t>
        </is>
      </c>
      <c r="B1620" s="9" t="inlineStr">
        <is>
          <t>+91 87549 72424</t>
        </is>
      </c>
      <c r="C1620" s="9" t="n"/>
      <c r="D1620" s="9" t="n"/>
      <c r="E1620" s="9" t="n"/>
      <c r="F1620" s="9">
        <f>IFERROR(LOOKUP(2,1/('Weekly Tracker'!$E$2:$E$766=$A1620)/('Weekly Tracker'!$F$2:$F$766&lt;&gt;""),'Weekly Tracker'!$F$2:$F$766),"")</f>
        <v/>
      </c>
      <c r="G1620" s="16">
        <f>IF(F1620&lt;&gt;"",LOOKUP(2,1/('Weekly Tracker'!$E$2:$E$766=$A1620)/('Weekly Tracker'!$F$2:$F$766&lt;&gt;""),'Weekly Tracker'!$G$2:$G$766),"")</f>
        <v/>
      </c>
      <c r="H1620" s="9">
        <f>IFERROR(LOOKUP(2,1/('Weekly Tracker'!$E$2:$E$766=$A1620)/('Weekly Tracker'!$H$2:$H$766&lt;&gt;""),'Weekly Tracker'!$H$2:$H$766),"")</f>
        <v/>
      </c>
      <c r="I1620" s="16">
        <f>IF(H1620&lt;&gt;"",LOOKUP(2,1/('Weekly Tracker'!$E$2:$E$766=$A1620)/('Weekly Tracker'!$H$2:$H$766&lt;&gt;""),'Weekly Tracker'!$I$2:$I$766),"")</f>
        <v/>
      </c>
      <c r="J1620" s="9">
        <f>IFERROR(LOOKUP(2,1/('Weekly Tracker'!$E$2:$E$766=$A1620)/('Weekly Tracker'!$J$2:$J$766&lt;&gt;""),'Weekly Tracker'!$J$2:$J$766),"")</f>
        <v/>
      </c>
      <c r="K1620" s="9">
        <f>IFERROR(LOOKUP(2,1/('Weekly Tracker'!$E$2:$E$766=$A1620)/('Weekly Tracker'!$N$2:$N$766&lt;&gt;""),'Weekly Tracker'!$N$2:$N$766),"")</f>
        <v/>
      </c>
      <c r="L1620" s="9">
        <f>IFERROR(LOOKUP(2,1/('Weekly Tracker'!$E$2:$E$766=$A1620)/('Weekly Tracker'!$O$2:$O$766&lt;&gt;""),'Weekly Tracker'!$O$2:$O$766),"")</f>
        <v/>
      </c>
    </row>
    <row r="1621">
      <c r="A1621" s="9" t="inlineStr">
        <is>
          <t>Karthick eR Ucen</t>
        </is>
      </c>
      <c r="B1621" s="9" t="inlineStr">
        <is>
          <t>+91 97913 18836</t>
        </is>
      </c>
      <c r="C1621" s="9" t="n"/>
      <c r="D1621" s="9" t="n"/>
      <c r="E1621" s="9" t="n"/>
      <c r="F1621" s="9">
        <f>IFERROR(LOOKUP(2,1/('Weekly Tracker'!$E$2:$E$766=$A1621)/('Weekly Tracker'!$F$2:$F$766&lt;&gt;""),'Weekly Tracker'!$F$2:$F$766),"")</f>
        <v/>
      </c>
      <c r="G1621" s="16">
        <f>IF(F1621&lt;&gt;"",LOOKUP(2,1/('Weekly Tracker'!$E$2:$E$766=$A1621)/('Weekly Tracker'!$F$2:$F$766&lt;&gt;""),'Weekly Tracker'!$G$2:$G$766),"")</f>
        <v/>
      </c>
      <c r="H1621" s="9">
        <f>IFERROR(LOOKUP(2,1/('Weekly Tracker'!$E$2:$E$766=$A1621)/('Weekly Tracker'!$H$2:$H$766&lt;&gt;""),'Weekly Tracker'!$H$2:$H$766),"")</f>
        <v/>
      </c>
      <c r="I1621" s="16">
        <f>IF(H1621&lt;&gt;"",LOOKUP(2,1/('Weekly Tracker'!$E$2:$E$766=$A1621)/('Weekly Tracker'!$H$2:$H$766&lt;&gt;""),'Weekly Tracker'!$I$2:$I$766),"")</f>
        <v/>
      </c>
      <c r="J1621" s="9">
        <f>IFERROR(LOOKUP(2,1/('Weekly Tracker'!$E$2:$E$766=$A1621)/('Weekly Tracker'!$J$2:$J$766&lt;&gt;""),'Weekly Tracker'!$J$2:$J$766),"")</f>
        <v/>
      </c>
      <c r="K1621" s="9">
        <f>IFERROR(LOOKUP(2,1/('Weekly Tracker'!$E$2:$E$766=$A1621)/('Weekly Tracker'!$N$2:$N$766&lt;&gt;""),'Weekly Tracker'!$N$2:$N$766),"")</f>
        <v/>
      </c>
      <c r="L1621" s="9">
        <f>IFERROR(LOOKUP(2,1/('Weekly Tracker'!$E$2:$E$766=$A1621)/('Weekly Tracker'!$O$2:$O$766&lt;&gt;""),'Weekly Tracker'!$O$2:$O$766),"")</f>
        <v/>
      </c>
    </row>
    <row r="1622">
      <c r="A1622" s="9" t="inlineStr">
        <is>
          <t>Felix Nadar scl</t>
        </is>
      </c>
      <c r="B1622" s="9" t="inlineStr">
        <is>
          <t>+91 90475 08284</t>
        </is>
      </c>
      <c r="C1622" s="9" t="n"/>
      <c r="D1622" s="9" t="n"/>
      <c r="E1622" s="9" t="n"/>
      <c r="F1622" s="9">
        <f>IFERROR(LOOKUP(2,1/('Weekly Tracker'!$E$2:$E$766=$A1622)/('Weekly Tracker'!$F$2:$F$766&lt;&gt;""),'Weekly Tracker'!$F$2:$F$766),"")</f>
        <v/>
      </c>
      <c r="G1622" s="16">
        <f>IF(F1622&lt;&gt;"",LOOKUP(2,1/('Weekly Tracker'!$E$2:$E$766=$A1622)/('Weekly Tracker'!$F$2:$F$766&lt;&gt;""),'Weekly Tracker'!$G$2:$G$766),"")</f>
        <v/>
      </c>
      <c r="H1622" s="9">
        <f>IFERROR(LOOKUP(2,1/('Weekly Tracker'!$E$2:$E$766=$A1622)/('Weekly Tracker'!$H$2:$H$766&lt;&gt;""),'Weekly Tracker'!$H$2:$H$766),"")</f>
        <v/>
      </c>
      <c r="I1622" s="16">
        <f>IF(H1622&lt;&gt;"",LOOKUP(2,1/('Weekly Tracker'!$E$2:$E$766=$A1622)/('Weekly Tracker'!$H$2:$H$766&lt;&gt;""),'Weekly Tracker'!$I$2:$I$766),"")</f>
        <v/>
      </c>
      <c r="J1622" s="9">
        <f>IFERROR(LOOKUP(2,1/('Weekly Tracker'!$E$2:$E$766=$A1622)/('Weekly Tracker'!$J$2:$J$766&lt;&gt;""),'Weekly Tracker'!$J$2:$J$766),"")</f>
        <v/>
      </c>
      <c r="K1622" s="9">
        <f>IFERROR(LOOKUP(2,1/('Weekly Tracker'!$E$2:$E$766=$A1622)/('Weekly Tracker'!$N$2:$N$766&lt;&gt;""),'Weekly Tracker'!$N$2:$N$766),"")</f>
        <v/>
      </c>
      <c r="L1622" s="9">
        <f>IFERROR(LOOKUP(2,1/('Weekly Tracker'!$E$2:$E$766=$A1622)/('Weekly Tracker'!$O$2:$O$766&lt;&gt;""),'Weekly Tracker'!$O$2:$O$766),"")</f>
        <v/>
      </c>
    </row>
    <row r="1623">
      <c r="A1623" s="9" t="inlineStr">
        <is>
          <t>Tamil Priyan Nadar scl</t>
        </is>
      </c>
      <c r="B1623" s="9" t="inlineStr">
        <is>
          <t>+91 97894 07406</t>
        </is>
      </c>
      <c r="C1623" s="9" t="n"/>
      <c r="D1623" s="9" t="n"/>
      <c r="E1623" s="9" t="n"/>
      <c r="F1623" s="9">
        <f>IFERROR(LOOKUP(2,1/('Weekly Tracker'!$E$2:$E$766=$A1623)/('Weekly Tracker'!$F$2:$F$766&lt;&gt;""),'Weekly Tracker'!$F$2:$F$766),"")</f>
        <v/>
      </c>
      <c r="G1623" s="16">
        <f>IF(F1623&lt;&gt;"",LOOKUP(2,1/('Weekly Tracker'!$E$2:$E$766=$A1623)/('Weekly Tracker'!$F$2:$F$766&lt;&gt;""),'Weekly Tracker'!$G$2:$G$766),"")</f>
        <v/>
      </c>
      <c r="H1623" s="9">
        <f>IFERROR(LOOKUP(2,1/('Weekly Tracker'!$E$2:$E$766=$A1623)/('Weekly Tracker'!$H$2:$H$766&lt;&gt;""),'Weekly Tracker'!$H$2:$H$766),"")</f>
        <v/>
      </c>
      <c r="I1623" s="16">
        <f>IF(H1623&lt;&gt;"",LOOKUP(2,1/('Weekly Tracker'!$E$2:$E$766=$A1623)/('Weekly Tracker'!$H$2:$H$766&lt;&gt;""),'Weekly Tracker'!$I$2:$I$766),"")</f>
        <v/>
      </c>
      <c r="J1623" s="9">
        <f>IFERROR(LOOKUP(2,1/('Weekly Tracker'!$E$2:$E$766=$A1623)/('Weekly Tracker'!$J$2:$J$766&lt;&gt;""),'Weekly Tracker'!$J$2:$J$766),"")</f>
        <v/>
      </c>
      <c r="K1623" s="9">
        <f>IFERROR(LOOKUP(2,1/('Weekly Tracker'!$E$2:$E$766=$A1623)/('Weekly Tracker'!$N$2:$N$766&lt;&gt;""),'Weekly Tracker'!$N$2:$N$766),"")</f>
        <v/>
      </c>
      <c r="L1623" s="9">
        <f>IFERROR(LOOKUP(2,1/('Weekly Tracker'!$E$2:$E$766=$A1623)/('Weekly Tracker'!$O$2:$O$766&lt;&gt;""),'Weekly Tracker'!$O$2:$O$766),"")</f>
        <v/>
      </c>
    </row>
    <row r="1624">
      <c r="A1624" s="9" t="inlineStr">
        <is>
          <t>Gnenasekar Nadar scl</t>
        </is>
      </c>
      <c r="B1624" s="9" t="inlineStr">
        <is>
          <t>+91 73739 69457</t>
        </is>
      </c>
      <c r="C1624" s="9" t="n"/>
      <c r="D1624" s="9" t="n"/>
      <c r="E1624" s="9" t="n"/>
      <c r="F1624" s="9">
        <f>IFERROR(LOOKUP(2,1/('Weekly Tracker'!$E$2:$E$766=$A1624)/('Weekly Tracker'!$F$2:$F$766&lt;&gt;""),'Weekly Tracker'!$F$2:$F$766),"")</f>
        <v/>
      </c>
      <c r="G1624" s="16">
        <f>IF(F1624&lt;&gt;"",LOOKUP(2,1/('Weekly Tracker'!$E$2:$E$766=$A1624)/('Weekly Tracker'!$F$2:$F$766&lt;&gt;""),'Weekly Tracker'!$G$2:$G$766),"")</f>
        <v/>
      </c>
      <c r="H1624" s="9">
        <f>IFERROR(LOOKUP(2,1/('Weekly Tracker'!$E$2:$E$766=$A1624)/('Weekly Tracker'!$H$2:$H$766&lt;&gt;""),'Weekly Tracker'!$H$2:$H$766),"")</f>
        <v/>
      </c>
      <c r="I1624" s="16">
        <f>IF(H1624&lt;&gt;"",LOOKUP(2,1/('Weekly Tracker'!$E$2:$E$766=$A1624)/('Weekly Tracker'!$H$2:$H$766&lt;&gt;""),'Weekly Tracker'!$I$2:$I$766),"")</f>
        <v/>
      </c>
      <c r="J1624" s="9">
        <f>IFERROR(LOOKUP(2,1/('Weekly Tracker'!$E$2:$E$766=$A1624)/('Weekly Tracker'!$J$2:$J$766&lt;&gt;""),'Weekly Tracker'!$J$2:$J$766),"")</f>
        <v/>
      </c>
      <c r="K1624" s="9">
        <f>IFERROR(LOOKUP(2,1/('Weekly Tracker'!$E$2:$E$766=$A1624)/('Weekly Tracker'!$N$2:$N$766&lt;&gt;""),'Weekly Tracker'!$N$2:$N$766),"")</f>
        <v/>
      </c>
      <c r="L1624" s="9">
        <f>IFERROR(LOOKUP(2,1/('Weekly Tracker'!$E$2:$E$766=$A1624)/('Weekly Tracker'!$O$2:$O$766&lt;&gt;""),'Weekly Tracker'!$O$2:$O$766),"")</f>
        <v/>
      </c>
    </row>
    <row r="1625">
      <c r="A1625" s="9" t="inlineStr">
        <is>
          <t>Suriya Icici</t>
        </is>
      </c>
      <c r="B1625" s="9" t="inlineStr">
        <is>
          <t>919791120215</t>
        </is>
      </c>
      <c r="C1625" s="9" t="n"/>
      <c r="D1625" s="9" t="n"/>
      <c r="E1625" s="9" t="n"/>
      <c r="F1625" s="9">
        <f>IFERROR(LOOKUP(2,1/('Weekly Tracker'!$E$2:$E$766=$A1625)/('Weekly Tracker'!$F$2:$F$766&lt;&gt;""),'Weekly Tracker'!$F$2:$F$766),"")</f>
        <v/>
      </c>
      <c r="G1625" s="16">
        <f>IF(F1625&lt;&gt;"",LOOKUP(2,1/('Weekly Tracker'!$E$2:$E$766=$A1625)/('Weekly Tracker'!$F$2:$F$766&lt;&gt;""),'Weekly Tracker'!$G$2:$G$766),"")</f>
        <v/>
      </c>
      <c r="H1625" s="9">
        <f>IFERROR(LOOKUP(2,1/('Weekly Tracker'!$E$2:$E$766=$A1625)/('Weekly Tracker'!$H$2:$H$766&lt;&gt;""),'Weekly Tracker'!$H$2:$H$766),"")</f>
        <v/>
      </c>
      <c r="I1625" s="16">
        <f>IF(H1625&lt;&gt;"",LOOKUP(2,1/('Weekly Tracker'!$E$2:$E$766=$A1625)/('Weekly Tracker'!$H$2:$H$766&lt;&gt;""),'Weekly Tracker'!$I$2:$I$766),"")</f>
        <v/>
      </c>
      <c r="J1625" s="9">
        <f>IFERROR(LOOKUP(2,1/('Weekly Tracker'!$E$2:$E$766=$A1625)/('Weekly Tracker'!$J$2:$J$766&lt;&gt;""),'Weekly Tracker'!$J$2:$J$766),"")</f>
        <v/>
      </c>
      <c r="K1625" s="9">
        <f>IFERROR(LOOKUP(2,1/('Weekly Tracker'!$E$2:$E$766=$A1625)/('Weekly Tracker'!$N$2:$N$766&lt;&gt;""),'Weekly Tracker'!$N$2:$N$766),"")</f>
        <v/>
      </c>
      <c r="L1625" s="9">
        <f>IFERROR(LOOKUP(2,1/('Weekly Tracker'!$E$2:$E$766=$A1625)/('Weekly Tracker'!$O$2:$O$766&lt;&gt;""),'Weekly Tracker'!$O$2:$O$766),"")</f>
        <v/>
      </c>
    </row>
    <row r="1626">
      <c r="A1626" s="9" t="inlineStr">
        <is>
          <t>John Thurai FB</t>
        </is>
      </c>
      <c r="B1626" s="9" t="inlineStr">
        <is>
          <t>79079 14410</t>
        </is>
      </c>
      <c r="C1626" s="9" t="n"/>
      <c r="D1626" s="9" t="n"/>
      <c r="E1626" s="9" t="n"/>
      <c r="F1626" s="9">
        <f>IFERROR(LOOKUP(2,1/('Weekly Tracker'!$E$2:$E$766=$A1626)/('Weekly Tracker'!$F$2:$F$766&lt;&gt;""),'Weekly Tracker'!$F$2:$F$766),"")</f>
        <v/>
      </c>
      <c r="G1626" s="16">
        <f>IF(F1626&lt;&gt;"",LOOKUP(2,1/('Weekly Tracker'!$E$2:$E$766=$A1626)/('Weekly Tracker'!$F$2:$F$766&lt;&gt;""),'Weekly Tracker'!$G$2:$G$766),"")</f>
        <v/>
      </c>
      <c r="H1626" s="9">
        <f>IFERROR(LOOKUP(2,1/('Weekly Tracker'!$E$2:$E$766=$A1626)/('Weekly Tracker'!$H$2:$H$766&lt;&gt;""),'Weekly Tracker'!$H$2:$H$766),"")</f>
        <v/>
      </c>
      <c r="I1626" s="16">
        <f>IF(H1626&lt;&gt;"",LOOKUP(2,1/('Weekly Tracker'!$E$2:$E$766=$A1626)/('Weekly Tracker'!$H$2:$H$766&lt;&gt;""),'Weekly Tracker'!$I$2:$I$766),"")</f>
        <v/>
      </c>
      <c r="J1626" s="9">
        <f>IFERROR(LOOKUP(2,1/('Weekly Tracker'!$E$2:$E$766=$A1626)/('Weekly Tracker'!$J$2:$J$766&lt;&gt;""),'Weekly Tracker'!$J$2:$J$766),"")</f>
        <v/>
      </c>
      <c r="K1626" s="9">
        <f>IFERROR(LOOKUP(2,1/('Weekly Tracker'!$E$2:$E$766=$A1626)/('Weekly Tracker'!$N$2:$N$766&lt;&gt;""),'Weekly Tracker'!$N$2:$N$766),"")</f>
        <v/>
      </c>
      <c r="L1626" s="9">
        <f>IFERROR(LOOKUP(2,1/('Weekly Tracker'!$E$2:$E$766=$A1626)/('Weekly Tracker'!$O$2:$O$766&lt;&gt;""),'Weekly Tracker'!$O$2:$O$766),"")</f>
        <v/>
      </c>
    </row>
    <row r="1627">
      <c r="A1627" s="9" t="inlineStr">
        <is>
          <t>Hari. Duke_Hari</t>
        </is>
      </c>
      <c r="B1627" s="9" t="inlineStr">
        <is>
          <t>918903122805</t>
        </is>
      </c>
      <c r="C1627" s="9" t="n"/>
      <c r="D1627" s="9" t="n"/>
      <c r="E1627" s="9" t="n"/>
      <c r="F1627" s="9">
        <f>IFERROR(LOOKUP(2,1/('Weekly Tracker'!$E$2:$E$766=$A1627)/('Weekly Tracker'!$F$2:$F$766&lt;&gt;""),'Weekly Tracker'!$F$2:$F$766),"")</f>
        <v/>
      </c>
      <c r="G1627" s="16">
        <f>IF(F1627&lt;&gt;"",LOOKUP(2,1/('Weekly Tracker'!$E$2:$E$766=$A1627)/('Weekly Tracker'!$F$2:$F$766&lt;&gt;""),'Weekly Tracker'!$G$2:$G$766),"")</f>
        <v/>
      </c>
      <c r="H1627" s="9">
        <f>IFERROR(LOOKUP(2,1/('Weekly Tracker'!$E$2:$E$766=$A1627)/('Weekly Tracker'!$H$2:$H$766&lt;&gt;""),'Weekly Tracker'!$H$2:$H$766),"")</f>
        <v/>
      </c>
      <c r="I1627" s="16">
        <f>IF(H1627&lt;&gt;"",LOOKUP(2,1/('Weekly Tracker'!$E$2:$E$766=$A1627)/('Weekly Tracker'!$H$2:$H$766&lt;&gt;""),'Weekly Tracker'!$I$2:$I$766),"")</f>
        <v/>
      </c>
      <c r="J1627" s="9">
        <f>IFERROR(LOOKUP(2,1/('Weekly Tracker'!$E$2:$E$766=$A1627)/('Weekly Tracker'!$J$2:$J$766&lt;&gt;""),'Weekly Tracker'!$J$2:$J$766),"")</f>
        <v/>
      </c>
      <c r="K1627" s="9">
        <f>IFERROR(LOOKUP(2,1/('Weekly Tracker'!$E$2:$E$766=$A1627)/('Weekly Tracker'!$N$2:$N$766&lt;&gt;""),'Weekly Tracker'!$N$2:$N$766),"")</f>
        <v/>
      </c>
      <c r="L1627" s="9">
        <f>IFERROR(LOOKUP(2,1/('Weekly Tracker'!$E$2:$E$766=$A1627)/('Weekly Tracker'!$O$2:$O$766&lt;&gt;""),'Weekly Tracker'!$O$2:$O$766),"")</f>
        <v/>
      </c>
    </row>
    <row r="1628">
      <c r="A1628" s="9" t="inlineStr">
        <is>
          <t>Moorthi Tngb Kdnl</t>
        </is>
      </c>
      <c r="B1628" s="9" t="inlineStr">
        <is>
          <t>+91 94864 74345</t>
        </is>
      </c>
      <c r="C1628" s="9" t="n"/>
      <c r="D1628" s="9" t="n"/>
      <c r="E1628" s="9" t="n"/>
      <c r="F1628" s="9">
        <f>IFERROR(LOOKUP(2,1/('Weekly Tracker'!$E$2:$E$766=$A1628)/('Weekly Tracker'!$F$2:$F$766&lt;&gt;""),'Weekly Tracker'!$F$2:$F$766),"")</f>
        <v/>
      </c>
      <c r="G1628" s="16">
        <f>IF(F1628&lt;&gt;"",LOOKUP(2,1/('Weekly Tracker'!$E$2:$E$766=$A1628)/('Weekly Tracker'!$F$2:$F$766&lt;&gt;""),'Weekly Tracker'!$G$2:$G$766),"")</f>
        <v/>
      </c>
      <c r="H1628" s="9">
        <f>IFERROR(LOOKUP(2,1/('Weekly Tracker'!$E$2:$E$766=$A1628)/('Weekly Tracker'!$H$2:$H$766&lt;&gt;""),'Weekly Tracker'!$H$2:$H$766),"")</f>
        <v/>
      </c>
      <c r="I1628" s="16">
        <f>IF(H1628&lt;&gt;"",LOOKUP(2,1/('Weekly Tracker'!$E$2:$E$766=$A1628)/('Weekly Tracker'!$H$2:$H$766&lt;&gt;""),'Weekly Tracker'!$I$2:$I$766),"")</f>
        <v/>
      </c>
      <c r="J1628" s="9">
        <f>IFERROR(LOOKUP(2,1/('Weekly Tracker'!$E$2:$E$766=$A1628)/('Weekly Tracker'!$J$2:$J$766&lt;&gt;""),'Weekly Tracker'!$J$2:$J$766),"")</f>
        <v/>
      </c>
      <c r="K1628" s="9">
        <f>IFERROR(LOOKUP(2,1/('Weekly Tracker'!$E$2:$E$766=$A1628)/('Weekly Tracker'!$N$2:$N$766&lt;&gt;""),'Weekly Tracker'!$N$2:$N$766),"")</f>
        <v/>
      </c>
      <c r="L1628" s="9">
        <f>IFERROR(LOOKUP(2,1/('Weekly Tracker'!$E$2:$E$766=$A1628)/('Weekly Tracker'!$O$2:$O$766&lt;&gt;""),'Weekly Tracker'!$O$2:$O$766),"")</f>
        <v/>
      </c>
    </row>
    <row r="1629">
      <c r="A1629" s="9" t="inlineStr">
        <is>
          <t>Bala Venkat Events</t>
        </is>
      </c>
      <c r="B1629" s="9" t="inlineStr">
        <is>
          <t>919384636607</t>
        </is>
      </c>
      <c r="C1629" s="9" t="n"/>
      <c r="D1629" s="9" t="n"/>
      <c r="E1629" s="9" t="n"/>
      <c r="F1629" s="9">
        <f>IFERROR(LOOKUP(2,1/('Weekly Tracker'!$E$2:$E$766=$A1629)/('Weekly Tracker'!$F$2:$F$766&lt;&gt;""),'Weekly Tracker'!$F$2:$F$766),"")</f>
        <v/>
      </c>
      <c r="G1629" s="16">
        <f>IF(F1629&lt;&gt;"",LOOKUP(2,1/('Weekly Tracker'!$E$2:$E$766=$A1629)/('Weekly Tracker'!$F$2:$F$766&lt;&gt;""),'Weekly Tracker'!$G$2:$G$766),"")</f>
        <v/>
      </c>
      <c r="H1629" s="9">
        <f>IFERROR(LOOKUP(2,1/('Weekly Tracker'!$E$2:$E$766=$A1629)/('Weekly Tracker'!$H$2:$H$766&lt;&gt;""),'Weekly Tracker'!$H$2:$H$766),"")</f>
        <v/>
      </c>
      <c r="I1629" s="16">
        <f>IF(H1629&lt;&gt;"",LOOKUP(2,1/('Weekly Tracker'!$E$2:$E$766=$A1629)/('Weekly Tracker'!$H$2:$H$766&lt;&gt;""),'Weekly Tracker'!$I$2:$I$766),"")</f>
        <v/>
      </c>
      <c r="J1629" s="9">
        <f>IFERROR(LOOKUP(2,1/('Weekly Tracker'!$E$2:$E$766=$A1629)/('Weekly Tracker'!$J$2:$J$766&lt;&gt;""),'Weekly Tracker'!$J$2:$J$766),"")</f>
        <v/>
      </c>
      <c r="K1629" s="9">
        <f>IFERROR(LOOKUP(2,1/('Weekly Tracker'!$E$2:$E$766=$A1629)/('Weekly Tracker'!$N$2:$N$766&lt;&gt;""),'Weekly Tracker'!$N$2:$N$766),"")</f>
        <v/>
      </c>
      <c r="L1629" s="9">
        <f>IFERROR(LOOKUP(2,1/('Weekly Tracker'!$E$2:$E$766=$A1629)/('Weekly Tracker'!$O$2:$O$766&lt;&gt;""),'Weekly Tracker'!$O$2:$O$766),"")</f>
        <v/>
      </c>
    </row>
    <row r="1630">
      <c r="A1630" s="9" t="inlineStr">
        <is>
          <t>Mariappan Anna Veerasigamani</t>
        </is>
      </c>
      <c r="B1630" s="9" t="inlineStr">
        <is>
          <t>919629743318</t>
        </is>
      </c>
      <c r="C1630" s="9" t="n"/>
      <c r="D1630" s="9" t="n"/>
      <c r="E1630" s="9" t="n"/>
      <c r="F1630" s="9">
        <f>IFERROR(LOOKUP(2,1/('Weekly Tracker'!$E$2:$E$766=$A1630)/('Weekly Tracker'!$F$2:$F$766&lt;&gt;""),'Weekly Tracker'!$F$2:$F$766),"")</f>
        <v/>
      </c>
      <c r="G1630" s="16">
        <f>IF(F1630&lt;&gt;"",LOOKUP(2,1/('Weekly Tracker'!$E$2:$E$766=$A1630)/('Weekly Tracker'!$F$2:$F$766&lt;&gt;""),'Weekly Tracker'!$G$2:$G$766),"")</f>
        <v/>
      </c>
      <c r="H1630" s="9">
        <f>IFERROR(LOOKUP(2,1/('Weekly Tracker'!$E$2:$E$766=$A1630)/('Weekly Tracker'!$H$2:$H$766&lt;&gt;""),'Weekly Tracker'!$H$2:$H$766),"")</f>
        <v/>
      </c>
      <c r="I1630" s="16">
        <f>IF(H1630&lt;&gt;"",LOOKUP(2,1/('Weekly Tracker'!$E$2:$E$766=$A1630)/('Weekly Tracker'!$H$2:$H$766&lt;&gt;""),'Weekly Tracker'!$I$2:$I$766),"")</f>
        <v/>
      </c>
      <c r="J1630" s="9">
        <f>IFERROR(LOOKUP(2,1/('Weekly Tracker'!$E$2:$E$766=$A1630)/('Weekly Tracker'!$J$2:$J$766&lt;&gt;""),'Weekly Tracker'!$J$2:$J$766),"")</f>
        <v/>
      </c>
      <c r="K1630" s="9">
        <f>IFERROR(LOOKUP(2,1/('Weekly Tracker'!$E$2:$E$766=$A1630)/('Weekly Tracker'!$N$2:$N$766&lt;&gt;""),'Weekly Tracker'!$N$2:$N$766),"")</f>
        <v/>
      </c>
      <c r="L1630" s="9">
        <f>IFERROR(LOOKUP(2,1/('Weekly Tracker'!$E$2:$E$766=$A1630)/('Weekly Tracker'!$O$2:$O$766&lt;&gt;""),'Weekly Tracker'!$O$2:$O$766),"")</f>
        <v/>
      </c>
    </row>
    <row r="1631">
      <c r="A1631" s="9" t="inlineStr">
        <is>
          <t>Kaliappan Chitappa</t>
        </is>
      </c>
      <c r="B1631" s="9" t="inlineStr">
        <is>
          <t>919344027122</t>
        </is>
      </c>
      <c r="C1631" s="9" t="n"/>
      <c r="D1631" s="9" t="n"/>
      <c r="E1631" s="9" t="n"/>
      <c r="F1631" s="9">
        <f>IFERROR(LOOKUP(2,1/('Weekly Tracker'!$E$2:$E$766=$A1631)/('Weekly Tracker'!$F$2:$F$766&lt;&gt;""),'Weekly Tracker'!$F$2:$F$766),"")</f>
        <v/>
      </c>
      <c r="G1631" s="16">
        <f>IF(F1631&lt;&gt;"",LOOKUP(2,1/('Weekly Tracker'!$E$2:$E$766=$A1631)/('Weekly Tracker'!$F$2:$F$766&lt;&gt;""),'Weekly Tracker'!$G$2:$G$766),"")</f>
        <v/>
      </c>
      <c r="H1631" s="9">
        <f>IFERROR(LOOKUP(2,1/('Weekly Tracker'!$E$2:$E$766=$A1631)/('Weekly Tracker'!$H$2:$H$766&lt;&gt;""),'Weekly Tracker'!$H$2:$H$766),"")</f>
        <v/>
      </c>
      <c r="I1631" s="16">
        <f>IF(H1631&lt;&gt;"",LOOKUP(2,1/('Weekly Tracker'!$E$2:$E$766=$A1631)/('Weekly Tracker'!$H$2:$H$766&lt;&gt;""),'Weekly Tracker'!$I$2:$I$766),"")</f>
        <v/>
      </c>
      <c r="J1631" s="9">
        <f>IFERROR(LOOKUP(2,1/('Weekly Tracker'!$E$2:$E$766=$A1631)/('Weekly Tracker'!$J$2:$J$766&lt;&gt;""),'Weekly Tracker'!$J$2:$J$766),"")</f>
        <v/>
      </c>
      <c r="K1631" s="9">
        <f>IFERROR(LOOKUP(2,1/('Weekly Tracker'!$E$2:$E$766=$A1631)/('Weekly Tracker'!$N$2:$N$766&lt;&gt;""),'Weekly Tracker'!$N$2:$N$766),"")</f>
        <v/>
      </c>
      <c r="L1631" s="9">
        <f>IFERROR(LOOKUP(2,1/('Weekly Tracker'!$E$2:$E$766=$A1631)/('Weekly Tracker'!$O$2:$O$766&lt;&gt;""),'Weekly Tracker'!$O$2:$O$766),"")</f>
        <v/>
      </c>
    </row>
    <row r="1632">
      <c r="A1632" s="9" t="inlineStr">
        <is>
          <t>Namita CTS</t>
        </is>
      </c>
      <c r="B1632" s="9" t="inlineStr">
        <is>
          <t>919035560981</t>
        </is>
      </c>
      <c r="C1632" s="9" t="n"/>
      <c r="D1632" s="9" t="n"/>
      <c r="E1632" s="9" t="n"/>
      <c r="F1632" s="9">
        <f>IFERROR(LOOKUP(2,1/('Weekly Tracker'!$E$2:$E$766=$A1632)/('Weekly Tracker'!$F$2:$F$766&lt;&gt;""),'Weekly Tracker'!$F$2:$F$766),"")</f>
        <v/>
      </c>
      <c r="G1632" s="16">
        <f>IF(F1632&lt;&gt;"",LOOKUP(2,1/('Weekly Tracker'!$E$2:$E$766=$A1632)/('Weekly Tracker'!$F$2:$F$766&lt;&gt;""),'Weekly Tracker'!$G$2:$G$766),"")</f>
        <v/>
      </c>
      <c r="H1632" s="9">
        <f>IFERROR(LOOKUP(2,1/('Weekly Tracker'!$E$2:$E$766=$A1632)/('Weekly Tracker'!$H$2:$H$766&lt;&gt;""),'Weekly Tracker'!$H$2:$H$766),"")</f>
        <v/>
      </c>
      <c r="I1632" s="16">
        <f>IF(H1632&lt;&gt;"",LOOKUP(2,1/('Weekly Tracker'!$E$2:$E$766=$A1632)/('Weekly Tracker'!$H$2:$H$766&lt;&gt;""),'Weekly Tracker'!$I$2:$I$766),"")</f>
        <v/>
      </c>
      <c r="J1632" s="9">
        <f>IFERROR(LOOKUP(2,1/('Weekly Tracker'!$E$2:$E$766=$A1632)/('Weekly Tracker'!$J$2:$J$766&lt;&gt;""),'Weekly Tracker'!$J$2:$J$766),"")</f>
        <v/>
      </c>
      <c r="K1632" s="9">
        <f>IFERROR(LOOKUP(2,1/('Weekly Tracker'!$E$2:$E$766=$A1632)/('Weekly Tracker'!$N$2:$N$766&lt;&gt;""),'Weekly Tracker'!$N$2:$N$766),"")</f>
        <v/>
      </c>
      <c r="L1632" s="9">
        <f>IFERROR(LOOKUP(2,1/('Weekly Tracker'!$E$2:$E$766=$A1632)/('Weekly Tracker'!$O$2:$O$766&lt;&gt;""),'Weekly Tracker'!$O$2:$O$766),"")</f>
        <v/>
      </c>
    </row>
    <row r="1633">
      <c r="A1633" s="9" t="inlineStr">
        <is>
          <t>Balu Kasi</t>
        </is>
      </c>
      <c r="B1633" s="9" t="inlineStr">
        <is>
          <t>917418775918</t>
        </is>
      </c>
      <c r="C1633" s="9" t="n"/>
      <c r="D1633" s="9" t="n"/>
      <c r="E1633" s="9" t="n"/>
      <c r="F1633" s="9">
        <f>IFERROR(LOOKUP(2,1/('Weekly Tracker'!$E$2:$E$766=$A1633)/('Weekly Tracker'!$F$2:$F$766&lt;&gt;""),'Weekly Tracker'!$F$2:$F$766),"")</f>
        <v/>
      </c>
      <c r="G1633" s="16">
        <f>IF(F1633&lt;&gt;"",LOOKUP(2,1/('Weekly Tracker'!$E$2:$E$766=$A1633)/('Weekly Tracker'!$F$2:$F$766&lt;&gt;""),'Weekly Tracker'!$G$2:$G$766),"")</f>
        <v/>
      </c>
      <c r="H1633" s="9">
        <f>IFERROR(LOOKUP(2,1/('Weekly Tracker'!$E$2:$E$766=$A1633)/('Weekly Tracker'!$H$2:$H$766&lt;&gt;""),'Weekly Tracker'!$H$2:$H$766),"")</f>
        <v/>
      </c>
      <c r="I1633" s="16">
        <f>IF(H1633&lt;&gt;"",LOOKUP(2,1/('Weekly Tracker'!$E$2:$E$766=$A1633)/('Weekly Tracker'!$H$2:$H$766&lt;&gt;""),'Weekly Tracker'!$I$2:$I$766),"")</f>
        <v/>
      </c>
      <c r="J1633" s="9">
        <f>IFERROR(LOOKUP(2,1/('Weekly Tracker'!$E$2:$E$766=$A1633)/('Weekly Tracker'!$J$2:$J$766&lt;&gt;""),'Weekly Tracker'!$J$2:$J$766),"")</f>
        <v/>
      </c>
      <c r="K1633" s="9">
        <f>IFERROR(LOOKUP(2,1/('Weekly Tracker'!$E$2:$E$766=$A1633)/('Weekly Tracker'!$N$2:$N$766&lt;&gt;""),'Weekly Tracker'!$N$2:$N$766),"")</f>
        <v/>
      </c>
      <c r="L1633" s="9">
        <f>IFERROR(LOOKUP(2,1/('Weekly Tracker'!$E$2:$E$766=$A1633)/('Weekly Tracker'!$O$2:$O$766&lt;&gt;""),'Weekly Tracker'!$O$2:$O$766),"")</f>
        <v/>
      </c>
    </row>
    <row r="1634">
      <c r="A1634" s="9" t="inlineStr">
        <is>
          <t>Faizal CTS UPS</t>
        </is>
      </c>
      <c r="B1634" s="9" t="inlineStr">
        <is>
          <t>919003074640</t>
        </is>
      </c>
      <c r="C1634" s="9" t="n"/>
      <c r="D1634" s="9" t="n"/>
      <c r="E1634" s="9" t="n"/>
      <c r="F1634" s="9">
        <f>IFERROR(LOOKUP(2,1/('Weekly Tracker'!$E$2:$E$766=$A1634)/('Weekly Tracker'!$F$2:$F$766&lt;&gt;""),'Weekly Tracker'!$F$2:$F$766),"")</f>
        <v/>
      </c>
      <c r="G1634" s="16">
        <f>IF(F1634&lt;&gt;"",LOOKUP(2,1/('Weekly Tracker'!$E$2:$E$766=$A1634)/('Weekly Tracker'!$F$2:$F$766&lt;&gt;""),'Weekly Tracker'!$G$2:$G$766),"")</f>
        <v/>
      </c>
      <c r="H1634" s="9">
        <f>IFERROR(LOOKUP(2,1/('Weekly Tracker'!$E$2:$E$766=$A1634)/('Weekly Tracker'!$H$2:$H$766&lt;&gt;""),'Weekly Tracker'!$H$2:$H$766),"")</f>
        <v/>
      </c>
      <c r="I1634" s="16">
        <f>IF(H1634&lt;&gt;"",LOOKUP(2,1/('Weekly Tracker'!$E$2:$E$766=$A1634)/('Weekly Tracker'!$H$2:$H$766&lt;&gt;""),'Weekly Tracker'!$I$2:$I$766),"")</f>
        <v/>
      </c>
      <c r="J1634" s="9">
        <f>IFERROR(LOOKUP(2,1/('Weekly Tracker'!$E$2:$E$766=$A1634)/('Weekly Tracker'!$J$2:$J$766&lt;&gt;""),'Weekly Tracker'!$J$2:$J$766),"")</f>
        <v/>
      </c>
      <c r="K1634" s="9">
        <f>IFERROR(LOOKUP(2,1/('Weekly Tracker'!$E$2:$E$766=$A1634)/('Weekly Tracker'!$N$2:$N$766&lt;&gt;""),'Weekly Tracker'!$N$2:$N$766),"")</f>
        <v/>
      </c>
      <c r="L1634" s="9">
        <f>IFERROR(LOOKUP(2,1/('Weekly Tracker'!$E$2:$E$766=$A1634)/('Weekly Tracker'!$O$2:$O$766&lt;&gt;""),'Weekly Tracker'!$O$2:$O$766),"")</f>
        <v/>
      </c>
    </row>
    <row r="1635">
      <c r="A1635" s="9" t="inlineStr">
        <is>
          <t>Mahalakshmi NPOP</t>
        </is>
      </c>
      <c r="B1635" s="9" t="inlineStr">
        <is>
          <t>918270955393</t>
        </is>
      </c>
      <c r="C1635" s="9" t="n"/>
      <c r="D1635" s="9" t="n"/>
      <c r="E1635" s="9" t="n"/>
      <c r="F1635" s="9">
        <f>IFERROR(LOOKUP(2,1/('Weekly Tracker'!$E$2:$E$766=$A1635)/('Weekly Tracker'!$F$2:$F$766&lt;&gt;""),'Weekly Tracker'!$F$2:$F$766),"")</f>
        <v/>
      </c>
      <c r="G1635" s="16">
        <f>IF(F1635&lt;&gt;"",LOOKUP(2,1/('Weekly Tracker'!$E$2:$E$766=$A1635)/('Weekly Tracker'!$F$2:$F$766&lt;&gt;""),'Weekly Tracker'!$G$2:$G$766),"")</f>
        <v/>
      </c>
      <c r="H1635" s="9">
        <f>IFERROR(LOOKUP(2,1/('Weekly Tracker'!$E$2:$E$766=$A1635)/('Weekly Tracker'!$H$2:$H$766&lt;&gt;""),'Weekly Tracker'!$H$2:$H$766),"")</f>
        <v/>
      </c>
      <c r="I1635" s="16">
        <f>IF(H1635&lt;&gt;"",LOOKUP(2,1/('Weekly Tracker'!$E$2:$E$766=$A1635)/('Weekly Tracker'!$H$2:$H$766&lt;&gt;""),'Weekly Tracker'!$I$2:$I$766),"")</f>
        <v/>
      </c>
      <c r="J1635" s="9">
        <f>IFERROR(LOOKUP(2,1/('Weekly Tracker'!$E$2:$E$766=$A1635)/('Weekly Tracker'!$J$2:$J$766&lt;&gt;""),'Weekly Tracker'!$J$2:$J$766),"")</f>
        <v/>
      </c>
      <c r="K1635" s="9">
        <f>IFERROR(LOOKUP(2,1/('Weekly Tracker'!$E$2:$E$766=$A1635)/('Weekly Tracker'!$N$2:$N$766&lt;&gt;""),'Weekly Tracker'!$N$2:$N$766),"")</f>
        <v/>
      </c>
      <c r="L1635" s="9">
        <f>IFERROR(LOOKUP(2,1/('Weekly Tracker'!$E$2:$E$766=$A1635)/('Weekly Tracker'!$O$2:$O$766&lt;&gt;""),'Weekly Tracker'!$O$2:$O$766),"")</f>
        <v/>
      </c>
    </row>
    <row r="1636">
      <c r="A1636" s="9" t="inlineStr">
        <is>
          <t>Davis Solomon</t>
        </is>
      </c>
      <c r="B1636" s="9" t="inlineStr">
        <is>
          <t>917338993916</t>
        </is>
      </c>
      <c r="C1636" s="9" t="n"/>
      <c r="D1636" s="9" t="n"/>
      <c r="E1636" s="9" t="n"/>
      <c r="F1636" s="9">
        <f>IFERROR(LOOKUP(2,1/('Weekly Tracker'!$E$2:$E$766=$A1636)/('Weekly Tracker'!$F$2:$F$766&lt;&gt;""),'Weekly Tracker'!$F$2:$F$766),"")</f>
        <v/>
      </c>
      <c r="G1636" s="16">
        <f>IF(F1636&lt;&gt;"",LOOKUP(2,1/('Weekly Tracker'!$E$2:$E$766=$A1636)/('Weekly Tracker'!$F$2:$F$766&lt;&gt;""),'Weekly Tracker'!$G$2:$G$766),"")</f>
        <v/>
      </c>
      <c r="H1636" s="9">
        <f>IFERROR(LOOKUP(2,1/('Weekly Tracker'!$E$2:$E$766=$A1636)/('Weekly Tracker'!$H$2:$H$766&lt;&gt;""),'Weekly Tracker'!$H$2:$H$766),"")</f>
        <v/>
      </c>
      <c r="I1636" s="16">
        <f>IF(H1636&lt;&gt;"",LOOKUP(2,1/('Weekly Tracker'!$E$2:$E$766=$A1636)/('Weekly Tracker'!$H$2:$H$766&lt;&gt;""),'Weekly Tracker'!$I$2:$I$766),"")</f>
        <v/>
      </c>
      <c r="J1636" s="9">
        <f>IFERROR(LOOKUP(2,1/('Weekly Tracker'!$E$2:$E$766=$A1636)/('Weekly Tracker'!$J$2:$J$766&lt;&gt;""),'Weekly Tracker'!$J$2:$J$766),"")</f>
        <v/>
      </c>
      <c r="K1636" s="9">
        <f>IFERROR(LOOKUP(2,1/('Weekly Tracker'!$E$2:$E$766=$A1636)/('Weekly Tracker'!$N$2:$N$766&lt;&gt;""),'Weekly Tracker'!$N$2:$N$766),"")</f>
        <v/>
      </c>
      <c r="L1636" s="9">
        <f>IFERROR(LOOKUP(2,1/('Weekly Tracker'!$E$2:$E$766=$A1636)/('Weekly Tracker'!$O$2:$O$766&lt;&gt;""),'Weekly Tracker'!$O$2:$O$766),"")</f>
        <v/>
      </c>
    </row>
    <row r="1637">
      <c r="A1637" s="9" t="inlineStr">
        <is>
          <t>Mohan Gatta NPop</t>
        </is>
      </c>
      <c r="B1637" s="9" t="inlineStr">
        <is>
          <t>18488935881</t>
        </is>
      </c>
      <c r="C1637" s="9" t="n"/>
      <c r="D1637" s="9" t="n"/>
      <c r="E1637" s="9" t="n"/>
      <c r="F1637" s="9">
        <f>IFERROR(LOOKUP(2,1/('Weekly Tracker'!$E$2:$E$766=$A1637)/('Weekly Tracker'!$F$2:$F$766&lt;&gt;""),'Weekly Tracker'!$F$2:$F$766),"")</f>
        <v/>
      </c>
      <c r="G1637" s="16">
        <f>IF(F1637&lt;&gt;"",LOOKUP(2,1/('Weekly Tracker'!$E$2:$E$766=$A1637)/('Weekly Tracker'!$F$2:$F$766&lt;&gt;""),'Weekly Tracker'!$G$2:$G$766),"")</f>
        <v/>
      </c>
      <c r="H1637" s="9">
        <f>IFERROR(LOOKUP(2,1/('Weekly Tracker'!$E$2:$E$766=$A1637)/('Weekly Tracker'!$H$2:$H$766&lt;&gt;""),'Weekly Tracker'!$H$2:$H$766),"")</f>
        <v/>
      </c>
      <c r="I1637" s="16">
        <f>IF(H1637&lt;&gt;"",LOOKUP(2,1/('Weekly Tracker'!$E$2:$E$766=$A1637)/('Weekly Tracker'!$H$2:$H$766&lt;&gt;""),'Weekly Tracker'!$I$2:$I$766),"")</f>
        <v/>
      </c>
      <c r="J1637" s="9">
        <f>IFERROR(LOOKUP(2,1/('Weekly Tracker'!$E$2:$E$766=$A1637)/('Weekly Tracker'!$J$2:$J$766&lt;&gt;""),'Weekly Tracker'!$J$2:$J$766),"")</f>
        <v/>
      </c>
      <c r="K1637" s="9">
        <f>IFERROR(LOOKUP(2,1/('Weekly Tracker'!$E$2:$E$766=$A1637)/('Weekly Tracker'!$N$2:$N$766&lt;&gt;""),'Weekly Tracker'!$N$2:$N$766),"")</f>
        <v/>
      </c>
      <c r="L1637" s="9">
        <f>IFERROR(LOOKUP(2,1/('Weekly Tracker'!$E$2:$E$766=$A1637)/('Weekly Tracker'!$O$2:$O$766&lt;&gt;""),'Weekly Tracker'!$O$2:$O$766),"")</f>
        <v/>
      </c>
    </row>
    <row r="1638">
      <c r="A1638" s="9" t="inlineStr">
        <is>
          <t>Vijay Prakash CTS</t>
        </is>
      </c>
      <c r="B1638" s="9" t="inlineStr">
        <is>
          <t>919500162044</t>
        </is>
      </c>
      <c r="C1638" s="9" t="n"/>
      <c r="D1638" s="9" t="n"/>
      <c r="E1638" s="9" t="n"/>
      <c r="F1638" s="9">
        <f>IFERROR(LOOKUP(2,1/('Weekly Tracker'!$E$2:$E$766=$A1638)/('Weekly Tracker'!$F$2:$F$766&lt;&gt;""),'Weekly Tracker'!$F$2:$F$766),"")</f>
        <v/>
      </c>
      <c r="G1638" s="16">
        <f>IF(F1638&lt;&gt;"",LOOKUP(2,1/('Weekly Tracker'!$E$2:$E$766=$A1638)/('Weekly Tracker'!$F$2:$F$766&lt;&gt;""),'Weekly Tracker'!$G$2:$G$766),"")</f>
        <v/>
      </c>
      <c r="H1638" s="9">
        <f>IFERROR(LOOKUP(2,1/('Weekly Tracker'!$E$2:$E$766=$A1638)/('Weekly Tracker'!$H$2:$H$766&lt;&gt;""),'Weekly Tracker'!$H$2:$H$766),"")</f>
        <v/>
      </c>
      <c r="I1638" s="16">
        <f>IF(H1638&lt;&gt;"",LOOKUP(2,1/('Weekly Tracker'!$E$2:$E$766=$A1638)/('Weekly Tracker'!$H$2:$H$766&lt;&gt;""),'Weekly Tracker'!$I$2:$I$766),"")</f>
        <v/>
      </c>
      <c r="J1638" s="9">
        <f>IFERROR(LOOKUP(2,1/('Weekly Tracker'!$E$2:$E$766=$A1638)/('Weekly Tracker'!$J$2:$J$766&lt;&gt;""),'Weekly Tracker'!$J$2:$J$766),"")</f>
        <v/>
      </c>
      <c r="K1638" s="9">
        <f>IFERROR(LOOKUP(2,1/('Weekly Tracker'!$E$2:$E$766=$A1638)/('Weekly Tracker'!$N$2:$N$766&lt;&gt;""),'Weekly Tracker'!$N$2:$N$766),"")</f>
        <v/>
      </c>
      <c r="L1638" s="9">
        <f>IFERROR(LOOKUP(2,1/('Weekly Tracker'!$E$2:$E$766=$A1638)/('Weekly Tracker'!$O$2:$O$766&lt;&gt;""),'Weekly Tracker'!$O$2:$O$766),"")</f>
        <v/>
      </c>
    </row>
    <row r="1639">
      <c r="A1639" s="9" t="inlineStr">
        <is>
          <t>Ragav CTS</t>
        </is>
      </c>
      <c r="B1639" s="9" t="inlineStr">
        <is>
          <t>7401652165</t>
        </is>
      </c>
      <c r="C1639" s="9" t="n"/>
      <c r="D1639" s="9" t="n"/>
      <c r="E1639" s="9" t="n"/>
      <c r="F1639" s="9">
        <f>IFERROR(LOOKUP(2,1/('Weekly Tracker'!$E$2:$E$766=$A1639)/('Weekly Tracker'!$F$2:$F$766&lt;&gt;""),'Weekly Tracker'!$F$2:$F$766),"")</f>
        <v/>
      </c>
      <c r="G1639" s="16">
        <f>IF(F1639&lt;&gt;"",LOOKUP(2,1/('Weekly Tracker'!$E$2:$E$766=$A1639)/('Weekly Tracker'!$F$2:$F$766&lt;&gt;""),'Weekly Tracker'!$G$2:$G$766),"")</f>
        <v/>
      </c>
      <c r="H1639" s="9">
        <f>IFERROR(LOOKUP(2,1/('Weekly Tracker'!$E$2:$E$766=$A1639)/('Weekly Tracker'!$H$2:$H$766&lt;&gt;""),'Weekly Tracker'!$H$2:$H$766),"")</f>
        <v/>
      </c>
      <c r="I1639" s="16">
        <f>IF(H1639&lt;&gt;"",LOOKUP(2,1/('Weekly Tracker'!$E$2:$E$766=$A1639)/('Weekly Tracker'!$H$2:$H$766&lt;&gt;""),'Weekly Tracker'!$I$2:$I$766),"")</f>
        <v/>
      </c>
      <c r="J1639" s="9">
        <f>IFERROR(LOOKUP(2,1/('Weekly Tracker'!$E$2:$E$766=$A1639)/('Weekly Tracker'!$J$2:$J$766&lt;&gt;""),'Weekly Tracker'!$J$2:$J$766),"")</f>
        <v/>
      </c>
      <c r="K1639" s="9">
        <f>IFERROR(LOOKUP(2,1/('Weekly Tracker'!$E$2:$E$766=$A1639)/('Weekly Tracker'!$N$2:$N$766&lt;&gt;""),'Weekly Tracker'!$N$2:$N$766),"")</f>
        <v/>
      </c>
      <c r="L1639" s="9">
        <f>IFERROR(LOOKUP(2,1/('Weekly Tracker'!$E$2:$E$766=$A1639)/('Weekly Tracker'!$O$2:$O$766&lt;&gt;""),'Weekly Tracker'!$O$2:$O$766),"")</f>
        <v/>
      </c>
    </row>
    <row r="1640">
      <c r="A1640" s="9" t="inlineStr">
        <is>
          <t>Thangachi</t>
        </is>
      </c>
      <c r="B1640" s="9" t="inlineStr">
        <is>
          <t>919080411355</t>
        </is>
      </c>
      <c r="C1640" s="9" t="n"/>
      <c r="D1640" s="9" t="n"/>
      <c r="E1640" s="9" t="n"/>
      <c r="F1640" s="9">
        <f>IFERROR(LOOKUP(2,1/('Weekly Tracker'!$E$2:$E$766=$A1640)/('Weekly Tracker'!$F$2:$F$766&lt;&gt;""),'Weekly Tracker'!$F$2:$F$766),"")</f>
        <v/>
      </c>
      <c r="G1640" s="16">
        <f>IF(F1640&lt;&gt;"",LOOKUP(2,1/('Weekly Tracker'!$E$2:$E$766=$A1640)/('Weekly Tracker'!$F$2:$F$766&lt;&gt;""),'Weekly Tracker'!$G$2:$G$766),"")</f>
        <v/>
      </c>
      <c r="H1640" s="9">
        <f>IFERROR(LOOKUP(2,1/('Weekly Tracker'!$E$2:$E$766=$A1640)/('Weekly Tracker'!$H$2:$H$766&lt;&gt;""),'Weekly Tracker'!$H$2:$H$766),"")</f>
        <v/>
      </c>
      <c r="I1640" s="16">
        <f>IF(H1640&lt;&gt;"",LOOKUP(2,1/('Weekly Tracker'!$E$2:$E$766=$A1640)/('Weekly Tracker'!$H$2:$H$766&lt;&gt;""),'Weekly Tracker'!$I$2:$I$766),"")</f>
        <v/>
      </c>
      <c r="J1640" s="9">
        <f>IFERROR(LOOKUP(2,1/('Weekly Tracker'!$E$2:$E$766=$A1640)/('Weekly Tracker'!$J$2:$J$766&lt;&gt;""),'Weekly Tracker'!$J$2:$J$766),"")</f>
        <v/>
      </c>
      <c r="K1640" s="9">
        <f>IFERROR(LOOKUP(2,1/('Weekly Tracker'!$E$2:$E$766=$A1640)/('Weekly Tracker'!$N$2:$N$766&lt;&gt;""),'Weekly Tracker'!$N$2:$N$766),"")</f>
        <v/>
      </c>
      <c r="L1640" s="9">
        <f>IFERROR(LOOKUP(2,1/('Weekly Tracker'!$E$2:$E$766=$A1640)/('Weekly Tracker'!$O$2:$O$766&lt;&gt;""),'Weekly Tracker'!$O$2:$O$766),"")</f>
        <v/>
      </c>
    </row>
    <row r="1641">
      <c r="A1641" s="9" t="inlineStr">
        <is>
          <t>Akshaya N Vijay</t>
        </is>
      </c>
      <c r="B1641" s="9" t="inlineStr">
        <is>
          <t>971545026072</t>
        </is>
      </c>
      <c r="C1641" s="9" t="n"/>
      <c r="D1641" s="9" t="n"/>
      <c r="E1641" s="9" t="n"/>
      <c r="F1641" s="9">
        <f>IFERROR(LOOKUP(2,1/('Weekly Tracker'!$E$2:$E$766=$A1641)/('Weekly Tracker'!$F$2:$F$766&lt;&gt;""),'Weekly Tracker'!$F$2:$F$766),"")</f>
        <v/>
      </c>
      <c r="G1641" s="16">
        <f>IF(F1641&lt;&gt;"",LOOKUP(2,1/('Weekly Tracker'!$E$2:$E$766=$A1641)/('Weekly Tracker'!$F$2:$F$766&lt;&gt;""),'Weekly Tracker'!$G$2:$G$766),"")</f>
        <v/>
      </c>
      <c r="H1641" s="9">
        <f>IFERROR(LOOKUP(2,1/('Weekly Tracker'!$E$2:$E$766=$A1641)/('Weekly Tracker'!$H$2:$H$766&lt;&gt;""),'Weekly Tracker'!$H$2:$H$766),"")</f>
        <v/>
      </c>
      <c r="I1641" s="16">
        <f>IF(H1641&lt;&gt;"",LOOKUP(2,1/('Weekly Tracker'!$E$2:$E$766=$A1641)/('Weekly Tracker'!$H$2:$H$766&lt;&gt;""),'Weekly Tracker'!$I$2:$I$766),"")</f>
        <v/>
      </c>
      <c r="J1641" s="9">
        <f>IFERROR(LOOKUP(2,1/('Weekly Tracker'!$E$2:$E$766=$A1641)/('Weekly Tracker'!$J$2:$J$766&lt;&gt;""),'Weekly Tracker'!$J$2:$J$766),"")</f>
        <v/>
      </c>
      <c r="K1641" s="9">
        <f>IFERROR(LOOKUP(2,1/('Weekly Tracker'!$E$2:$E$766=$A1641)/('Weekly Tracker'!$N$2:$N$766&lt;&gt;""),'Weekly Tracker'!$N$2:$N$766),"")</f>
        <v/>
      </c>
      <c r="L1641" s="9">
        <f>IFERROR(LOOKUP(2,1/('Weekly Tracker'!$E$2:$E$766=$A1641)/('Weekly Tracker'!$O$2:$O$766&lt;&gt;""),'Weekly Tracker'!$O$2:$O$766),"")</f>
        <v/>
      </c>
    </row>
    <row r="1642">
      <c r="A1642" s="9" t="inlineStr">
        <is>
          <t>Nandha Udaykumar UPS TCS</t>
        </is>
      </c>
      <c r="B1642" s="9" t="inlineStr">
        <is>
          <t>+91 99401 41677</t>
        </is>
      </c>
      <c r="C1642" s="9" t="n"/>
      <c r="D1642" s="9" t="n"/>
      <c r="E1642" s="9" t="n"/>
      <c r="F1642" s="9">
        <f>IFERROR(LOOKUP(2,1/('Weekly Tracker'!$E$2:$E$766=$A1642)/('Weekly Tracker'!$F$2:$F$766&lt;&gt;""),'Weekly Tracker'!$F$2:$F$766),"")</f>
        <v/>
      </c>
      <c r="G1642" s="16">
        <f>IF(F1642&lt;&gt;"",LOOKUP(2,1/('Weekly Tracker'!$E$2:$E$766=$A1642)/('Weekly Tracker'!$F$2:$F$766&lt;&gt;""),'Weekly Tracker'!$G$2:$G$766),"")</f>
        <v/>
      </c>
      <c r="H1642" s="9">
        <f>IFERROR(LOOKUP(2,1/('Weekly Tracker'!$E$2:$E$766=$A1642)/('Weekly Tracker'!$H$2:$H$766&lt;&gt;""),'Weekly Tracker'!$H$2:$H$766),"")</f>
        <v/>
      </c>
      <c r="I1642" s="16">
        <f>IF(H1642&lt;&gt;"",LOOKUP(2,1/('Weekly Tracker'!$E$2:$E$766=$A1642)/('Weekly Tracker'!$H$2:$H$766&lt;&gt;""),'Weekly Tracker'!$I$2:$I$766),"")</f>
        <v/>
      </c>
      <c r="J1642" s="9">
        <f>IFERROR(LOOKUP(2,1/('Weekly Tracker'!$E$2:$E$766=$A1642)/('Weekly Tracker'!$J$2:$J$766&lt;&gt;""),'Weekly Tracker'!$J$2:$J$766),"")</f>
        <v/>
      </c>
      <c r="K1642" s="9">
        <f>IFERROR(LOOKUP(2,1/('Weekly Tracker'!$E$2:$E$766=$A1642)/('Weekly Tracker'!$N$2:$N$766&lt;&gt;""),'Weekly Tracker'!$N$2:$N$766),"")</f>
        <v/>
      </c>
      <c r="L1642" s="9">
        <f>IFERROR(LOOKUP(2,1/('Weekly Tracker'!$E$2:$E$766=$A1642)/('Weekly Tracker'!$O$2:$O$766&lt;&gt;""),'Weekly Tracker'!$O$2:$O$766),"")</f>
        <v/>
      </c>
    </row>
    <row r="1643">
      <c r="A1643" s="9" t="inlineStr">
        <is>
          <t>Dhanwanthralaya Hospital</t>
        </is>
      </c>
      <c r="B1643" s="9" t="inlineStr">
        <is>
          <t>91766 77752</t>
        </is>
      </c>
      <c r="C1643" s="9" t="n"/>
      <c r="D1643" s="9" t="n"/>
      <c r="E1643" s="9" t="n"/>
      <c r="F1643" s="9">
        <f>IFERROR(LOOKUP(2,1/('Weekly Tracker'!$E$2:$E$766=$A1643)/('Weekly Tracker'!$F$2:$F$766&lt;&gt;""),'Weekly Tracker'!$F$2:$F$766),"")</f>
        <v/>
      </c>
      <c r="G1643" s="16">
        <f>IF(F1643&lt;&gt;"",LOOKUP(2,1/('Weekly Tracker'!$E$2:$E$766=$A1643)/('Weekly Tracker'!$F$2:$F$766&lt;&gt;""),'Weekly Tracker'!$G$2:$G$766),"")</f>
        <v/>
      </c>
      <c r="H1643" s="9">
        <f>IFERROR(LOOKUP(2,1/('Weekly Tracker'!$E$2:$E$766=$A1643)/('Weekly Tracker'!$H$2:$H$766&lt;&gt;""),'Weekly Tracker'!$H$2:$H$766),"")</f>
        <v/>
      </c>
      <c r="I1643" s="16">
        <f>IF(H1643&lt;&gt;"",LOOKUP(2,1/('Weekly Tracker'!$E$2:$E$766=$A1643)/('Weekly Tracker'!$H$2:$H$766&lt;&gt;""),'Weekly Tracker'!$I$2:$I$766),"")</f>
        <v/>
      </c>
      <c r="J1643" s="9">
        <f>IFERROR(LOOKUP(2,1/('Weekly Tracker'!$E$2:$E$766=$A1643)/('Weekly Tracker'!$J$2:$J$766&lt;&gt;""),'Weekly Tracker'!$J$2:$J$766),"")</f>
        <v/>
      </c>
      <c r="K1643" s="9">
        <f>IFERROR(LOOKUP(2,1/('Weekly Tracker'!$E$2:$E$766=$A1643)/('Weekly Tracker'!$N$2:$N$766&lt;&gt;""),'Weekly Tracker'!$N$2:$N$766),"")</f>
        <v/>
      </c>
      <c r="L1643" s="9">
        <f>IFERROR(LOOKUP(2,1/('Weekly Tracker'!$E$2:$E$766=$A1643)/('Weekly Tracker'!$O$2:$O$766&lt;&gt;""),'Weekly Tracker'!$O$2:$O$766),"")</f>
        <v/>
      </c>
    </row>
    <row r="1644">
      <c r="A1644" s="9" t="inlineStr">
        <is>
          <t>Muthu Sivakumar CTS</t>
        </is>
      </c>
      <c r="B1644" s="9" t="inlineStr">
        <is>
          <t>6379-279664</t>
        </is>
      </c>
      <c r="C1644" s="9" t="n"/>
      <c r="D1644" s="9" t="n"/>
      <c r="E1644" s="9" t="n"/>
      <c r="F1644" s="9">
        <f>IFERROR(LOOKUP(2,1/('Weekly Tracker'!$E$2:$E$766=$A1644)/('Weekly Tracker'!$F$2:$F$766&lt;&gt;""),'Weekly Tracker'!$F$2:$F$766),"")</f>
        <v/>
      </c>
      <c r="G1644" s="16">
        <f>IF(F1644&lt;&gt;"",LOOKUP(2,1/('Weekly Tracker'!$E$2:$E$766=$A1644)/('Weekly Tracker'!$F$2:$F$766&lt;&gt;""),'Weekly Tracker'!$G$2:$G$766),"")</f>
        <v/>
      </c>
      <c r="H1644" s="9">
        <f>IFERROR(LOOKUP(2,1/('Weekly Tracker'!$E$2:$E$766=$A1644)/('Weekly Tracker'!$H$2:$H$766&lt;&gt;""),'Weekly Tracker'!$H$2:$H$766),"")</f>
        <v/>
      </c>
      <c r="I1644" s="16">
        <f>IF(H1644&lt;&gt;"",LOOKUP(2,1/('Weekly Tracker'!$E$2:$E$766=$A1644)/('Weekly Tracker'!$H$2:$H$766&lt;&gt;""),'Weekly Tracker'!$I$2:$I$766),"")</f>
        <v/>
      </c>
      <c r="J1644" s="9">
        <f>IFERROR(LOOKUP(2,1/('Weekly Tracker'!$E$2:$E$766=$A1644)/('Weekly Tracker'!$J$2:$J$766&lt;&gt;""),'Weekly Tracker'!$J$2:$J$766),"")</f>
        <v/>
      </c>
      <c r="K1644" s="9">
        <f>IFERROR(LOOKUP(2,1/('Weekly Tracker'!$E$2:$E$766=$A1644)/('Weekly Tracker'!$N$2:$N$766&lt;&gt;""),'Weekly Tracker'!$N$2:$N$766),"")</f>
        <v/>
      </c>
      <c r="L1644" s="9">
        <f>IFERROR(LOOKUP(2,1/('Weekly Tracker'!$E$2:$E$766=$A1644)/('Weekly Tracker'!$O$2:$O$766&lt;&gt;""),'Weekly Tracker'!$O$2:$O$766),"")</f>
        <v/>
      </c>
    </row>
    <row r="1645">
      <c r="A1645" s="9" t="inlineStr">
        <is>
          <t>Ananth Homebeside</t>
        </is>
      </c>
      <c r="B1645" s="9" t="inlineStr">
        <is>
          <t>919738039475</t>
        </is>
      </c>
      <c r="C1645" s="9" t="n"/>
      <c r="D1645" s="9" t="n"/>
      <c r="E1645" s="9" t="n"/>
      <c r="F1645" s="9">
        <f>IFERROR(LOOKUP(2,1/('Weekly Tracker'!$E$2:$E$766=$A1645)/('Weekly Tracker'!$F$2:$F$766&lt;&gt;""),'Weekly Tracker'!$F$2:$F$766),"")</f>
        <v/>
      </c>
      <c r="G1645" s="16">
        <f>IF(F1645&lt;&gt;"",LOOKUP(2,1/('Weekly Tracker'!$E$2:$E$766=$A1645)/('Weekly Tracker'!$F$2:$F$766&lt;&gt;""),'Weekly Tracker'!$G$2:$G$766),"")</f>
        <v/>
      </c>
      <c r="H1645" s="9">
        <f>IFERROR(LOOKUP(2,1/('Weekly Tracker'!$E$2:$E$766=$A1645)/('Weekly Tracker'!$H$2:$H$766&lt;&gt;""),'Weekly Tracker'!$H$2:$H$766),"")</f>
        <v/>
      </c>
      <c r="I1645" s="16">
        <f>IF(H1645&lt;&gt;"",LOOKUP(2,1/('Weekly Tracker'!$E$2:$E$766=$A1645)/('Weekly Tracker'!$H$2:$H$766&lt;&gt;""),'Weekly Tracker'!$I$2:$I$766),"")</f>
        <v/>
      </c>
      <c r="J1645" s="9">
        <f>IFERROR(LOOKUP(2,1/('Weekly Tracker'!$E$2:$E$766=$A1645)/('Weekly Tracker'!$J$2:$J$766&lt;&gt;""),'Weekly Tracker'!$J$2:$J$766),"")</f>
        <v/>
      </c>
      <c r="K1645" s="9">
        <f>IFERROR(LOOKUP(2,1/('Weekly Tracker'!$E$2:$E$766=$A1645)/('Weekly Tracker'!$N$2:$N$766&lt;&gt;""),'Weekly Tracker'!$N$2:$N$766),"")</f>
        <v/>
      </c>
      <c r="L1645" s="9">
        <f>IFERROR(LOOKUP(2,1/('Weekly Tracker'!$E$2:$E$766=$A1645)/('Weekly Tracker'!$O$2:$O$766&lt;&gt;""),'Weekly Tracker'!$O$2:$O$766),"")</f>
        <v/>
      </c>
    </row>
  </sheetData>
  <autoFilter ref="A1:L1645"/>
  <dataValidations count="1">
    <dataValidation sqref="C2:C5000" showDropDown="0" showInputMessage="0" showErrorMessage="0" allowBlank="1" type="list">
      <formula1>"Warm,HOT,Cold"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0" customWidth="1" style="3" min="1" max="1"/>
  </cols>
  <sheetData>
    <row r="1">
      <c r="A1" s="8" t="inlineStr">
        <is>
          <t>QNET 2026 SALES TRACKER – HOW TO USE</t>
        </is>
      </c>
    </row>
    <row r="3">
      <c r="A3" s="9" t="inlineStr">
        <is>
          <t>1. Weekly Tracker: Starting from AUG Week 31, select the Sales Month/Week and then select a Name from the dropdown.</t>
        </is>
      </c>
    </row>
    <row r="4">
      <c r="A4" s="9" t="inlineStr">
        <is>
          <t>2. Info: Enter the response in Info. Enter Info_Date when you make the update. The Main sheet will pull the latest non-empty Info response/date for that Name.</t>
        </is>
      </c>
    </row>
    <row r="5">
      <c r="A5" s="9" t="inlineStr">
        <is>
          <t>3. Invite: Enter the response in Invite and Invite_Date. The Main sheet will pull the latest non-empty Invite response/date.</t>
        </is>
      </c>
    </row>
    <row r="6">
      <c r="A6" s="9" t="inlineStr">
        <is>
          <t>4. Plans: Enter the response in Plan. The Main sheet will pull the latest non-empty Plan response.</t>
        </is>
      </c>
    </row>
    <row r="7">
      <c r="A7" s="9" t="inlineStr">
        <is>
          <t>5. Comments &amp; Notes: Enter these against the Name in Weekly Tracker. The latest non-empty value is shown in Main.</t>
        </is>
      </c>
    </row>
    <row r="8">
      <c r="A8" s="9" t="inlineStr">
        <is>
          <t>6. New Numbers: Use the New Numbers sheet for new contacts. Enter Name, Number, Connection and Location. Then add the new person as a new row in Main so they become part of the master Name dropdown.</t>
        </is>
      </c>
    </row>
    <row r="9">
      <c r="A9" s="9" t="inlineStr">
        <is>
          <t>7. Dashboard: Shows weekly and monthly counts for Info, Invite, Plans and New Numbers. Charts update when you enter tracker data.</t>
        </is>
      </c>
    </row>
    <row r="10">
      <c r="A10" s="9" t="inlineStr">
        <is>
          <t>8. Dates: The workbook is designed for August–December 2026, following the provided QNET Sales Month Calendar (Week 31 to Week 52).</t>
        </is>
      </c>
    </row>
    <row r="11">
      <c r="A11" s="9" t="inlineStr">
        <is>
          <t>9. Important: Excel formulas update the Main sheet when the workbook recalculates. For a permanent timestamp that never changes, enter the actual update date in Info_Date / Invite_Date rather than using TODAY().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5" customWidth="1" style="3" min="2" max="2"/>
    <col width="15" customWidth="1" style="3" min="3" max="3"/>
    <col width="12" customWidth="1" style="3" min="4" max="4"/>
    <col width="12" customWidth="1" style="3" min="5" max="5"/>
    <col width="12" customWidth="1" style="3" min="6" max="6"/>
    <col width="16" customWidth="1" style="3" min="7" max="7"/>
    <col width="18" customWidth="1" style="3" min="8" max="8"/>
  </cols>
  <sheetData>
    <row r="1">
      <c r="A1" s="10" t="inlineStr">
        <is>
          <t>QNET 2026 SALES DASHBOARD</t>
        </is>
      </c>
      <c r="J1" s="11" t="inlineStr">
        <is>
          <t>KPI</t>
        </is>
      </c>
    </row>
    <row r="2">
      <c r="J2" s="12" t="inlineStr">
        <is>
          <t>Total Contacts</t>
        </is>
      </c>
      <c r="K2" s="11">
        <f>COUNTA(Main!$A$2:$A$1645)</f>
        <v/>
      </c>
    </row>
    <row r="3">
      <c r="A3" s="11" t="inlineStr">
        <is>
          <t>Weekly Progress</t>
        </is>
      </c>
      <c r="J3" s="12" t="inlineStr">
        <is>
          <t>Info Updates</t>
        </is>
      </c>
      <c r="K3" s="11">
        <f>COUNTIF('Weekly Tracker'!$F$2:$F$2001,"&lt;&gt;")</f>
        <v/>
      </c>
    </row>
    <row r="4">
      <c r="A4" s="13" t="inlineStr">
        <is>
          <t>Week</t>
        </is>
      </c>
      <c r="B4" s="13" t="inlineStr">
        <is>
          <t>Start</t>
        </is>
      </c>
      <c r="C4" s="13" t="inlineStr">
        <is>
          <t>End</t>
        </is>
      </c>
      <c r="D4" s="13" t="inlineStr">
        <is>
          <t>Info</t>
        </is>
      </c>
      <c r="E4" s="13" t="inlineStr">
        <is>
          <t>Invite</t>
        </is>
      </c>
      <c r="F4" s="13" t="inlineStr">
        <is>
          <t>Plans</t>
        </is>
      </c>
      <c r="G4" s="13" t="inlineStr">
        <is>
          <t>New Numbers</t>
        </is>
      </c>
      <c r="H4" s="13" t="inlineStr">
        <is>
          <t>Total Activity</t>
        </is>
      </c>
      <c r="J4" s="12" t="inlineStr">
        <is>
          <t>Invite Updates</t>
        </is>
      </c>
      <c r="K4" s="11">
        <f>COUNTIF('Weekly Tracker'!$H$2:$H$2001,"&lt;&gt;")</f>
        <v/>
      </c>
    </row>
    <row r="5">
      <c r="A5" s="0" t="n">
        <v>31</v>
      </c>
      <c r="B5" s="20" t="n">
        <v>46234</v>
      </c>
      <c r="C5" s="20" t="n">
        <v>46240</v>
      </c>
      <c r="D5" s="0">
        <f>COUNTIFS('Weekly Tracker'!$D$2:$D$766,$A5,'Weekly Tracker'!$F$2:$F$766,"&lt;&gt;")</f>
        <v/>
      </c>
      <c r="E5" s="0">
        <f>COUNTIFS('Weekly Tracker'!$D$2:$D$766,$A5,'Weekly Tracker'!$H$2:$H$766,"&lt;&gt;")</f>
        <v/>
      </c>
      <c r="F5" s="0">
        <f>COUNTIFS('Weekly Tracker'!$D$2:$D$766,$A5,'Weekly Tracker'!$J$2:$J$766,"&lt;&gt;")</f>
        <v/>
      </c>
      <c r="G5" s="0">
        <f>COUNTIFS('Weekly Tracker'!$D$2:$D$766,$A5,'Weekly Tracker'!$K$2:$K$766,"&lt;&gt;")</f>
        <v/>
      </c>
      <c r="H5" s="0">
        <f>SUM(D5:G5)</f>
        <v/>
      </c>
      <c r="J5" s="12" t="inlineStr">
        <is>
          <t>Plan Updates</t>
        </is>
      </c>
      <c r="K5" s="11">
        <f>COUNTIF('Weekly Tracker'!$J$2:$J$2001,"&lt;&gt;")</f>
        <v/>
      </c>
    </row>
    <row r="6">
      <c r="A6" s="0" t="n">
        <v>32</v>
      </c>
      <c r="B6" s="20" t="n">
        <v>46241</v>
      </c>
      <c r="C6" s="20" t="n">
        <v>46247</v>
      </c>
      <c r="D6" s="0">
        <f>COUNTIFS('Weekly Tracker'!$D$2:$D$766,$A6,'Weekly Tracker'!$F$2:$F$766,"&lt;&gt;")</f>
        <v/>
      </c>
      <c r="E6" s="0">
        <f>COUNTIFS('Weekly Tracker'!$D$2:$D$766,$A6,'Weekly Tracker'!$H$2:$H$766,"&lt;&gt;")</f>
        <v/>
      </c>
      <c r="F6" s="0">
        <f>COUNTIFS('Weekly Tracker'!$D$2:$D$766,$A6,'Weekly Tracker'!$J$2:$J$766,"&lt;&gt;")</f>
        <v/>
      </c>
      <c r="G6" s="0">
        <f>COUNTIFS('Weekly Tracker'!$D$2:$D$766,$A6,'Weekly Tracker'!$K$2:$K$766,"&lt;&gt;")</f>
        <v/>
      </c>
      <c r="H6" s="0">
        <f>SUM(D6:G6)</f>
        <v/>
      </c>
      <c r="J6" s="12" t="inlineStr">
        <is>
          <t>New Numbers</t>
        </is>
      </c>
      <c r="K6" s="11">
        <f>COUNTIF('New Numbers'!$D$2:$D$501,"&lt;&gt;")</f>
        <v/>
      </c>
    </row>
    <row r="7">
      <c r="A7" s="0" t="n">
        <v>33</v>
      </c>
      <c r="B7" s="20" t="n">
        <v>46248</v>
      </c>
      <c r="C7" s="20" t="n">
        <v>46254</v>
      </c>
      <c r="D7" s="0">
        <f>COUNTIFS('Weekly Tracker'!$D$2:$D$766,$A7,'Weekly Tracker'!$F$2:$F$766,"&lt;&gt;")</f>
        <v/>
      </c>
      <c r="E7" s="0">
        <f>COUNTIFS('Weekly Tracker'!$D$2:$D$766,$A7,'Weekly Tracker'!$H$2:$H$766,"&lt;&gt;")</f>
        <v/>
      </c>
      <c r="F7" s="0">
        <f>COUNTIFS('Weekly Tracker'!$D$2:$D$766,$A7,'Weekly Tracker'!$J$2:$J$766,"&lt;&gt;")</f>
        <v/>
      </c>
      <c r="G7" s="0">
        <f>COUNTIFS('Weekly Tracker'!$D$2:$D$766,$A7,'Weekly Tracker'!$K$2:$K$766,"&lt;&gt;")</f>
        <v/>
      </c>
      <c r="H7" s="0">
        <f>SUM(D7:G7)</f>
        <v/>
      </c>
    </row>
    <row r="8">
      <c r="A8" s="0" t="n">
        <v>34</v>
      </c>
      <c r="B8" s="20" t="n">
        <v>46255</v>
      </c>
      <c r="C8" s="20" t="n">
        <v>46261</v>
      </c>
      <c r="D8" s="0">
        <f>COUNTIFS('Weekly Tracker'!$D$2:$D$766,$A8,'Weekly Tracker'!$F$2:$F$766,"&lt;&gt;")</f>
        <v/>
      </c>
      <c r="E8" s="0">
        <f>COUNTIFS('Weekly Tracker'!$D$2:$D$766,$A8,'Weekly Tracker'!$H$2:$H$766,"&lt;&gt;")</f>
        <v/>
      </c>
      <c r="F8" s="0">
        <f>COUNTIFS('Weekly Tracker'!$D$2:$D$766,$A8,'Weekly Tracker'!$J$2:$J$766,"&lt;&gt;")</f>
        <v/>
      </c>
      <c r="G8" s="0">
        <f>COUNTIFS('Weekly Tracker'!$D$2:$D$766,$A8,'Weekly Tracker'!$K$2:$K$766,"&lt;&gt;")</f>
        <v/>
      </c>
      <c r="H8" s="0">
        <f>SUM(D8:G8)</f>
        <v/>
      </c>
    </row>
    <row r="9">
      <c r="A9" s="0" t="n">
        <v>35</v>
      </c>
      <c r="B9" s="20" t="n">
        <v>46262</v>
      </c>
      <c r="C9" s="20" t="n">
        <v>46268</v>
      </c>
      <c r="D9" s="0">
        <f>COUNTIFS('Weekly Tracker'!$D$2:$D$766,$A9,'Weekly Tracker'!$F$2:$F$766,"&lt;&gt;")</f>
        <v/>
      </c>
      <c r="E9" s="0">
        <f>COUNTIFS('Weekly Tracker'!$D$2:$D$766,$A9,'Weekly Tracker'!$H$2:$H$766,"&lt;&gt;")</f>
        <v/>
      </c>
      <c r="F9" s="0">
        <f>COUNTIFS('Weekly Tracker'!$D$2:$D$766,$A9,'Weekly Tracker'!$J$2:$J$766,"&lt;&gt;")</f>
        <v/>
      </c>
      <c r="G9" s="0">
        <f>COUNTIFS('Weekly Tracker'!$D$2:$D$766,$A9,'Weekly Tracker'!$K$2:$K$766,"&lt;&gt;")</f>
        <v/>
      </c>
      <c r="H9" s="0">
        <f>SUM(D9:G9)</f>
        <v/>
      </c>
    </row>
    <row r="10">
      <c r="A10" s="0" t="n">
        <v>36</v>
      </c>
      <c r="B10" s="20" t="n">
        <v>46269</v>
      </c>
      <c r="C10" s="20" t="n">
        <v>46275</v>
      </c>
      <c r="D10" s="0">
        <f>COUNTIFS('Weekly Tracker'!$D$2:$D$766,$A10,'Weekly Tracker'!$F$2:$F$766,"&lt;&gt;")</f>
        <v/>
      </c>
      <c r="E10" s="0">
        <f>COUNTIFS('Weekly Tracker'!$D$2:$D$766,$A10,'Weekly Tracker'!$H$2:$H$766,"&lt;&gt;")</f>
        <v/>
      </c>
      <c r="F10" s="0">
        <f>COUNTIFS('Weekly Tracker'!$D$2:$D$766,$A10,'Weekly Tracker'!$J$2:$J$766,"&lt;&gt;")</f>
        <v/>
      </c>
      <c r="G10" s="0">
        <f>COUNTIFS('Weekly Tracker'!$D$2:$D$766,$A10,'Weekly Tracker'!$K$2:$K$766,"&lt;&gt;")</f>
        <v/>
      </c>
      <c r="H10" s="0">
        <f>SUM(D10:G10)</f>
        <v/>
      </c>
    </row>
    <row r="11">
      <c r="A11" s="0" t="n">
        <v>37</v>
      </c>
      <c r="B11" s="20" t="n">
        <v>46276</v>
      </c>
      <c r="C11" s="20" t="n">
        <v>46282</v>
      </c>
      <c r="D11" s="0">
        <f>COUNTIFS('Weekly Tracker'!$D$2:$D$766,$A11,'Weekly Tracker'!$F$2:$F$766,"&lt;&gt;")</f>
        <v/>
      </c>
      <c r="E11" s="0">
        <f>COUNTIFS('Weekly Tracker'!$D$2:$D$766,$A11,'Weekly Tracker'!$H$2:$H$766,"&lt;&gt;")</f>
        <v/>
      </c>
      <c r="F11" s="0">
        <f>COUNTIFS('Weekly Tracker'!$D$2:$D$766,$A11,'Weekly Tracker'!$J$2:$J$766,"&lt;&gt;")</f>
        <v/>
      </c>
      <c r="G11" s="0">
        <f>COUNTIFS('Weekly Tracker'!$D$2:$D$766,$A11,'Weekly Tracker'!$K$2:$K$766,"&lt;&gt;")</f>
        <v/>
      </c>
      <c r="H11" s="0">
        <f>SUM(D11:G11)</f>
        <v/>
      </c>
    </row>
    <row r="12">
      <c r="A12" s="0" t="n">
        <v>38</v>
      </c>
      <c r="B12" s="20" t="n">
        <v>46283</v>
      </c>
      <c r="C12" s="20" t="n">
        <v>46289</v>
      </c>
      <c r="D12" s="0">
        <f>COUNTIFS('Weekly Tracker'!$D$2:$D$766,$A12,'Weekly Tracker'!$F$2:$F$766,"&lt;&gt;")</f>
        <v/>
      </c>
      <c r="E12" s="0">
        <f>COUNTIFS('Weekly Tracker'!$D$2:$D$766,$A12,'Weekly Tracker'!$H$2:$H$766,"&lt;&gt;")</f>
        <v/>
      </c>
      <c r="F12" s="0">
        <f>COUNTIFS('Weekly Tracker'!$D$2:$D$766,$A12,'Weekly Tracker'!$J$2:$J$766,"&lt;&gt;")</f>
        <v/>
      </c>
      <c r="G12" s="0">
        <f>COUNTIFS('Weekly Tracker'!$D$2:$D$766,$A12,'Weekly Tracker'!$K$2:$K$766,"&lt;&gt;")</f>
        <v/>
      </c>
      <c r="H12" s="0">
        <f>SUM(D12:G12)</f>
        <v/>
      </c>
    </row>
    <row r="13">
      <c r="A13" s="0" t="n">
        <v>39</v>
      </c>
      <c r="B13" s="20" t="n">
        <v>46290</v>
      </c>
      <c r="C13" s="20" t="n">
        <v>46296</v>
      </c>
      <c r="D13" s="0">
        <f>COUNTIFS('Weekly Tracker'!$D$2:$D$766,$A13,'Weekly Tracker'!$F$2:$F$766,"&lt;&gt;")</f>
        <v/>
      </c>
      <c r="E13" s="0">
        <f>COUNTIFS('Weekly Tracker'!$D$2:$D$766,$A13,'Weekly Tracker'!$H$2:$H$766,"&lt;&gt;")</f>
        <v/>
      </c>
      <c r="F13" s="0">
        <f>COUNTIFS('Weekly Tracker'!$D$2:$D$766,$A13,'Weekly Tracker'!$J$2:$J$766,"&lt;&gt;")</f>
        <v/>
      </c>
      <c r="G13" s="0">
        <f>COUNTIFS('Weekly Tracker'!$D$2:$D$766,$A13,'Weekly Tracker'!$K$2:$K$766,"&lt;&gt;")</f>
        <v/>
      </c>
      <c r="H13" s="0">
        <f>SUM(D13:G13)</f>
        <v/>
      </c>
    </row>
    <row r="14">
      <c r="A14" s="0" t="n">
        <v>40</v>
      </c>
      <c r="B14" s="20" t="n">
        <v>46297</v>
      </c>
      <c r="C14" s="20" t="n">
        <v>46303</v>
      </c>
      <c r="D14" s="0">
        <f>COUNTIFS('Weekly Tracker'!$D$2:$D$766,$A14,'Weekly Tracker'!$F$2:$F$766,"&lt;&gt;")</f>
        <v/>
      </c>
      <c r="E14" s="0">
        <f>COUNTIFS('Weekly Tracker'!$D$2:$D$766,$A14,'Weekly Tracker'!$H$2:$H$766,"&lt;&gt;")</f>
        <v/>
      </c>
      <c r="F14" s="0">
        <f>COUNTIFS('Weekly Tracker'!$D$2:$D$766,$A14,'Weekly Tracker'!$J$2:$J$766,"&lt;&gt;")</f>
        <v/>
      </c>
      <c r="G14" s="0">
        <f>COUNTIFS('Weekly Tracker'!$D$2:$D$766,$A14,'Weekly Tracker'!$K$2:$K$766,"&lt;&gt;")</f>
        <v/>
      </c>
      <c r="H14" s="0">
        <f>SUM(D14:G14)</f>
        <v/>
      </c>
    </row>
    <row r="15">
      <c r="A15" s="0" t="n">
        <v>41</v>
      </c>
      <c r="B15" s="20" t="n">
        <v>46304</v>
      </c>
      <c r="C15" s="20" t="n">
        <v>46310</v>
      </c>
      <c r="D15" s="0">
        <f>COUNTIFS('Weekly Tracker'!$D$2:$D$766,$A15,'Weekly Tracker'!$F$2:$F$766,"&lt;&gt;")</f>
        <v/>
      </c>
      <c r="E15" s="0">
        <f>COUNTIFS('Weekly Tracker'!$D$2:$D$766,$A15,'Weekly Tracker'!$H$2:$H$766,"&lt;&gt;")</f>
        <v/>
      </c>
      <c r="F15" s="0">
        <f>COUNTIFS('Weekly Tracker'!$D$2:$D$766,$A15,'Weekly Tracker'!$J$2:$J$766,"&lt;&gt;")</f>
        <v/>
      </c>
      <c r="G15" s="0">
        <f>COUNTIFS('Weekly Tracker'!$D$2:$D$766,$A15,'Weekly Tracker'!$K$2:$K$766,"&lt;&gt;")</f>
        <v/>
      </c>
      <c r="H15" s="0">
        <f>SUM(D15:G15)</f>
        <v/>
      </c>
    </row>
    <row r="16">
      <c r="A16" s="0" t="n">
        <v>42</v>
      </c>
      <c r="B16" s="20" t="n">
        <v>46311</v>
      </c>
      <c r="C16" s="20" t="n">
        <v>46317</v>
      </c>
      <c r="D16" s="0">
        <f>COUNTIFS('Weekly Tracker'!$D$2:$D$766,$A16,'Weekly Tracker'!$F$2:$F$766,"&lt;&gt;")</f>
        <v/>
      </c>
      <c r="E16" s="0">
        <f>COUNTIFS('Weekly Tracker'!$D$2:$D$766,$A16,'Weekly Tracker'!$H$2:$H$766,"&lt;&gt;")</f>
        <v/>
      </c>
      <c r="F16" s="0">
        <f>COUNTIFS('Weekly Tracker'!$D$2:$D$766,$A16,'Weekly Tracker'!$J$2:$J$766,"&lt;&gt;")</f>
        <v/>
      </c>
      <c r="G16" s="0">
        <f>COUNTIFS('Weekly Tracker'!$D$2:$D$766,$A16,'Weekly Tracker'!$K$2:$K$766,"&lt;&gt;")</f>
        <v/>
      </c>
      <c r="H16" s="0">
        <f>SUM(D16:G16)</f>
        <v/>
      </c>
    </row>
    <row r="17">
      <c r="A17" s="0" t="n">
        <v>43</v>
      </c>
      <c r="B17" s="20" t="n">
        <v>46318</v>
      </c>
      <c r="C17" s="20" t="n">
        <v>46324</v>
      </c>
      <c r="D17" s="0">
        <f>COUNTIFS('Weekly Tracker'!$D$2:$D$766,$A17,'Weekly Tracker'!$F$2:$F$766,"&lt;&gt;")</f>
        <v/>
      </c>
      <c r="E17" s="0">
        <f>COUNTIFS('Weekly Tracker'!$D$2:$D$766,$A17,'Weekly Tracker'!$H$2:$H$766,"&lt;&gt;")</f>
        <v/>
      </c>
      <c r="F17" s="0">
        <f>COUNTIFS('Weekly Tracker'!$D$2:$D$766,$A17,'Weekly Tracker'!$J$2:$J$766,"&lt;&gt;")</f>
        <v/>
      </c>
      <c r="G17" s="0">
        <f>COUNTIFS('Weekly Tracker'!$D$2:$D$766,$A17,'Weekly Tracker'!$K$2:$K$766,"&lt;&gt;")</f>
        <v/>
      </c>
      <c r="H17" s="0">
        <f>SUM(D17:G17)</f>
        <v/>
      </c>
    </row>
    <row r="18">
      <c r="A18" s="0" t="n">
        <v>44</v>
      </c>
      <c r="B18" s="20" t="n">
        <v>46325</v>
      </c>
      <c r="C18" s="20" t="n">
        <v>46331</v>
      </c>
      <c r="D18" s="0">
        <f>COUNTIFS('Weekly Tracker'!$D$2:$D$766,$A18,'Weekly Tracker'!$F$2:$F$766,"&lt;&gt;")</f>
        <v/>
      </c>
      <c r="E18" s="0">
        <f>COUNTIFS('Weekly Tracker'!$D$2:$D$766,$A18,'Weekly Tracker'!$H$2:$H$766,"&lt;&gt;")</f>
        <v/>
      </c>
      <c r="F18" s="0">
        <f>COUNTIFS('Weekly Tracker'!$D$2:$D$766,$A18,'Weekly Tracker'!$J$2:$J$766,"&lt;&gt;")</f>
        <v/>
      </c>
      <c r="G18" s="0">
        <f>COUNTIFS('Weekly Tracker'!$D$2:$D$766,$A18,'Weekly Tracker'!$K$2:$K$766,"&lt;&gt;")</f>
        <v/>
      </c>
      <c r="H18" s="0">
        <f>SUM(D18:G18)</f>
        <v/>
      </c>
    </row>
    <row r="19">
      <c r="A19" s="0" t="n">
        <v>45</v>
      </c>
      <c r="B19" s="20" t="n">
        <v>46332</v>
      </c>
      <c r="C19" s="20" t="n">
        <v>46338</v>
      </c>
      <c r="D19" s="0">
        <f>COUNTIFS('Weekly Tracker'!$D$2:$D$766,$A19,'Weekly Tracker'!$F$2:$F$766,"&lt;&gt;")</f>
        <v/>
      </c>
      <c r="E19" s="0">
        <f>COUNTIFS('Weekly Tracker'!$D$2:$D$766,$A19,'Weekly Tracker'!$H$2:$H$766,"&lt;&gt;")</f>
        <v/>
      </c>
      <c r="F19" s="0">
        <f>COUNTIFS('Weekly Tracker'!$D$2:$D$766,$A19,'Weekly Tracker'!$J$2:$J$766,"&lt;&gt;")</f>
        <v/>
      </c>
      <c r="G19" s="0">
        <f>COUNTIFS('Weekly Tracker'!$D$2:$D$766,$A19,'Weekly Tracker'!$K$2:$K$766,"&lt;&gt;")</f>
        <v/>
      </c>
      <c r="H19" s="0">
        <f>SUM(D19:G19)</f>
        <v/>
      </c>
    </row>
    <row r="20">
      <c r="A20" s="0" t="n">
        <v>46</v>
      </c>
      <c r="B20" s="20" t="n">
        <v>46339</v>
      </c>
      <c r="C20" s="20" t="n">
        <v>46345</v>
      </c>
      <c r="D20" s="0">
        <f>COUNTIFS('Weekly Tracker'!$D$2:$D$766,$A20,'Weekly Tracker'!$F$2:$F$766,"&lt;&gt;")</f>
        <v/>
      </c>
      <c r="E20" s="0">
        <f>COUNTIFS('Weekly Tracker'!$D$2:$D$766,$A20,'Weekly Tracker'!$H$2:$H$766,"&lt;&gt;")</f>
        <v/>
      </c>
      <c r="F20" s="0">
        <f>COUNTIFS('Weekly Tracker'!$D$2:$D$766,$A20,'Weekly Tracker'!$J$2:$J$766,"&lt;&gt;")</f>
        <v/>
      </c>
      <c r="G20" s="0">
        <f>COUNTIFS('Weekly Tracker'!$D$2:$D$766,$A20,'Weekly Tracker'!$K$2:$K$766,"&lt;&gt;")</f>
        <v/>
      </c>
      <c r="H20" s="0">
        <f>SUM(D20:G20)</f>
        <v/>
      </c>
    </row>
    <row r="21">
      <c r="A21" s="0" t="n">
        <v>47</v>
      </c>
      <c r="B21" s="20" t="n">
        <v>46346</v>
      </c>
      <c r="C21" s="20" t="n">
        <v>46352</v>
      </c>
      <c r="D21" s="0">
        <f>COUNTIFS('Weekly Tracker'!$D$2:$D$766,$A21,'Weekly Tracker'!$F$2:$F$766,"&lt;&gt;")</f>
        <v/>
      </c>
      <c r="E21" s="0">
        <f>COUNTIFS('Weekly Tracker'!$D$2:$D$766,$A21,'Weekly Tracker'!$H$2:$H$766,"&lt;&gt;")</f>
        <v/>
      </c>
      <c r="F21" s="0">
        <f>COUNTIFS('Weekly Tracker'!$D$2:$D$766,$A21,'Weekly Tracker'!$J$2:$J$766,"&lt;&gt;")</f>
        <v/>
      </c>
      <c r="G21" s="0">
        <f>COUNTIFS('Weekly Tracker'!$D$2:$D$766,$A21,'Weekly Tracker'!$K$2:$K$766,"&lt;&gt;")</f>
        <v/>
      </c>
      <c r="H21" s="0">
        <f>SUM(D21:G21)</f>
        <v/>
      </c>
    </row>
    <row r="22">
      <c r="A22" s="0" t="n">
        <v>48</v>
      </c>
      <c r="B22" s="20" t="n">
        <v>46353</v>
      </c>
      <c r="C22" s="20" t="n">
        <v>46359</v>
      </c>
      <c r="D22" s="0">
        <f>COUNTIFS('Weekly Tracker'!$D$2:$D$766,$A22,'Weekly Tracker'!$F$2:$F$766,"&lt;&gt;")</f>
        <v/>
      </c>
      <c r="E22" s="0">
        <f>COUNTIFS('Weekly Tracker'!$D$2:$D$766,$A22,'Weekly Tracker'!$H$2:$H$766,"&lt;&gt;")</f>
        <v/>
      </c>
      <c r="F22" s="0">
        <f>COUNTIFS('Weekly Tracker'!$D$2:$D$766,$A22,'Weekly Tracker'!$J$2:$J$766,"&lt;&gt;")</f>
        <v/>
      </c>
      <c r="G22" s="0">
        <f>COUNTIFS('Weekly Tracker'!$D$2:$D$766,$A22,'Weekly Tracker'!$K$2:$K$766,"&lt;&gt;")</f>
        <v/>
      </c>
      <c r="H22" s="0">
        <f>SUM(D22:G22)</f>
        <v/>
      </c>
    </row>
    <row r="23">
      <c r="A23" s="0" t="n">
        <v>49</v>
      </c>
      <c r="B23" s="20" t="n">
        <v>46360</v>
      </c>
      <c r="C23" s="20" t="n">
        <v>46366</v>
      </c>
      <c r="D23" s="0">
        <f>COUNTIFS('Weekly Tracker'!$D$2:$D$766,$A23,'Weekly Tracker'!$F$2:$F$766,"&lt;&gt;")</f>
        <v/>
      </c>
      <c r="E23" s="0">
        <f>COUNTIFS('Weekly Tracker'!$D$2:$D$766,$A23,'Weekly Tracker'!$H$2:$H$766,"&lt;&gt;")</f>
        <v/>
      </c>
      <c r="F23" s="0">
        <f>COUNTIFS('Weekly Tracker'!$D$2:$D$766,$A23,'Weekly Tracker'!$J$2:$J$766,"&lt;&gt;")</f>
        <v/>
      </c>
      <c r="G23" s="0">
        <f>COUNTIFS('Weekly Tracker'!$D$2:$D$766,$A23,'Weekly Tracker'!$K$2:$K$766,"&lt;&gt;")</f>
        <v/>
      </c>
      <c r="H23" s="0">
        <f>SUM(D23:G23)</f>
        <v/>
      </c>
    </row>
    <row r="24">
      <c r="A24" s="0" t="n">
        <v>50</v>
      </c>
      <c r="B24" s="20" t="n">
        <v>46367</v>
      </c>
      <c r="C24" s="20" t="n">
        <v>46373</v>
      </c>
      <c r="D24" s="0">
        <f>COUNTIFS('Weekly Tracker'!$D$2:$D$766,$A24,'Weekly Tracker'!$F$2:$F$766,"&lt;&gt;")</f>
        <v/>
      </c>
      <c r="E24" s="0">
        <f>COUNTIFS('Weekly Tracker'!$D$2:$D$766,$A24,'Weekly Tracker'!$H$2:$H$766,"&lt;&gt;")</f>
        <v/>
      </c>
      <c r="F24" s="0">
        <f>COUNTIFS('Weekly Tracker'!$D$2:$D$766,$A24,'Weekly Tracker'!$J$2:$J$766,"&lt;&gt;")</f>
        <v/>
      </c>
      <c r="G24" s="0">
        <f>COUNTIFS('Weekly Tracker'!$D$2:$D$766,$A24,'Weekly Tracker'!$K$2:$K$766,"&lt;&gt;")</f>
        <v/>
      </c>
      <c r="H24" s="0">
        <f>SUM(D24:G24)</f>
        <v/>
      </c>
    </row>
    <row r="25">
      <c r="A25" s="0" t="n">
        <v>51</v>
      </c>
      <c r="B25" s="20" t="n">
        <v>46374</v>
      </c>
      <c r="C25" s="20" t="n">
        <v>46380</v>
      </c>
      <c r="D25" s="0">
        <f>COUNTIFS('Weekly Tracker'!$D$2:$D$766,$A25,'Weekly Tracker'!$F$2:$F$766,"&lt;&gt;")</f>
        <v/>
      </c>
      <c r="E25" s="0">
        <f>COUNTIFS('Weekly Tracker'!$D$2:$D$766,$A25,'Weekly Tracker'!$H$2:$H$766,"&lt;&gt;")</f>
        <v/>
      </c>
      <c r="F25" s="0">
        <f>COUNTIFS('Weekly Tracker'!$D$2:$D$766,$A25,'Weekly Tracker'!$J$2:$J$766,"&lt;&gt;")</f>
        <v/>
      </c>
      <c r="G25" s="0">
        <f>COUNTIFS('Weekly Tracker'!$D$2:$D$766,$A25,'Weekly Tracker'!$K$2:$K$766,"&lt;&gt;")</f>
        <v/>
      </c>
      <c r="H25" s="0">
        <f>SUM(D25:G25)</f>
        <v/>
      </c>
    </row>
    <row r="26">
      <c r="A26" s="0" t="n">
        <v>52</v>
      </c>
      <c r="B26" s="20" t="n">
        <v>46381</v>
      </c>
      <c r="C26" s="20" t="n">
        <v>46387</v>
      </c>
      <c r="D26" s="0">
        <f>COUNTIFS('Weekly Tracker'!$D$2:$D$766,$A26,'Weekly Tracker'!$F$2:$F$766,"&lt;&gt;")</f>
        <v/>
      </c>
      <c r="E26" s="0">
        <f>COUNTIFS('Weekly Tracker'!$D$2:$D$766,$A26,'Weekly Tracker'!$H$2:$H$766,"&lt;&gt;")</f>
        <v/>
      </c>
      <c r="F26" s="0">
        <f>COUNTIFS('Weekly Tracker'!$D$2:$D$766,$A26,'Weekly Tracker'!$J$2:$J$766,"&lt;&gt;")</f>
        <v/>
      </c>
      <c r="G26" s="0">
        <f>COUNTIFS('Weekly Tracker'!$D$2:$D$766,$A26,'Weekly Tracker'!$K$2:$K$766,"&lt;&gt;")</f>
        <v/>
      </c>
      <c r="H26" s="0">
        <f>SUM(D26:G26)</f>
        <v/>
      </c>
    </row>
    <row r="29">
      <c r="A29" s="11" t="inlineStr">
        <is>
          <t>Monthly Progress</t>
        </is>
      </c>
    </row>
    <row r="30">
      <c r="A30" s="13" t="inlineStr">
        <is>
          <t>Month</t>
        </is>
      </c>
      <c r="B30" s="13" t="inlineStr">
        <is>
          <t>Info</t>
        </is>
      </c>
      <c r="C30" s="13" t="inlineStr">
        <is>
          <t>Invite</t>
        </is>
      </c>
      <c r="D30" s="13" t="inlineStr">
        <is>
          <t>Plans</t>
        </is>
      </c>
      <c r="E30" s="13" t="inlineStr">
        <is>
          <t>New Numbers</t>
        </is>
      </c>
      <c r="F30" s="13" t="inlineStr">
        <is>
          <t>Total Activity</t>
        </is>
      </c>
      <c r="G30" s="13" t="n"/>
      <c r="H30" s="13" t="n"/>
    </row>
    <row r="31">
      <c r="A31" s="0" t="inlineStr">
        <is>
          <t>AUG</t>
        </is>
      </c>
      <c r="B31" s="0">
        <f>COUNTIFS('Weekly Tracker'!$C$2:$C$766,"AUG",'Weekly Tracker'!$F$2:$F$766,"&lt;&gt;")</f>
        <v/>
      </c>
      <c r="C31" s="0">
        <f>COUNTIFS('Weekly Tracker'!$C$2:$C$766,"AUG",'Weekly Tracker'!$H$2:$H$766,"&lt;&gt;")</f>
        <v/>
      </c>
      <c r="D31" s="0">
        <f>COUNTIFS('Weekly Tracker'!$C$2:$C$766,"AUG",'Weekly Tracker'!$J$2:$J$766,"&lt;&gt;")</f>
        <v/>
      </c>
      <c r="E31" s="0">
        <f>COUNTIFS('Weekly Tracker'!$C$2:$C$766,"AUG",'Weekly Tracker'!$K$2:$K$766,"&lt;&gt;")</f>
        <v/>
      </c>
      <c r="F31" s="0">
        <f>SUM(B31:E31)</f>
        <v/>
      </c>
    </row>
    <row r="32">
      <c r="A32" s="0" t="inlineStr">
        <is>
          <t>SEP</t>
        </is>
      </c>
      <c r="B32" s="0">
        <f>COUNTIFS('Weekly Tracker'!$C$2:$C$766,"SEP",'Weekly Tracker'!$F$2:$F$766,"&lt;&gt;")</f>
        <v/>
      </c>
      <c r="C32" s="0">
        <f>COUNTIFS('Weekly Tracker'!$C$2:$C$766,"SEP",'Weekly Tracker'!$H$2:$H$766,"&lt;&gt;")</f>
        <v/>
      </c>
      <c r="D32" s="0">
        <f>COUNTIFS('Weekly Tracker'!$C$2:$C$766,"SEP",'Weekly Tracker'!$J$2:$J$766,"&lt;&gt;")</f>
        <v/>
      </c>
      <c r="E32" s="0">
        <f>COUNTIFS('Weekly Tracker'!$C$2:$C$766,"SEP",'Weekly Tracker'!$K$2:$K$766,"&lt;&gt;")</f>
        <v/>
      </c>
      <c r="F32" s="0">
        <f>SUM(B32:E32)</f>
        <v/>
      </c>
    </row>
    <row r="33">
      <c r="A33" s="0" t="inlineStr">
        <is>
          <t>OCT</t>
        </is>
      </c>
      <c r="B33" s="0">
        <f>COUNTIFS('Weekly Tracker'!$C$2:$C$766,"OCT",'Weekly Tracker'!$F$2:$F$766,"&lt;&gt;")</f>
        <v/>
      </c>
      <c r="C33" s="0">
        <f>COUNTIFS('Weekly Tracker'!$C$2:$C$766,"OCT",'Weekly Tracker'!$H$2:$H$766,"&lt;&gt;")</f>
        <v/>
      </c>
      <c r="D33" s="0">
        <f>COUNTIFS('Weekly Tracker'!$C$2:$C$766,"OCT",'Weekly Tracker'!$J$2:$J$766,"&lt;&gt;")</f>
        <v/>
      </c>
      <c r="E33" s="0">
        <f>COUNTIFS('Weekly Tracker'!$C$2:$C$766,"OCT",'Weekly Tracker'!$K$2:$K$766,"&lt;&gt;")</f>
        <v/>
      </c>
      <c r="F33" s="0">
        <f>SUM(B33:E33)</f>
        <v/>
      </c>
    </row>
    <row r="34">
      <c r="A34" s="0" t="inlineStr">
        <is>
          <t>NOV</t>
        </is>
      </c>
      <c r="B34" s="0">
        <f>COUNTIFS('Weekly Tracker'!$C$2:$C$766,"NOV",'Weekly Tracker'!$F$2:$F$766,"&lt;&gt;")</f>
        <v/>
      </c>
      <c r="C34" s="0">
        <f>COUNTIFS('Weekly Tracker'!$C$2:$C$766,"NOV",'Weekly Tracker'!$H$2:$H$766,"&lt;&gt;")</f>
        <v/>
      </c>
      <c r="D34" s="0">
        <f>COUNTIFS('Weekly Tracker'!$C$2:$C$766,"NOV",'Weekly Tracker'!$J$2:$J$766,"&lt;&gt;")</f>
        <v/>
      </c>
      <c r="E34" s="0">
        <f>COUNTIFS('Weekly Tracker'!$C$2:$C$766,"NOV",'Weekly Tracker'!$K$2:$K$766,"&lt;&gt;")</f>
        <v/>
      </c>
      <c r="F34" s="0">
        <f>SUM(B34:E34)</f>
        <v/>
      </c>
    </row>
    <row r="35">
      <c r="A35" s="0" t="inlineStr">
        <is>
          <t>DEC</t>
        </is>
      </c>
      <c r="B35" s="0">
        <f>COUNTIFS('Weekly Tracker'!$C$2:$C$766,"DEC",'Weekly Tracker'!$F$2:$F$766,"&lt;&gt;")</f>
        <v/>
      </c>
      <c r="C35" s="0">
        <f>COUNTIFS('Weekly Tracker'!$C$2:$C$766,"DEC",'Weekly Tracker'!$H$2:$H$766,"&lt;&gt;")</f>
        <v/>
      </c>
      <c r="D35" s="0">
        <f>COUNTIFS('Weekly Tracker'!$C$2:$C$766,"DEC",'Weekly Tracker'!$J$2:$J$766,"&lt;&gt;")</f>
        <v/>
      </c>
      <c r="E35" s="0">
        <f>COUNTIFS('Weekly Tracker'!$C$2:$C$766,"DEC",'Weekly Tracker'!$K$2:$K$766,"&lt;&gt;")</f>
        <v/>
      </c>
      <c r="F35" s="0">
        <f>SUM(B35:E35)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Name List</t>
        </is>
      </c>
      <c r="B1" s="0" t="inlineStr">
        <is>
          <t>Zone List</t>
        </is>
      </c>
    </row>
    <row r="2">
      <c r="A2" s="0" t="inlineStr">
        <is>
          <t>Samsung Helpline</t>
        </is>
      </c>
      <c r="B2" s="0" t="inlineStr">
        <is>
          <t>Warm</t>
        </is>
      </c>
    </row>
    <row r="3">
      <c r="A3" s="0" t="inlineStr">
        <is>
          <t>Ragul Urja</t>
        </is>
      </c>
      <c r="B3" s="0" t="inlineStr">
        <is>
          <t>HOT</t>
        </is>
      </c>
    </row>
    <row r="4">
      <c r="A4" s="0" t="inlineStr">
        <is>
          <t>Rajesh ramadoss Urja</t>
        </is>
      </c>
      <c r="B4" s="0" t="inlineStr">
        <is>
          <t>Cold</t>
        </is>
      </c>
    </row>
    <row r="5">
      <c r="A5" s="0" t="inlineStr">
        <is>
          <t>Rajesh Past Urja</t>
        </is>
      </c>
    </row>
    <row r="6">
      <c r="A6" s="0" t="inlineStr">
        <is>
          <t>Ragul Hit Urja</t>
        </is>
      </c>
    </row>
    <row r="7">
      <c r="A7" s="0" t="inlineStr">
        <is>
          <t>Rajesh FB</t>
        </is>
      </c>
    </row>
    <row r="8">
      <c r="A8" s="0" t="inlineStr">
        <is>
          <t>Rakesh Urja</t>
        </is>
      </c>
    </row>
    <row r="9">
      <c r="A9" s="0" t="inlineStr">
        <is>
          <t>Vinoth Mech</t>
        </is>
      </c>
    </row>
    <row r="10">
      <c r="A10" s="0" t="inlineStr">
        <is>
          <t>Mani Kandan FB</t>
        </is>
      </c>
    </row>
    <row r="11">
      <c r="A11" s="0" t="inlineStr">
        <is>
          <t>Mani VJ FB</t>
        </is>
      </c>
    </row>
    <row r="12">
      <c r="A12" s="0" t="inlineStr">
        <is>
          <t>Niranjan Urja</t>
        </is>
      </c>
    </row>
    <row r="13">
      <c r="A13" s="0" t="inlineStr">
        <is>
          <t>Anbu Urja</t>
        </is>
      </c>
    </row>
    <row r="14">
      <c r="A14" s="0" t="inlineStr">
        <is>
          <t>Vinoth Kumar Mech</t>
        </is>
      </c>
    </row>
    <row r="15">
      <c r="A15" s="0" t="inlineStr">
        <is>
          <t>Manikandan FB</t>
        </is>
      </c>
    </row>
    <row r="16">
      <c r="A16" s="0" t="inlineStr">
        <is>
          <t>Urjanet</t>
        </is>
      </c>
    </row>
    <row r="17">
      <c r="A17" s="0" t="inlineStr">
        <is>
          <t>Verizon</t>
        </is>
      </c>
    </row>
    <row r="18">
      <c r="A18" s="0" t="inlineStr">
        <is>
          <t>School</t>
        </is>
      </c>
    </row>
    <row r="19">
      <c r="A19" s="0" t="inlineStr">
        <is>
          <t>Mathan Kumar FB</t>
        </is>
      </c>
    </row>
    <row r="20">
      <c r="A20" s="0" t="inlineStr">
        <is>
          <t>Mani Jaikrish FB</t>
        </is>
      </c>
    </row>
    <row r="21">
      <c r="A21" s="0" t="inlineStr">
        <is>
          <t>Ajith Kumar Grp Ucen</t>
        </is>
      </c>
    </row>
    <row r="22">
      <c r="A22" s="0" t="inlineStr">
        <is>
          <t>VP VenkadeshaPerumal</t>
        </is>
      </c>
    </row>
    <row r="23">
      <c r="A23" s="0" t="inlineStr">
        <is>
          <t>Rakesh TL Urja</t>
        </is>
      </c>
    </row>
    <row r="24">
      <c r="A24" s="0" t="inlineStr">
        <is>
          <t>Anbu Arasan Urja</t>
        </is>
      </c>
    </row>
    <row r="25">
      <c r="A25" s="0" t="inlineStr">
        <is>
          <t>Suresh Dada FB</t>
        </is>
      </c>
    </row>
    <row r="26">
      <c r="A26" s="0" t="inlineStr">
        <is>
          <t>Bala Murugan FB</t>
        </is>
      </c>
    </row>
    <row r="27">
      <c r="A27" s="0" t="inlineStr">
        <is>
          <t>Rajesh Sekar FB</t>
        </is>
      </c>
    </row>
    <row r="28">
      <c r="A28" s="0" t="inlineStr">
        <is>
          <t>Sai Adithya FB</t>
        </is>
      </c>
    </row>
    <row r="29">
      <c r="A29" s="0" t="inlineStr">
        <is>
          <t>Niranjan Past Urja</t>
        </is>
      </c>
    </row>
    <row r="30">
      <c r="A30" s="0" t="inlineStr">
        <is>
          <t>Ajith Kumar Grp UCEN</t>
        </is>
      </c>
    </row>
    <row r="31">
      <c r="A31" s="0" t="inlineStr">
        <is>
          <t>Mahenren Scl Bang</t>
        </is>
      </c>
    </row>
    <row r="32">
      <c r="A32" s="0" t="inlineStr">
        <is>
          <t>Suresh FB</t>
        </is>
      </c>
    </row>
    <row r="33">
      <c r="A33" s="0" t="inlineStr">
        <is>
          <t>Anto C Singh FB</t>
        </is>
      </c>
    </row>
    <row r="34">
      <c r="A34" s="0" t="inlineStr">
        <is>
          <t>Sai Sundar FB</t>
        </is>
      </c>
    </row>
    <row r="35">
      <c r="A35" s="0" t="inlineStr">
        <is>
          <t>SMS Pack</t>
        </is>
      </c>
    </row>
    <row r="36">
      <c r="A36" s="0" t="inlineStr">
        <is>
          <t>my airtel</t>
        </is>
      </c>
    </row>
    <row r="37">
      <c r="A37" s="0" t="inlineStr">
        <is>
          <t>AL friendzchat</t>
        </is>
      </c>
    </row>
    <row r="38">
      <c r="A38" s="0" t="inlineStr">
        <is>
          <t>Entertainment Store</t>
        </is>
      </c>
    </row>
    <row r="39">
      <c r="A39" s="0" t="inlineStr">
        <is>
          <t>Pandit ji LIVE</t>
        </is>
      </c>
    </row>
    <row r="40">
      <c r="A40" s="0" t="inlineStr">
        <is>
          <t>Cybercrime Helpline</t>
        </is>
      </c>
    </row>
    <row r="41">
      <c r="A41" s="0" t="inlineStr">
        <is>
          <t>My Offer</t>
        </is>
      </c>
    </row>
    <row r="42">
      <c r="A42" s="0" t="inlineStr">
        <is>
          <t>Instant help 24x7</t>
        </is>
      </c>
    </row>
    <row r="43">
      <c r="A43" s="0" t="inlineStr">
        <is>
          <t>Full Talktime</t>
        </is>
      </c>
    </row>
    <row r="44">
      <c r="A44" s="0" t="inlineStr">
        <is>
          <t>Advance Talktime</t>
        </is>
      </c>
    </row>
    <row r="45">
      <c r="A45" s="0" t="inlineStr">
        <is>
          <t>AL hello tunes</t>
        </is>
      </c>
    </row>
    <row r="46">
      <c r="A46" s="0" t="inlineStr">
        <is>
          <t>Internet packs</t>
        </is>
      </c>
    </row>
    <row r="47">
      <c r="A47" s="0" t="inlineStr">
        <is>
          <t>airtel money</t>
        </is>
      </c>
    </row>
    <row r="48">
      <c r="A48" s="0" t="inlineStr">
        <is>
          <t>Best Offer</t>
        </is>
      </c>
    </row>
    <row r="49">
      <c r="A49" s="0" t="inlineStr">
        <is>
          <t>customer care</t>
        </is>
      </c>
    </row>
    <row r="50">
      <c r="A50" s="0" t="inlineStr">
        <is>
          <t>AL on demand</t>
        </is>
      </c>
    </row>
    <row r="51">
      <c r="A51" s="0" t="inlineStr">
        <is>
          <t>AL cricket</t>
        </is>
      </c>
    </row>
    <row r="52">
      <c r="A52" s="0" t="inlineStr">
        <is>
          <t>ambulance</t>
        </is>
      </c>
    </row>
    <row r="53">
      <c r="A53" s="0" t="inlineStr">
        <is>
          <t>ALentertainment</t>
        </is>
      </c>
    </row>
    <row r="54">
      <c r="A54" s="0" t="inlineStr">
        <is>
          <t>AL *dial</t>
        </is>
      </c>
    </row>
    <row r="55">
      <c r="A55" s="0" t="inlineStr">
        <is>
          <t>railway inquiry</t>
        </is>
      </c>
    </row>
    <row r="56">
      <c r="A56" s="0" t="inlineStr">
        <is>
          <t>police</t>
        </is>
      </c>
    </row>
    <row r="57">
      <c r="A57" s="0" t="inlineStr">
        <is>
          <t>airtel live(AL)</t>
        </is>
      </c>
    </row>
    <row r="58">
      <c r="A58" s="0" t="inlineStr">
        <is>
          <t>fire</t>
        </is>
      </c>
    </row>
    <row r="59">
      <c r="A59" s="0" t="inlineStr">
        <is>
          <t>airtel Store</t>
        </is>
      </c>
    </row>
    <row r="60">
      <c r="A60" s="0" t="inlineStr">
        <is>
          <t>CardForKnots Insta</t>
        </is>
      </c>
    </row>
    <row r="61">
      <c r="A61" s="0" t="inlineStr">
        <is>
          <t>Ranjith Samuvel Insta</t>
        </is>
      </c>
    </row>
    <row r="62">
      <c r="A62" s="0" t="inlineStr">
        <is>
          <t>Azad samsl. Bro</t>
        </is>
      </c>
    </row>
    <row r="63">
      <c r="A63" s="0" t="inlineStr">
        <is>
          <t>Suresh Rajan-KSR Insta</t>
        </is>
      </c>
    </row>
    <row r="64">
      <c r="A64" s="0" t="inlineStr">
        <is>
          <t>Ramesh Akka</t>
        </is>
      </c>
    </row>
    <row r="65">
      <c r="A65" s="0" t="inlineStr">
        <is>
          <t>Ponram</t>
        </is>
      </c>
    </row>
    <row r="66">
      <c r="A66" s="0" t="inlineStr">
        <is>
          <t>Jaffer FB</t>
        </is>
      </c>
    </row>
    <row r="67">
      <c r="A67" s="0" t="inlineStr">
        <is>
          <t>Durga Prasad Chn</t>
        </is>
      </c>
    </row>
    <row r="68">
      <c r="A68" s="0" t="inlineStr">
        <is>
          <t>Ganesh Urja</t>
        </is>
      </c>
    </row>
    <row r="69">
      <c r="A69" s="0" t="inlineStr">
        <is>
          <t>Dhanunjaya Verz</t>
        </is>
      </c>
    </row>
    <row r="70">
      <c r="A70" s="0" t="inlineStr">
        <is>
          <t>VigneshMurugan Urja</t>
        </is>
      </c>
    </row>
    <row r="71">
      <c r="A71" s="0" t="inlineStr">
        <is>
          <t>Muthu Mari CSE Prof</t>
        </is>
      </c>
    </row>
    <row r="72">
      <c r="A72" s="0" t="inlineStr">
        <is>
          <t>Priya HDFC</t>
        </is>
      </c>
    </row>
    <row r="73">
      <c r="A73" s="0" t="inlineStr">
        <is>
          <t>Aravind Ramesh FB</t>
        </is>
      </c>
    </row>
    <row r="74">
      <c r="A74" s="0" t="inlineStr">
        <is>
          <t>Arjun Grp Ucen</t>
        </is>
      </c>
    </row>
    <row r="75">
      <c r="A75" s="0" t="inlineStr">
        <is>
          <t>Stalin Scl</t>
        </is>
      </c>
    </row>
    <row r="76">
      <c r="A76" s="0" t="inlineStr">
        <is>
          <t>Sathesh Kumar Nadar Scl</t>
        </is>
      </c>
    </row>
    <row r="77">
      <c r="A77" s="0" t="inlineStr">
        <is>
          <t>Pandi Pandyaraj FB</t>
        </is>
      </c>
    </row>
    <row r="78">
      <c r="A78" s="0" t="inlineStr">
        <is>
          <t>Suresh Mariappan FB</t>
        </is>
      </c>
    </row>
    <row r="79">
      <c r="A79" s="0" t="inlineStr">
        <is>
          <t>GopiNath FB</t>
        </is>
      </c>
    </row>
    <row r="80">
      <c r="A80" s="0" t="inlineStr">
        <is>
          <t>Kurinji Mech</t>
        </is>
      </c>
    </row>
    <row r="81">
      <c r="A81" s="0" t="inlineStr">
        <is>
          <t>Vishnu</t>
        </is>
      </c>
    </row>
    <row r="82">
      <c r="A82" s="0" t="inlineStr">
        <is>
          <t>Midun DA Urja</t>
        </is>
      </c>
    </row>
    <row r="83">
      <c r="A83" s="0" t="inlineStr">
        <is>
          <t>Raja HCL</t>
        </is>
      </c>
    </row>
    <row r="84">
      <c r="A84" s="0" t="inlineStr">
        <is>
          <t>Sky Mobiles</t>
        </is>
      </c>
    </row>
    <row r="85">
      <c r="A85" s="0" t="inlineStr">
        <is>
          <t>Suthan B Grp Ucen</t>
        </is>
      </c>
    </row>
    <row r="86">
      <c r="A86" s="0" t="inlineStr">
        <is>
          <t>Navajeevan Medipakkam</t>
        </is>
      </c>
    </row>
    <row r="87">
      <c r="A87" s="0" t="inlineStr">
        <is>
          <t>Angel Studio Kdnl</t>
        </is>
      </c>
    </row>
    <row r="88">
      <c r="A88" s="0" t="inlineStr">
        <is>
          <t>Abubuker Grp Ucen</t>
        </is>
      </c>
    </row>
    <row r="89">
      <c r="A89" s="0" t="inlineStr">
        <is>
          <t>Sibi Civil</t>
        </is>
      </c>
    </row>
    <row r="90">
      <c r="A90" s="0" t="inlineStr">
        <is>
          <t>Thaivathu Raja FB</t>
        </is>
      </c>
    </row>
    <row r="91">
      <c r="A91" s="0" t="inlineStr">
        <is>
          <t>Dhivya PL</t>
        </is>
      </c>
    </row>
    <row r="92">
      <c r="A92" s="0" t="inlineStr">
        <is>
          <t>Alwin Vinoth FB</t>
        </is>
      </c>
    </row>
    <row r="93">
      <c r="A93" s="0" t="inlineStr">
        <is>
          <t>Nethaji FB</t>
        </is>
      </c>
    </row>
    <row r="94">
      <c r="A94" s="0" t="inlineStr">
        <is>
          <t>Umar Abdul FB</t>
        </is>
      </c>
    </row>
    <row r="95">
      <c r="A95" s="0" t="inlineStr">
        <is>
          <t>Arivazhagan Urja</t>
        </is>
      </c>
    </row>
    <row r="96">
      <c r="A96" s="0" t="inlineStr">
        <is>
          <t>Silambarasi Junior</t>
        </is>
      </c>
    </row>
    <row r="97">
      <c r="A97" s="0" t="inlineStr">
        <is>
          <t>Yasir Urja</t>
        </is>
      </c>
    </row>
    <row r="98">
      <c r="A98" s="0" t="inlineStr">
        <is>
          <t>Varun Dharun Brother</t>
        </is>
      </c>
    </row>
    <row r="99">
      <c r="A99" s="0" t="inlineStr">
        <is>
          <t>Arun_hp Qs</t>
        </is>
      </c>
    </row>
    <row r="100">
      <c r="A100" s="0" t="inlineStr">
        <is>
          <t>Eric David Insta</t>
        </is>
      </c>
    </row>
    <row r="101">
      <c r="A101" s="0" t="inlineStr">
        <is>
          <t>Masthan kdnl</t>
        </is>
      </c>
    </row>
    <row r="102">
      <c r="A102" s="0" t="inlineStr">
        <is>
          <t>Nilesh Chakrawar Ford</t>
        </is>
      </c>
    </row>
    <row r="103">
      <c r="A103" s="0" t="inlineStr">
        <is>
          <t>Sathish Kumar Scl</t>
        </is>
      </c>
    </row>
    <row r="104">
      <c r="A104" s="0" t="inlineStr">
        <is>
          <t>Siva Sn FB</t>
        </is>
      </c>
    </row>
    <row r="105">
      <c r="A105" s="0" t="inlineStr">
        <is>
          <t>Naveen Knsu FB</t>
        </is>
      </c>
    </row>
    <row r="106">
      <c r="A106" s="0" t="inlineStr">
        <is>
          <t>Ponmurugan Anandakumar Infy</t>
        </is>
      </c>
    </row>
    <row r="107">
      <c r="A107" s="0" t="inlineStr">
        <is>
          <t>Arun Mozhi Scl</t>
        </is>
      </c>
    </row>
    <row r="108">
      <c r="A108" s="0" t="inlineStr">
        <is>
          <t>Dhinesh Palanisamy FB</t>
        </is>
      </c>
    </row>
    <row r="109">
      <c r="A109" s="0" t="inlineStr">
        <is>
          <t>Kishore M</t>
        </is>
      </c>
    </row>
    <row r="110">
      <c r="A110" s="0" t="inlineStr">
        <is>
          <t>Siva Krish Grp Ucen</t>
        </is>
      </c>
    </row>
    <row r="111">
      <c r="A111" s="0" t="inlineStr">
        <is>
          <t>Murali Mon Insta</t>
        </is>
      </c>
    </row>
    <row r="112">
      <c r="A112" s="0" t="inlineStr">
        <is>
          <t>Logashankar Tele</t>
        </is>
      </c>
    </row>
    <row r="113">
      <c r="A113" s="0" t="inlineStr">
        <is>
          <t>Sabari Urja</t>
        </is>
      </c>
    </row>
    <row r="114">
      <c r="A114" s="0" t="inlineStr">
        <is>
          <t>Sankar - Vardhani Meeting Hall Tnagar</t>
        </is>
      </c>
    </row>
    <row r="115">
      <c r="A115" s="0" t="inlineStr">
        <is>
          <t>Bhuvi HR Urja</t>
        </is>
      </c>
    </row>
    <row r="116">
      <c r="A116" s="0" t="inlineStr">
        <is>
          <t>Muthu Prakash Scl</t>
        </is>
      </c>
    </row>
    <row r="117">
      <c r="A117" s="0" t="inlineStr">
        <is>
          <t>Vivek Scl</t>
        </is>
      </c>
    </row>
    <row r="118">
      <c r="A118" s="0" t="inlineStr">
        <is>
          <t>Praveena Urja</t>
        </is>
      </c>
    </row>
    <row r="119">
      <c r="A119" s="0" t="inlineStr">
        <is>
          <t>Pandiya Insta</t>
        </is>
      </c>
    </row>
    <row r="120">
      <c r="A120" s="0" t="inlineStr">
        <is>
          <t>Ramanujam Ram FB</t>
        </is>
      </c>
    </row>
    <row r="121">
      <c r="A121" s="0" t="inlineStr">
        <is>
          <t>Er.N.Babu Grp Ucen</t>
        </is>
      </c>
    </row>
    <row r="122">
      <c r="A122" s="0" t="inlineStr">
        <is>
          <t>Beniel Infy</t>
        </is>
      </c>
    </row>
    <row r="123">
      <c r="A123" s="0" t="inlineStr">
        <is>
          <t>Shaji S Roman FB</t>
        </is>
      </c>
    </row>
    <row r="124">
      <c r="A124" s="0" t="inlineStr">
        <is>
          <t>Sunil Dhull Infy</t>
        </is>
      </c>
    </row>
    <row r="125">
      <c r="A125" s="0" t="inlineStr">
        <is>
          <t>Bala Kumar Grp Junior</t>
        </is>
      </c>
    </row>
    <row r="126">
      <c r="A126" s="0" t="inlineStr">
        <is>
          <t>Vimal Urja</t>
        </is>
      </c>
    </row>
    <row r="127">
      <c r="A127" s="0" t="inlineStr">
        <is>
          <t>Balaji R NDLF</t>
        </is>
      </c>
    </row>
    <row r="128">
      <c r="A128" s="0" t="inlineStr">
        <is>
          <t>Rajesh kanna FB</t>
        </is>
      </c>
    </row>
    <row r="129">
      <c r="A129" s="0" t="inlineStr">
        <is>
          <t>Clinton Cric FB</t>
        </is>
      </c>
    </row>
    <row r="130">
      <c r="A130" s="0" t="inlineStr">
        <is>
          <t>Perinba Arun Changed</t>
        </is>
      </c>
    </row>
    <row r="131">
      <c r="A131" s="0" t="inlineStr">
        <is>
          <t>Thiyagarajan FB</t>
        </is>
      </c>
    </row>
    <row r="132">
      <c r="A132" s="0" t="inlineStr">
        <is>
          <t>Vinay Infosys</t>
        </is>
      </c>
    </row>
    <row r="133">
      <c r="A133" s="0" t="inlineStr">
        <is>
          <t>Prakash Rapido</t>
        </is>
      </c>
    </row>
    <row r="134">
      <c r="A134" s="0" t="inlineStr">
        <is>
          <t>Subash FB</t>
        </is>
      </c>
    </row>
    <row r="135">
      <c r="A135" s="0" t="inlineStr">
        <is>
          <t>Kirish Past Urja</t>
        </is>
      </c>
    </row>
    <row r="136">
      <c r="A136" s="0" t="inlineStr">
        <is>
          <t>Prabhu M Grp Ucen</t>
        </is>
      </c>
    </row>
    <row r="137">
      <c r="A137" s="0" t="inlineStr">
        <is>
          <t>Suganya Prabakaran FB</t>
        </is>
      </c>
    </row>
    <row r="138">
      <c r="A138" s="0" t="inlineStr">
        <is>
          <t>Ajin (Nishanth)</t>
        </is>
      </c>
    </row>
    <row r="139">
      <c r="A139" s="0" t="inlineStr">
        <is>
          <t>Abijith Uday Infy</t>
        </is>
      </c>
    </row>
    <row r="140">
      <c r="A140" s="0" t="inlineStr">
        <is>
          <t>Shibi Chakravarthy FB</t>
        </is>
      </c>
    </row>
    <row r="141">
      <c r="A141" s="0" t="inlineStr">
        <is>
          <t>Distress Number</t>
        </is>
      </c>
    </row>
    <row r="142">
      <c r="A142" s="0" t="inlineStr">
        <is>
          <t>Padma Akka</t>
        </is>
      </c>
    </row>
    <row r="143">
      <c r="A143" s="0" t="inlineStr">
        <is>
          <t>Abhinav Krishna HCL</t>
        </is>
      </c>
    </row>
    <row r="144">
      <c r="A144" s="0" t="inlineStr">
        <is>
          <t>Tamil Puli Ford</t>
        </is>
      </c>
    </row>
    <row r="145">
      <c r="A145" s="0" t="inlineStr">
        <is>
          <t>PuneethAnna</t>
        </is>
      </c>
    </row>
    <row r="146">
      <c r="A146" s="0" t="inlineStr">
        <is>
          <t>Manoj Kumar Pandiyan HCL</t>
        </is>
      </c>
    </row>
    <row r="147">
      <c r="A147" s="0" t="inlineStr">
        <is>
          <t>Dhivya Tiruvengadam Urja</t>
        </is>
      </c>
    </row>
    <row r="148">
      <c r="A148" s="0" t="inlineStr">
        <is>
          <t>Yoganathan Future computer</t>
        </is>
      </c>
    </row>
    <row r="149">
      <c r="A149" s="0" t="inlineStr">
        <is>
          <t>Rahul Sivaguru Frd</t>
        </is>
      </c>
    </row>
    <row r="150">
      <c r="A150" s="0" t="inlineStr">
        <is>
          <t>Venkatesh P Scl</t>
        </is>
      </c>
    </row>
    <row r="151">
      <c r="A151" s="0" t="inlineStr">
        <is>
          <t>Supriya Akshya</t>
        </is>
      </c>
    </row>
    <row r="152">
      <c r="A152" s="0" t="inlineStr">
        <is>
          <t>Sundar G FB</t>
        </is>
      </c>
    </row>
    <row r="153">
      <c r="A153" s="0" t="inlineStr">
        <is>
          <t>Vishal Rapido</t>
        </is>
      </c>
    </row>
    <row r="154">
      <c r="A154" s="0" t="inlineStr">
        <is>
          <t>Madhan Paulsamy Urja</t>
        </is>
      </c>
    </row>
    <row r="155">
      <c r="A155" s="0" t="inlineStr">
        <is>
          <t>AAAAmma</t>
        </is>
      </c>
    </row>
    <row r="156">
      <c r="A156" s="0" t="inlineStr">
        <is>
          <t>Kanchana</t>
        </is>
      </c>
    </row>
    <row r="157">
      <c r="A157" s="0" t="inlineStr">
        <is>
          <t>Shankar M FB</t>
        </is>
      </c>
    </row>
    <row r="158">
      <c r="A158" s="0" t="inlineStr">
        <is>
          <t>Nishanthi Tshirt</t>
        </is>
      </c>
    </row>
    <row r="159">
      <c r="A159" s="0" t="inlineStr">
        <is>
          <t>Mrineeth Verz</t>
        </is>
      </c>
    </row>
    <row r="160">
      <c r="A160" s="0" t="inlineStr">
        <is>
          <t>Udhaya Grp Ucen</t>
        </is>
      </c>
    </row>
    <row r="161">
      <c r="A161" s="0" t="inlineStr">
        <is>
          <t>Sumathi Neelakandan Mech</t>
        </is>
      </c>
    </row>
    <row r="162">
      <c r="A162" s="0" t="inlineStr">
        <is>
          <t>Chitra DB Urja</t>
        </is>
      </c>
    </row>
    <row r="163">
      <c r="A163" s="0" t="inlineStr">
        <is>
          <t>Satheesh Urja</t>
        </is>
      </c>
    </row>
    <row r="164">
      <c r="A164" s="0" t="inlineStr">
        <is>
          <t>Bhava Urja</t>
        </is>
      </c>
    </row>
    <row r="165">
      <c r="A165" s="0" t="inlineStr">
        <is>
          <t>Dhinesh Vicky FB</t>
        </is>
      </c>
    </row>
    <row r="166">
      <c r="A166" s="0" t="inlineStr">
        <is>
          <t>Imran</t>
        </is>
      </c>
    </row>
    <row r="167">
      <c r="A167" s="0" t="inlineStr">
        <is>
          <t>Sathiesh kumar ACT</t>
        </is>
      </c>
    </row>
    <row r="168">
      <c r="A168" s="0" t="inlineStr">
        <is>
          <t>Idea Hot Offer</t>
        </is>
      </c>
    </row>
    <row r="169">
      <c r="A169" s="0" t="inlineStr">
        <is>
          <t>Salai mani. qs</t>
        </is>
      </c>
    </row>
    <row r="170">
      <c r="A170" s="0" t="inlineStr">
        <is>
          <t>Jaswanth Grp Ucen</t>
        </is>
      </c>
    </row>
    <row r="171">
      <c r="A171" s="0" t="inlineStr">
        <is>
          <t>kannan police</t>
        </is>
      </c>
    </row>
    <row r="172">
      <c r="A172" s="0" t="inlineStr">
        <is>
          <t>Sathesh qs. vod</t>
        </is>
      </c>
    </row>
    <row r="173">
      <c r="A173" s="0" t="inlineStr">
        <is>
          <t>Deepadharshan Grp Ucen</t>
        </is>
      </c>
    </row>
    <row r="174">
      <c r="A174" s="0" t="inlineStr">
        <is>
          <t>Gopal Scl</t>
        </is>
      </c>
    </row>
    <row r="175">
      <c r="A175" s="0" t="inlineStr">
        <is>
          <t>Dhinesh Junior</t>
        </is>
      </c>
    </row>
    <row r="176">
      <c r="A176" s="0" t="inlineStr">
        <is>
          <t>Akka Landline</t>
        </is>
      </c>
    </row>
    <row r="177">
      <c r="A177" s="0" t="inlineStr">
        <is>
          <t>Ajeet Raj FB</t>
        </is>
      </c>
    </row>
    <row r="178">
      <c r="A178" s="0" t="inlineStr">
        <is>
          <t>Vivek FB</t>
        </is>
      </c>
    </row>
    <row r="179">
      <c r="A179" s="0" t="inlineStr">
        <is>
          <t>Selva FB</t>
        </is>
      </c>
    </row>
    <row r="180">
      <c r="A180" s="0" t="inlineStr">
        <is>
          <t>Thrun TG</t>
        </is>
      </c>
    </row>
    <row r="181">
      <c r="A181" s="0" t="inlineStr">
        <is>
          <t>Rajiv Atr FB</t>
        </is>
      </c>
    </row>
    <row r="182">
      <c r="A182" s="0" t="inlineStr">
        <is>
          <t>Rajkumar Doctor Scl</t>
        </is>
      </c>
    </row>
    <row r="183">
      <c r="A183" s="0" t="inlineStr">
        <is>
          <t>Vigneshwar Sella</t>
        </is>
      </c>
    </row>
    <row r="184">
      <c r="A184" s="0" t="inlineStr">
        <is>
          <t>Priya Urja</t>
        </is>
      </c>
    </row>
    <row r="185">
      <c r="A185" s="0" t="inlineStr">
        <is>
          <t>Mani RAJ Fb</t>
        </is>
      </c>
    </row>
    <row r="186">
      <c r="A186" s="0" t="inlineStr">
        <is>
          <t>Vinoth NarenMilfrd</t>
        </is>
      </c>
    </row>
    <row r="187">
      <c r="A187" s="0" t="inlineStr">
        <is>
          <t>Aswin Rajeev FB</t>
        </is>
      </c>
    </row>
    <row r="188">
      <c r="A188" s="0" t="inlineStr">
        <is>
          <t>Parthiv qs</t>
        </is>
      </c>
    </row>
    <row r="189">
      <c r="A189" s="0" t="inlineStr">
        <is>
          <t>Mani Junior</t>
        </is>
      </c>
    </row>
    <row r="190">
      <c r="A190" s="0" t="inlineStr">
        <is>
          <t>TauFeeQ Hnuc Scl</t>
        </is>
      </c>
    </row>
    <row r="191">
      <c r="A191" s="0" t="inlineStr">
        <is>
          <t>Moahamad Razik Ali Ucen</t>
        </is>
      </c>
    </row>
    <row r="192">
      <c r="A192" s="0" t="inlineStr">
        <is>
          <t>Reji Grp Ucen</t>
        </is>
      </c>
    </row>
    <row r="193">
      <c r="A193" s="0" t="inlineStr">
        <is>
          <t>Belwin Riyan Grp Ucen</t>
        </is>
      </c>
    </row>
    <row r="194">
      <c r="A194" s="0" t="inlineStr">
        <is>
          <t>Sugan Urja</t>
        </is>
      </c>
    </row>
    <row r="195">
      <c r="A195" s="0" t="inlineStr">
        <is>
          <t>Siva Gurusgn Insta</t>
        </is>
      </c>
    </row>
    <row r="196">
      <c r="A196" s="0" t="inlineStr">
        <is>
          <t>Palani Murugaiya Scl FB</t>
        </is>
      </c>
    </row>
    <row r="197">
      <c r="A197" s="0" t="inlineStr">
        <is>
          <t>Suresh Bala FB</t>
        </is>
      </c>
    </row>
    <row r="198">
      <c r="A198" s="0" t="inlineStr">
        <is>
          <t>Kumar Grp Ucen</t>
        </is>
      </c>
    </row>
    <row r="199">
      <c r="A199" s="0" t="inlineStr">
        <is>
          <t>Diliphan Urja</t>
        </is>
      </c>
    </row>
    <row r="200">
      <c r="A200" s="0" t="inlineStr">
        <is>
          <t>JOHN VICTOR Loa photography</t>
        </is>
      </c>
    </row>
    <row r="201">
      <c r="A201" s="0" t="inlineStr">
        <is>
          <t>Muthu Kumaran FB</t>
        </is>
      </c>
    </row>
    <row r="202">
      <c r="A202" s="0" t="inlineStr">
        <is>
          <t>Jamlee ECE</t>
        </is>
      </c>
    </row>
    <row r="203">
      <c r="A203" s="0" t="inlineStr">
        <is>
          <t>Altren Ganthasamy FB</t>
        </is>
      </c>
    </row>
    <row r="204">
      <c r="A204" s="0" t="inlineStr">
        <is>
          <t>Maris Palani Vel Fb</t>
        </is>
      </c>
    </row>
    <row r="205">
      <c r="A205" s="0" t="inlineStr">
        <is>
          <t>Idea Music</t>
        </is>
      </c>
    </row>
    <row r="206">
      <c r="A206" s="0" t="inlineStr">
        <is>
          <t>Thangaraj Padiyan FB</t>
        </is>
      </c>
    </row>
    <row r="207">
      <c r="A207" s="0" t="inlineStr">
        <is>
          <t>Padmaja@PJ LOA</t>
        </is>
      </c>
    </row>
    <row r="208">
      <c r="A208" s="0" t="inlineStr">
        <is>
          <t>Veda Manikam FB</t>
        </is>
      </c>
    </row>
    <row r="209">
      <c r="A209" s="0" t="inlineStr">
        <is>
          <t>Sabarash Sabari FB</t>
        </is>
      </c>
    </row>
    <row r="210">
      <c r="A210" s="0" t="inlineStr">
        <is>
          <t>Hari Haran FB</t>
        </is>
      </c>
    </row>
    <row r="211">
      <c r="A211" s="0" t="inlineStr">
        <is>
          <t>Anand Ucen</t>
        </is>
      </c>
    </row>
    <row r="212">
      <c r="A212" s="0" t="inlineStr">
        <is>
          <t>David Idi</t>
        </is>
      </c>
    </row>
    <row r="213">
      <c r="A213" s="0" t="inlineStr">
        <is>
          <t>Nidhun balaji Grp Ucen</t>
        </is>
      </c>
    </row>
    <row r="214">
      <c r="A214" s="0" t="inlineStr">
        <is>
          <t>Sadagopan Sangeetha</t>
        </is>
      </c>
    </row>
    <row r="215">
      <c r="A215" s="0" t="inlineStr">
        <is>
          <t>Mari Raj Civil</t>
        </is>
      </c>
    </row>
    <row r="216">
      <c r="A216" s="0" t="inlineStr">
        <is>
          <t>Archie</t>
        </is>
      </c>
    </row>
    <row r="217">
      <c r="A217" s="0" t="inlineStr">
        <is>
          <t>Pothi Murugan Scl</t>
        </is>
      </c>
    </row>
    <row r="218">
      <c r="A218" s="0" t="inlineStr">
        <is>
          <t>Karthikeya HCL</t>
        </is>
      </c>
    </row>
    <row r="219">
      <c r="A219" s="0" t="inlineStr">
        <is>
          <t>Apoorva Gautam HCL</t>
        </is>
      </c>
    </row>
    <row r="220">
      <c r="A220" s="0" t="inlineStr">
        <is>
          <t>Kali Raj Kprm Scl</t>
        </is>
      </c>
    </row>
    <row r="221">
      <c r="A221" s="0" t="inlineStr">
        <is>
          <t>ராசா</t>
        </is>
      </c>
    </row>
    <row r="222">
      <c r="A222" s="0" t="inlineStr">
        <is>
          <t>Selvin FB</t>
        </is>
      </c>
    </row>
    <row r="223">
      <c r="A223" s="0" t="inlineStr">
        <is>
          <t>Jeflin Grp Ucen</t>
        </is>
      </c>
    </row>
    <row r="224">
      <c r="A224" s="0" t="inlineStr">
        <is>
          <t>Pravin qs</t>
        </is>
      </c>
    </row>
    <row r="225">
      <c r="A225" s="0" t="inlineStr">
        <is>
          <t>SamKumar HCL</t>
        </is>
      </c>
    </row>
    <row r="226">
      <c r="A226" s="0" t="inlineStr">
        <is>
          <t>HarishAkhepuriya Painting Infy</t>
        </is>
      </c>
    </row>
    <row r="227">
      <c r="A227" s="0" t="inlineStr">
        <is>
          <t>Manimaran Scl</t>
        </is>
      </c>
    </row>
    <row r="228">
      <c r="A228" s="0" t="inlineStr">
        <is>
          <t>Froja Firoz Grp</t>
        </is>
      </c>
    </row>
    <row r="229">
      <c r="A229" s="0" t="inlineStr">
        <is>
          <t>Omega Jayaram</t>
        </is>
      </c>
    </row>
    <row r="230">
      <c r="A230" s="0" t="inlineStr">
        <is>
          <t>Abishake Thilak FB</t>
        </is>
      </c>
    </row>
    <row r="231">
      <c r="A231" s="0" t="inlineStr">
        <is>
          <t>VembuRajan Kprm</t>
        </is>
      </c>
    </row>
    <row r="232">
      <c r="A232" s="0" t="inlineStr">
        <is>
          <t>Ligeshwaran FB</t>
        </is>
      </c>
    </row>
    <row r="233">
      <c r="A233" s="0" t="inlineStr">
        <is>
          <t>Mani Kprm Scl</t>
        </is>
      </c>
    </row>
    <row r="234">
      <c r="A234" s="0" t="inlineStr">
        <is>
          <t>Jawmin Jaswa Insta</t>
        </is>
      </c>
    </row>
    <row r="235">
      <c r="A235" s="0" t="inlineStr">
        <is>
          <t>Fredic Trouche</t>
        </is>
      </c>
    </row>
    <row r="236">
      <c r="A236" s="0" t="inlineStr">
        <is>
          <t>Karthi Junior</t>
        </is>
      </c>
    </row>
    <row r="237">
      <c r="A237" s="0" t="inlineStr">
        <is>
          <t>Ajith Kumar</t>
        </is>
      </c>
    </row>
    <row r="238">
      <c r="A238" s="0" t="inlineStr">
        <is>
          <t>Muthuvel Scl</t>
        </is>
      </c>
    </row>
    <row r="239">
      <c r="A239" s="0" t="inlineStr">
        <is>
          <t>Abinav Poonia BirdGraphs</t>
        </is>
      </c>
    </row>
    <row r="240">
      <c r="A240" s="0" t="inlineStr">
        <is>
          <t>SHOURYA B Tech SMEC VIT</t>
        </is>
      </c>
    </row>
    <row r="241">
      <c r="A241" s="0" t="inlineStr">
        <is>
          <t>Gopz Urja</t>
        </is>
      </c>
    </row>
    <row r="242">
      <c r="A242" s="0" t="inlineStr">
        <is>
          <t>Manjunauh qs</t>
        </is>
      </c>
    </row>
    <row r="243">
      <c r="A243" s="0" t="inlineStr">
        <is>
          <t>Snehalatha Urja</t>
        </is>
      </c>
    </row>
    <row r="244">
      <c r="A244" s="0" t="inlineStr">
        <is>
          <t>Devi Rajan</t>
        </is>
      </c>
    </row>
    <row r="245">
      <c r="A245" s="0" t="inlineStr">
        <is>
          <t>Jaga Urja</t>
        </is>
      </c>
    </row>
    <row r="246">
      <c r="A246" s="0" t="inlineStr">
        <is>
          <t>Vigneshwaran Urja</t>
        </is>
      </c>
    </row>
    <row r="247">
      <c r="A247" s="0" t="inlineStr">
        <is>
          <t>Vicky Grp Ucen</t>
        </is>
      </c>
    </row>
    <row r="248">
      <c r="A248" s="0" t="inlineStr">
        <is>
          <t>Subath Kumar FB</t>
        </is>
      </c>
    </row>
    <row r="249">
      <c r="A249" s="0" t="inlineStr">
        <is>
          <t>Lakshmi Manikandan FB</t>
        </is>
      </c>
    </row>
    <row r="250">
      <c r="A250" s="0" t="inlineStr">
        <is>
          <t>UdayKumar Infy</t>
        </is>
      </c>
    </row>
    <row r="251">
      <c r="A251" s="0" t="inlineStr">
        <is>
          <t>Prabhu ER FB</t>
        </is>
      </c>
    </row>
    <row r="252">
      <c r="A252" s="0" t="inlineStr">
        <is>
          <t>Danesh Civil</t>
        </is>
      </c>
    </row>
    <row r="253">
      <c r="A253" s="0" t="inlineStr">
        <is>
          <t>Bose Scl</t>
        </is>
      </c>
    </row>
    <row r="254">
      <c r="A254" s="0" t="inlineStr">
        <is>
          <t>Arun CSE FB</t>
        </is>
      </c>
    </row>
    <row r="255">
      <c r="A255" s="0" t="inlineStr">
        <is>
          <t>Hdfc Helpline Chn-net bank</t>
        </is>
      </c>
    </row>
    <row r="256">
      <c r="A256" s="0" t="inlineStr">
        <is>
          <t>Thina Karan FB</t>
        </is>
      </c>
    </row>
    <row r="257">
      <c r="A257" s="0" t="inlineStr">
        <is>
          <t>Lingeshwaran FB</t>
        </is>
      </c>
    </row>
    <row r="258">
      <c r="A258" s="0" t="inlineStr">
        <is>
          <t>Selvam Mechanic Kund</t>
        </is>
      </c>
    </row>
    <row r="259">
      <c r="A259" s="0" t="inlineStr">
        <is>
          <t>Purijaganath Scl</t>
        </is>
      </c>
    </row>
    <row r="260">
      <c r="A260" s="0" t="inlineStr">
        <is>
          <t>Sharan Urja</t>
        </is>
      </c>
    </row>
    <row r="261">
      <c r="A261" s="0" t="inlineStr">
        <is>
          <t>Selvaseelan Scl</t>
        </is>
      </c>
    </row>
    <row r="262">
      <c r="A262" s="0" t="inlineStr">
        <is>
          <t>Manjunath FB</t>
        </is>
      </c>
    </row>
    <row r="263">
      <c r="A263" s="0" t="inlineStr">
        <is>
          <t>Manish Kumar Umakant HCL</t>
        </is>
      </c>
    </row>
    <row r="264">
      <c r="A264" s="0" t="inlineStr">
        <is>
          <t>John Sandy</t>
        </is>
      </c>
    </row>
    <row r="265">
      <c r="A265" s="0" t="inlineStr">
        <is>
          <t>Siva ranjini Urja</t>
        </is>
      </c>
    </row>
    <row r="266">
      <c r="A266" s="0" t="inlineStr">
        <is>
          <t>Tamilselvan Grp Alumini</t>
        </is>
      </c>
    </row>
    <row r="267">
      <c r="A267" s="0" t="inlineStr">
        <is>
          <t>Kottur Samy FB</t>
        </is>
      </c>
    </row>
    <row r="268">
      <c r="A268" s="0" t="inlineStr">
        <is>
          <t>Sivaguru qs. ev</t>
        </is>
      </c>
    </row>
    <row r="269">
      <c r="A269" s="0" t="inlineStr">
        <is>
          <t>Nancy LOA</t>
        </is>
      </c>
    </row>
    <row r="270">
      <c r="A270" s="0" t="inlineStr">
        <is>
          <t>Свеет Сутха🌻</t>
        </is>
      </c>
    </row>
    <row r="271">
      <c r="A271" s="0" t="inlineStr">
        <is>
          <t>Vishal FB</t>
        </is>
      </c>
    </row>
    <row r="272">
      <c r="A272" s="0" t="inlineStr">
        <is>
          <t>Mridul Kumar Ford</t>
        </is>
      </c>
    </row>
    <row r="273">
      <c r="A273" s="0" t="inlineStr">
        <is>
          <t>Venkatesh.G Scl</t>
        </is>
      </c>
    </row>
    <row r="274">
      <c r="A274" s="0" t="inlineStr">
        <is>
          <t>Beller Min FB</t>
        </is>
      </c>
    </row>
    <row r="275">
      <c r="A275" s="0" t="inlineStr">
        <is>
          <t>Rethen Rethen FB</t>
        </is>
      </c>
    </row>
    <row r="276">
      <c r="A276" s="0" t="inlineStr">
        <is>
          <t>Gowtham Hit Urja</t>
        </is>
      </c>
    </row>
    <row r="277">
      <c r="A277" s="0" t="inlineStr">
        <is>
          <t>Sivan athan</t>
        </is>
      </c>
    </row>
    <row r="278">
      <c r="A278" s="0" t="inlineStr">
        <is>
          <t>Padmanabhan Urja</t>
        </is>
      </c>
    </row>
    <row r="279">
      <c r="A279" s="0" t="inlineStr">
        <is>
          <t>Prakash Divya PL</t>
        </is>
      </c>
    </row>
    <row r="280">
      <c r="A280" s="0" t="inlineStr">
        <is>
          <t>Sujay Sankar FB</t>
        </is>
      </c>
    </row>
    <row r="281">
      <c r="A281" s="0" t="inlineStr">
        <is>
          <t>Muthukumar Civil</t>
        </is>
      </c>
    </row>
    <row r="282">
      <c r="A282" s="0" t="inlineStr">
        <is>
          <t>Jeya Pradeep Urja</t>
        </is>
      </c>
    </row>
    <row r="283">
      <c r="A283" s="0" t="inlineStr">
        <is>
          <t>Kiruba Subramaniyan Insta</t>
        </is>
      </c>
    </row>
    <row r="284">
      <c r="A284" s="0" t="inlineStr">
        <is>
          <t>Harihara Sudhan FB</t>
        </is>
      </c>
    </row>
    <row r="285">
      <c r="A285" s="0" t="inlineStr">
        <is>
          <t>Mathi 3yr</t>
        </is>
      </c>
    </row>
    <row r="286">
      <c r="A286" s="0" t="inlineStr">
        <is>
          <t>Vignesh ECE</t>
        </is>
      </c>
    </row>
    <row r="287">
      <c r="A287" s="0" t="inlineStr">
        <is>
          <t>Dinesh C FB</t>
        </is>
      </c>
    </row>
    <row r="288">
      <c r="A288" s="0" t="inlineStr">
        <is>
          <t>Thirunavukkarasu Urja</t>
        </is>
      </c>
    </row>
    <row r="289">
      <c r="A289" s="0" t="inlineStr">
        <is>
          <t>Mohana Infy</t>
        </is>
      </c>
    </row>
    <row r="290">
      <c r="A290" s="0" t="inlineStr">
        <is>
          <t>Nalla Thambi Local</t>
        </is>
      </c>
    </row>
    <row r="291">
      <c r="A291" s="0" t="inlineStr">
        <is>
          <t>Rayappan Joseph FB</t>
        </is>
      </c>
    </row>
    <row r="292">
      <c r="A292" s="0" t="inlineStr">
        <is>
          <t>Jenishta Louis Grp Ucen</t>
        </is>
      </c>
    </row>
    <row r="293">
      <c r="A293" s="0" t="inlineStr">
        <is>
          <t>Kumar Arun FB</t>
        </is>
      </c>
    </row>
    <row r="294">
      <c r="A294" s="0" t="inlineStr">
        <is>
          <t>Vishnu Mech</t>
        </is>
      </c>
    </row>
    <row r="295">
      <c r="A295" s="0" t="inlineStr">
        <is>
          <t>Shainu</t>
        </is>
      </c>
    </row>
    <row r="296">
      <c r="A296" s="0" t="inlineStr">
        <is>
          <t>Shane ECE</t>
        </is>
      </c>
    </row>
    <row r="297">
      <c r="A297" s="0" t="inlineStr">
        <is>
          <t>Pandiyan Ayyanar FB</t>
        </is>
      </c>
    </row>
    <row r="298">
      <c r="A298" s="0" t="inlineStr">
        <is>
          <t>My Idea *121#</t>
        </is>
      </c>
    </row>
    <row r="299">
      <c r="A299" s="0" t="inlineStr">
        <is>
          <t>Essaki muthu GP</t>
        </is>
      </c>
    </row>
    <row r="300">
      <c r="A300" s="0" t="inlineStr">
        <is>
          <t>Karthick Grp Ucen</t>
        </is>
      </c>
    </row>
    <row r="301">
      <c r="A301" s="0" t="inlineStr">
        <is>
          <t>Kathir Azhagan FB</t>
        </is>
      </c>
    </row>
    <row r="302">
      <c r="A302" s="0" t="inlineStr">
        <is>
          <t>Arvind Vasudeven Verz</t>
        </is>
      </c>
    </row>
    <row r="303">
      <c r="A303" s="0" t="inlineStr">
        <is>
          <t>Palani Owner</t>
        </is>
      </c>
    </row>
    <row r="304">
      <c r="A304" s="0" t="inlineStr">
        <is>
          <t>Ramya Palanisamy Urja</t>
        </is>
      </c>
    </row>
    <row r="305">
      <c r="A305" s="0" t="inlineStr">
        <is>
          <t>Loga Priya Urja</t>
        </is>
      </c>
    </row>
    <row r="306">
      <c r="A306" s="0" t="inlineStr">
        <is>
          <t>Aashik Ali. urj</t>
        </is>
      </c>
    </row>
    <row r="307">
      <c r="A307" s="0" t="inlineStr">
        <is>
          <t>Shiranjeevi Junior</t>
        </is>
      </c>
    </row>
    <row r="308">
      <c r="A308" s="0" t="inlineStr">
        <is>
          <t>Gururajan FB</t>
        </is>
      </c>
    </row>
    <row r="309">
      <c r="A309" s="0" t="inlineStr">
        <is>
          <t>Yuvraj Marimuthu Grp</t>
        </is>
      </c>
    </row>
    <row r="310">
      <c r="A310" s="0" t="inlineStr">
        <is>
          <t>Thirumalai Kumar Scl FB</t>
        </is>
      </c>
    </row>
    <row r="311">
      <c r="A311" s="0" t="inlineStr">
        <is>
          <t>Solo Solomon FB</t>
        </is>
      </c>
    </row>
    <row r="312">
      <c r="A312" s="0" t="inlineStr">
        <is>
          <t>Akash H Prabhu Infy</t>
        </is>
      </c>
    </row>
    <row r="313">
      <c r="A313" s="0" t="inlineStr">
        <is>
          <t>Hari Prasath FB</t>
        </is>
      </c>
    </row>
    <row r="314">
      <c r="A314" s="0" t="inlineStr">
        <is>
          <t>Kiran Kumar LOA</t>
        </is>
      </c>
    </row>
    <row r="315">
      <c r="A315" s="0" t="inlineStr">
        <is>
          <t>Bala Murugan Scl</t>
        </is>
      </c>
    </row>
    <row r="316">
      <c r="A316" s="0" t="inlineStr">
        <is>
          <t>Prakash Mani FB</t>
        </is>
      </c>
    </row>
    <row r="317">
      <c r="A317" s="0" t="inlineStr">
        <is>
          <t>Jino Jk GP</t>
        </is>
      </c>
    </row>
    <row r="318">
      <c r="A318" s="0" t="inlineStr">
        <is>
          <t>Poovarasan Rapido</t>
        </is>
      </c>
    </row>
    <row r="319">
      <c r="A319" s="0" t="inlineStr">
        <is>
          <t>Sholto Mech</t>
        </is>
      </c>
    </row>
    <row r="320">
      <c r="A320" s="0" t="inlineStr">
        <is>
          <t>Umesh Soni HCL</t>
        </is>
      </c>
    </row>
    <row r="321">
      <c r="A321" s="0" t="inlineStr">
        <is>
          <t>Kalaindra Raja FB</t>
        </is>
      </c>
    </row>
    <row r="322">
      <c r="A322" s="0" t="inlineStr">
        <is>
          <t>rishikeshrajan FB</t>
        </is>
      </c>
    </row>
    <row r="323">
      <c r="A323" s="0" t="inlineStr">
        <is>
          <t>Tejaswi</t>
        </is>
      </c>
    </row>
    <row r="324">
      <c r="A324" s="0" t="inlineStr">
        <is>
          <t>Veera Telegram</t>
        </is>
      </c>
    </row>
    <row r="325">
      <c r="A325" s="0" t="inlineStr">
        <is>
          <t>Shenbaga Velu Scl</t>
        </is>
      </c>
    </row>
    <row r="326">
      <c r="A326" s="0" t="inlineStr">
        <is>
          <t>Claybag</t>
        </is>
      </c>
    </row>
    <row r="327">
      <c r="A327" s="0" t="inlineStr">
        <is>
          <t>Vimal Loan Loan Axis</t>
        </is>
      </c>
    </row>
    <row r="328">
      <c r="A328" s="0" t="inlineStr">
        <is>
          <t>Rock Agastin FB</t>
        </is>
      </c>
    </row>
    <row r="329">
      <c r="A329" s="0" t="inlineStr">
        <is>
          <t>Dhinesh Dsp FB</t>
        </is>
      </c>
    </row>
    <row r="330">
      <c r="A330" s="0" t="inlineStr">
        <is>
          <t>Deepak Charter Infy</t>
        </is>
      </c>
    </row>
    <row r="331">
      <c r="A331" s="0" t="inlineStr">
        <is>
          <t>Joy HDFC</t>
        </is>
      </c>
    </row>
    <row r="332">
      <c r="A332" s="0" t="inlineStr">
        <is>
          <t>Ponraj</t>
        </is>
      </c>
    </row>
    <row r="333">
      <c r="A333" s="0" t="inlineStr">
        <is>
          <t>Vignesh Monitoring Urja</t>
        </is>
      </c>
    </row>
    <row r="334">
      <c r="A334" s="0" t="inlineStr">
        <is>
          <t>Jason Dharmaraj FB</t>
        </is>
      </c>
    </row>
    <row r="335">
      <c r="A335" s="0" t="inlineStr">
        <is>
          <t>Pandi Durai FB</t>
        </is>
      </c>
    </row>
    <row r="336">
      <c r="A336" s="0" t="inlineStr">
        <is>
          <t>Avitam Homes</t>
        </is>
      </c>
    </row>
    <row r="337">
      <c r="A337" s="0" t="inlineStr">
        <is>
          <t>Ravirajan Ravichandran</t>
        </is>
      </c>
    </row>
    <row r="338">
      <c r="A338" s="0" t="inlineStr">
        <is>
          <t>Sethu Urja</t>
        </is>
      </c>
    </row>
    <row r="339">
      <c r="A339" s="0" t="inlineStr">
        <is>
          <t>Prem Mech</t>
        </is>
      </c>
    </row>
    <row r="340">
      <c r="A340" s="0" t="inlineStr">
        <is>
          <t>Merline Mary Urja</t>
        </is>
      </c>
    </row>
    <row r="341">
      <c r="A341" s="0" t="inlineStr">
        <is>
          <t>Uma Shankar Infy UCC</t>
        </is>
      </c>
    </row>
    <row r="342">
      <c r="A342" s="0" t="inlineStr">
        <is>
          <t>Pradhap Ndlf</t>
        </is>
      </c>
    </row>
    <row r="343">
      <c r="A343" s="0" t="inlineStr">
        <is>
          <t>Kuzhaly Ece</t>
        </is>
      </c>
    </row>
    <row r="344">
      <c r="A344" s="0" t="inlineStr">
        <is>
          <t>Agalya TCS Junior</t>
        </is>
      </c>
    </row>
    <row r="345">
      <c r="A345" s="0" t="inlineStr">
        <is>
          <t>Rathinavel Scl</t>
        </is>
      </c>
    </row>
    <row r="346">
      <c r="A346" s="0" t="inlineStr">
        <is>
          <t>Mahesshwaran FB</t>
        </is>
      </c>
    </row>
    <row r="347">
      <c r="A347" s="0" t="inlineStr">
        <is>
          <t>Prakash FB</t>
        </is>
      </c>
    </row>
    <row r="348">
      <c r="A348" s="0" t="inlineStr">
        <is>
          <t>Kannan-Tcs Scl</t>
        </is>
      </c>
    </row>
    <row r="349">
      <c r="A349" s="0" t="inlineStr">
        <is>
          <t>Rajthalik Marriappan FB</t>
        </is>
      </c>
    </row>
    <row r="350">
      <c r="A350" s="0" t="inlineStr">
        <is>
          <t>Lokesh Agrawal</t>
        </is>
      </c>
    </row>
    <row r="351">
      <c r="A351" s="0" t="inlineStr">
        <is>
          <t>Prabakaran R FB</t>
        </is>
      </c>
    </row>
    <row r="352">
      <c r="A352" s="0" t="inlineStr">
        <is>
          <t>Vinoth Kumar Selvam Fb</t>
        </is>
      </c>
    </row>
    <row r="353">
      <c r="A353" s="0" t="inlineStr">
        <is>
          <t>Mohanalakshmi Urja</t>
        </is>
      </c>
    </row>
    <row r="354">
      <c r="A354" s="0" t="inlineStr">
        <is>
          <t>Subbu Sales</t>
        </is>
      </c>
    </row>
    <row r="355">
      <c r="A355" s="0" t="inlineStr">
        <is>
          <t>Bala - Prd Supp Verz</t>
        </is>
      </c>
    </row>
    <row r="356">
      <c r="A356" s="0" t="inlineStr">
        <is>
          <t>Mohan Mohan FB</t>
        </is>
      </c>
    </row>
    <row r="357">
      <c r="A357" s="0" t="inlineStr">
        <is>
          <t>Satheesh Kumar FB</t>
        </is>
      </c>
    </row>
    <row r="358">
      <c r="A358" s="0" t="inlineStr">
        <is>
          <t>Punnaivanam Verz</t>
        </is>
      </c>
    </row>
    <row r="359">
      <c r="A359" s="0" t="inlineStr">
        <is>
          <t>Sathish bro Verz</t>
        </is>
      </c>
    </row>
    <row r="360">
      <c r="A360" s="0" t="inlineStr">
        <is>
          <t>Vel Raj Grp</t>
        </is>
      </c>
    </row>
    <row r="361">
      <c r="A361" s="0" t="inlineStr">
        <is>
          <t>Arun Dataops Urja</t>
        </is>
      </c>
    </row>
    <row r="362">
      <c r="A362" s="0" t="inlineStr">
        <is>
          <t>Anu Kumar Grp Ucen</t>
        </is>
      </c>
    </row>
    <row r="363">
      <c r="A363" s="0" t="inlineStr">
        <is>
          <t>Satheesh Sank FB</t>
        </is>
      </c>
    </row>
    <row r="364">
      <c r="A364" s="0" t="inlineStr">
        <is>
          <t>Selva Raj Junior Grp</t>
        </is>
      </c>
    </row>
    <row r="365">
      <c r="A365" s="0" t="inlineStr">
        <is>
          <t>Gopala Krishnan Laptop Service</t>
        </is>
      </c>
    </row>
    <row r="366">
      <c r="A366" s="0" t="inlineStr">
        <is>
          <t>John Scl</t>
        </is>
      </c>
    </row>
    <row r="367">
      <c r="A367" s="0" t="inlineStr">
        <is>
          <t>Sundar Jeya FB</t>
        </is>
      </c>
    </row>
    <row r="368">
      <c r="A368" s="0" t="inlineStr">
        <is>
          <t>Ag Karthi Vel-frd</t>
        </is>
      </c>
    </row>
    <row r="369">
      <c r="A369" s="0" t="inlineStr">
        <is>
          <t>Karthi Rpk Scl</t>
        </is>
      </c>
    </row>
    <row r="370">
      <c r="A370" s="0" t="inlineStr">
        <is>
          <t>Mahendran Urja</t>
        </is>
      </c>
    </row>
    <row r="371">
      <c r="A371" s="0" t="inlineStr">
        <is>
          <t>Vinoth G Mech</t>
        </is>
      </c>
    </row>
    <row r="372">
      <c r="A372" s="0" t="inlineStr">
        <is>
          <t>Riyaz Grp</t>
        </is>
      </c>
    </row>
    <row r="373">
      <c r="A373" s="0" t="inlineStr">
        <is>
          <t>Ranjith Mass FB</t>
        </is>
      </c>
    </row>
    <row r="374">
      <c r="A374" s="0" t="inlineStr">
        <is>
          <t>Sivan FB</t>
        </is>
      </c>
    </row>
    <row r="375">
      <c r="A375" s="0" t="inlineStr">
        <is>
          <t>Krish Kannan FB</t>
        </is>
      </c>
    </row>
    <row r="376">
      <c r="A376" s="0" t="inlineStr">
        <is>
          <t>Arulanatham-Hit Urja</t>
        </is>
      </c>
    </row>
    <row r="377">
      <c r="A377" s="0" t="inlineStr">
        <is>
          <t>Narendar Sharma Urja</t>
        </is>
      </c>
    </row>
    <row r="378">
      <c r="A378" s="0" t="inlineStr">
        <is>
          <t>Ram IpickService</t>
        </is>
      </c>
    </row>
    <row r="379">
      <c r="A379" s="0" t="inlineStr">
        <is>
          <t>SivaRanjini Hdfc life</t>
        </is>
      </c>
    </row>
    <row r="380">
      <c r="A380" s="0" t="inlineStr">
        <is>
          <t>Naveen Kumar S Temple</t>
        </is>
      </c>
    </row>
    <row r="381">
      <c r="A381" s="0" t="inlineStr">
        <is>
          <t>Deepak Naren QS</t>
        </is>
      </c>
    </row>
    <row r="382">
      <c r="A382" s="0" t="inlineStr">
        <is>
          <t>Junaith Mohammad</t>
        </is>
      </c>
    </row>
    <row r="383">
      <c r="A383" s="0" t="inlineStr">
        <is>
          <t>Azhar Mohamad</t>
        </is>
      </c>
    </row>
    <row r="384">
      <c r="A384" s="0" t="inlineStr">
        <is>
          <t>Parani Dharan Grp Ucen</t>
        </is>
      </c>
    </row>
    <row r="385">
      <c r="A385" s="0" t="inlineStr">
        <is>
          <t>Aravind Sha FB</t>
        </is>
      </c>
    </row>
    <row r="386">
      <c r="A386" s="0" t="inlineStr">
        <is>
          <t>Hussin Cab pak Dubai</t>
        </is>
      </c>
    </row>
    <row r="387">
      <c r="A387" s="0" t="inlineStr">
        <is>
          <t>Sameer Rio Ucen Grp</t>
        </is>
      </c>
    </row>
    <row r="388">
      <c r="A388" s="0" t="inlineStr">
        <is>
          <t>Mariappan Sank scl</t>
        </is>
      </c>
    </row>
    <row r="389">
      <c r="A389" s="0" t="inlineStr">
        <is>
          <t>Subramaniyan Finance Service</t>
        </is>
      </c>
    </row>
    <row r="390">
      <c r="A390" s="0" t="inlineStr">
        <is>
          <t>Aravind Junior Grp</t>
        </is>
      </c>
    </row>
    <row r="391">
      <c r="A391" s="0" t="inlineStr">
        <is>
          <t>Ajit Sandhavan(Pradeep) Urja</t>
        </is>
      </c>
    </row>
    <row r="392">
      <c r="A392" s="0" t="inlineStr">
        <is>
          <t>Sameer Ahamad FB</t>
        </is>
      </c>
    </row>
    <row r="393">
      <c r="A393" s="0" t="inlineStr">
        <is>
          <t>Musthak Rahaman HCL</t>
        </is>
      </c>
    </row>
    <row r="394">
      <c r="A394" s="0" t="inlineStr">
        <is>
          <t>Mukesh Kumar QS</t>
        </is>
      </c>
    </row>
    <row r="395">
      <c r="A395" s="0" t="inlineStr">
        <is>
          <t>Karthik Junior FB</t>
        </is>
      </c>
    </row>
    <row r="396">
      <c r="A396" s="0" t="inlineStr">
        <is>
          <t>Mithun Urja</t>
        </is>
      </c>
    </row>
    <row r="397">
      <c r="A397" s="0" t="inlineStr">
        <is>
          <t>Pavi Bhupathy Urja</t>
        </is>
      </c>
    </row>
    <row r="398">
      <c r="A398" s="0" t="inlineStr">
        <is>
          <t>Mohamad House Rent</t>
        </is>
      </c>
    </row>
    <row r="399">
      <c r="A399" s="0" t="inlineStr">
        <is>
          <t>Porselvan doco</t>
        </is>
      </c>
    </row>
    <row r="400">
      <c r="A400" s="0" t="inlineStr">
        <is>
          <t>Kanishk Singh HCL</t>
        </is>
      </c>
    </row>
    <row r="401">
      <c r="A401" s="0" t="inlineStr">
        <is>
          <t>Dhinakaran Ele Medipakkam</t>
        </is>
      </c>
    </row>
    <row r="402">
      <c r="A402" s="0" t="inlineStr">
        <is>
          <t>Sugantha Kumar Scl</t>
        </is>
      </c>
    </row>
    <row r="403">
      <c r="A403" s="0" t="inlineStr">
        <is>
          <t>Stephen Icici Acc-opp</t>
        </is>
      </c>
    </row>
    <row r="404">
      <c r="A404" s="0" t="inlineStr">
        <is>
          <t>Vinoth Bro Gym</t>
        </is>
      </c>
    </row>
    <row r="405">
      <c r="A405" s="0" t="inlineStr">
        <is>
          <t>Abdur Rasad Urja</t>
        </is>
      </c>
    </row>
    <row r="406">
      <c r="A406" s="0" t="inlineStr">
        <is>
          <t>Venkatesh M HCL</t>
        </is>
      </c>
    </row>
    <row r="407">
      <c r="A407" s="0" t="inlineStr">
        <is>
          <t>Bala Gym Junior</t>
        </is>
      </c>
    </row>
    <row r="408">
      <c r="A408" s="0" t="inlineStr">
        <is>
          <t>Arun Bro Qs</t>
        </is>
      </c>
    </row>
    <row r="409">
      <c r="A409" s="0" t="inlineStr">
        <is>
          <t>Uday Kumar Urja</t>
        </is>
      </c>
    </row>
    <row r="410">
      <c r="A410" s="0" t="inlineStr">
        <is>
          <t>Nagenthran-Nattamai Scl</t>
        </is>
      </c>
    </row>
    <row r="411">
      <c r="A411" s="0" t="inlineStr">
        <is>
          <t>Saravanan NearbyHome</t>
        </is>
      </c>
    </row>
    <row r="412">
      <c r="A412" s="0" t="inlineStr">
        <is>
          <t>Aravindhan HCL</t>
        </is>
      </c>
    </row>
    <row r="413">
      <c r="A413" s="0" t="inlineStr">
        <is>
          <t>Thillairajan FB</t>
        </is>
      </c>
    </row>
    <row r="414">
      <c r="A414" s="0" t="inlineStr">
        <is>
          <t>Raja Durai Grp Ucen</t>
        </is>
      </c>
    </row>
    <row r="415">
      <c r="A415" s="0" t="inlineStr">
        <is>
          <t>Bhuvaneshwari Urja</t>
        </is>
      </c>
    </row>
    <row r="416">
      <c r="A416" s="0" t="inlineStr">
        <is>
          <t>Manikandan Jeyam FB</t>
        </is>
      </c>
    </row>
    <row r="417">
      <c r="A417" s="0" t="inlineStr">
        <is>
          <t>Praveen Junior Fb</t>
        </is>
      </c>
    </row>
    <row r="418">
      <c r="A418" s="0" t="inlineStr">
        <is>
          <t>Vinoth DA Urja</t>
        </is>
      </c>
    </row>
    <row r="419">
      <c r="A419" s="0" t="inlineStr">
        <is>
          <t>Sathiesh Casagrand</t>
        </is>
      </c>
    </row>
    <row r="420">
      <c r="A420" s="0" t="inlineStr">
        <is>
          <t>Karjala Mohitha HCL</t>
        </is>
      </c>
    </row>
    <row r="421">
      <c r="A421" s="0" t="inlineStr">
        <is>
          <t>Eswarsaks Grp Ucen</t>
        </is>
      </c>
    </row>
    <row r="422">
      <c r="A422" s="0" t="inlineStr">
        <is>
          <t>Balaji Honda Service</t>
        </is>
      </c>
    </row>
    <row r="423">
      <c r="A423" s="0" t="inlineStr">
        <is>
          <t>Vimal Xavier FB</t>
        </is>
      </c>
    </row>
    <row r="424">
      <c r="A424" s="0" t="inlineStr">
        <is>
          <t>HDFC Whatsappbanking</t>
        </is>
      </c>
    </row>
    <row r="425">
      <c r="A425" s="0" t="inlineStr">
        <is>
          <t>Natraj Ucen Grp</t>
        </is>
      </c>
    </row>
    <row r="426">
      <c r="A426" s="0" t="inlineStr">
        <is>
          <t>Anusuya C ECE</t>
        </is>
      </c>
    </row>
    <row r="427">
      <c r="A427" s="0" t="inlineStr">
        <is>
          <t>Pallantla Chetena Infy</t>
        </is>
      </c>
    </row>
    <row r="428">
      <c r="A428" s="0" t="inlineStr">
        <is>
          <t>Senthil Jun FB</t>
        </is>
      </c>
    </row>
    <row r="429">
      <c r="A429" s="0" t="inlineStr">
        <is>
          <t>Selva kumar Infosys</t>
        </is>
      </c>
    </row>
    <row r="430">
      <c r="A430" s="0" t="inlineStr">
        <is>
          <t>Mano Priya Grp Ucen</t>
        </is>
      </c>
    </row>
    <row r="431">
      <c r="A431" s="0" t="inlineStr">
        <is>
          <t>Jeyanthi Jey Junior Grp</t>
        </is>
      </c>
    </row>
    <row r="432">
      <c r="A432" s="0" t="inlineStr">
        <is>
          <t>Alponse Albert FB</t>
        </is>
      </c>
    </row>
    <row r="433">
      <c r="A433" s="0" t="inlineStr">
        <is>
          <t>Arul Antony Urja</t>
        </is>
      </c>
    </row>
    <row r="434">
      <c r="A434" s="0" t="inlineStr">
        <is>
          <t>Selvam Urja</t>
        </is>
      </c>
    </row>
    <row r="435">
      <c r="A435" s="0" t="inlineStr">
        <is>
          <t>Sharath Kumar Urja</t>
        </is>
      </c>
    </row>
    <row r="436">
      <c r="A436" s="0" t="inlineStr">
        <is>
          <t>Ajiyad Aerhub</t>
        </is>
      </c>
    </row>
    <row r="437">
      <c r="A437" s="0" t="inlineStr">
        <is>
          <t>Lakshmanan Grp Ucen</t>
        </is>
      </c>
    </row>
    <row r="438">
      <c r="A438" s="0" t="inlineStr">
        <is>
          <t>Harish FB Qs</t>
        </is>
      </c>
    </row>
    <row r="439">
      <c r="A439" s="0" t="inlineStr">
        <is>
          <t>Aishwarya Srinivasan Urja</t>
        </is>
      </c>
    </row>
    <row r="440">
      <c r="A440" s="0" t="inlineStr">
        <is>
          <t>Srinivasan own</t>
        </is>
      </c>
    </row>
    <row r="441">
      <c r="A441" s="0" t="inlineStr">
        <is>
          <t>Goli Karthik Infy</t>
        </is>
      </c>
    </row>
    <row r="442">
      <c r="A442" s="0" t="inlineStr">
        <is>
          <t>Hari Qa Urja</t>
        </is>
      </c>
    </row>
    <row r="443">
      <c r="A443" s="0" t="inlineStr">
        <is>
          <t>Mari Indigo FB</t>
        </is>
      </c>
    </row>
    <row r="444">
      <c r="A444" s="0" t="inlineStr">
        <is>
          <t>Ramesh Civil</t>
        </is>
      </c>
    </row>
    <row r="445">
      <c r="A445" s="0" t="inlineStr">
        <is>
          <t>Akkamadevi Srikrishna Frd</t>
        </is>
      </c>
    </row>
    <row r="446">
      <c r="A446" s="0" t="inlineStr">
        <is>
          <t>Arun_Java qs</t>
        </is>
      </c>
    </row>
    <row r="447">
      <c r="A447" s="0" t="inlineStr">
        <is>
          <t>Chandni Verz</t>
        </is>
      </c>
    </row>
    <row r="448">
      <c r="A448" s="0" t="inlineStr">
        <is>
          <t>Perumal B Grp Ucen</t>
        </is>
      </c>
    </row>
    <row r="449">
      <c r="A449" s="0" t="inlineStr">
        <is>
          <t>VaishKabi Hyderabad</t>
        </is>
      </c>
    </row>
    <row r="450">
      <c r="A450" s="0" t="inlineStr">
        <is>
          <t>Suthakar Sps Grp Ucen</t>
        </is>
      </c>
    </row>
    <row r="451">
      <c r="A451" s="0" t="inlineStr">
        <is>
          <t>Raja Manikam 1 Fb</t>
        </is>
      </c>
    </row>
    <row r="452">
      <c r="A452" s="0" t="inlineStr">
        <is>
          <t>Born Suresh</t>
        </is>
      </c>
    </row>
    <row r="453">
      <c r="A453" s="0" t="inlineStr">
        <is>
          <t>Amit Dubey HCL</t>
        </is>
      </c>
    </row>
    <row r="454">
      <c r="A454" s="0" t="inlineStr">
        <is>
          <t>Clinton Junior New FB</t>
        </is>
      </c>
    </row>
    <row r="455">
      <c r="A455" s="0" t="inlineStr">
        <is>
          <t>Hariz N FB</t>
        </is>
      </c>
    </row>
    <row r="456">
      <c r="A456" s="0" t="inlineStr">
        <is>
          <t>Ramesh Ponraj FB</t>
        </is>
      </c>
    </row>
    <row r="457">
      <c r="A457" s="0" t="inlineStr">
        <is>
          <t>Adharsh M Grp Ucen</t>
        </is>
      </c>
    </row>
    <row r="458">
      <c r="A458" s="0" t="inlineStr">
        <is>
          <t>Hathway Customer Care</t>
        </is>
      </c>
    </row>
    <row r="459">
      <c r="A459" s="0" t="inlineStr">
        <is>
          <t>Rejwin Grp UCEN</t>
        </is>
      </c>
    </row>
    <row r="460">
      <c r="A460" s="0" t="inlineStr">
        <is>
          <t>Ashok Vankayalapati FB</t>
        </is>
      </c>
    </row>
    <row r="461">
      <c r="A461" s="0" t="inlineStr">
        <is>
          <t>Ram Kumar FB</t>
        </is>
      </c>
    </row>
    <row r="462">
      <c r="A462" s="0" t="inlineStr">
        <is>
          <t>Pazhani Murugan Scl</t>
        </is>
      </c>
    </row>
    <row r="463">
      <c r="A463" s="0" t="inlineStr">
        <is>
          <t>Selva Kumar Scl Selvaa FB</t>
        </is>
      </c>
    </row>
    <row r="464">
      <c r="A464" s="0" t="inlineStr">
        <is>
          <t>Bharath FB</t>
        </is>
      </c>
    </row>
    <row r="465">
      <c r="A465" s="0" t="inlineStr">
        <is>
          <t>Sony Mobile Support</t>
        </is>
      </c>
    </row>
    <row r="466">
      <c r="A466" s="0" t="inlineStr">
        <is>
          <t>Abraham Gym Trainer</t>
        </is>
      </c>
    </row>
    <row r="467">
      <c r="A467" s="0" t="inlineStr">
        <is>
          <t>Tamilanber Digital Tech</t>
        </is>
      </c>
    </row>
    <row r="468">
      <c r="A468" s="0" t="inlineStr">
        <is>
          <t>Arumugam Samy Grp Ucen</t>
        </is>
      </c>
    </row>
    <row r="469">
      <c r="A469" s="0" t="inlineStr">
        <is>
          <t>Sankar Smart FB</t>
        </is>
      </c>
    </row>
    <row r="470">
      <c r="A470" s="0" t="inlineStr">
        <is>
          <t>Suresh Subbarayalu VDSI</t>
        </is>
      </c>
    </row>
    <row r="471">
      <c r="A471" s="0" t="inlineStr">
        <is>
          <t>Siva Ragul Urja</t>
        </is>
      </c>
    </row>
    <row r="472">
      <c r="A472" s="0" t="inlineStr">
        <is>
          <t>Murali Ganesh Infy</t>
        </is>
      </c>
    </row>
    <row r="473">
      <c r="A473" s="0" t="inlineStr">
        <is>
          <t>AshwathRaj</t>
        </is>
      </c>
    </row>
    <row r="474">
      <c r="A474" s="0" t="inlineStr">
        <is>
          <t>Rajarajan Verz</t>
        </is>
      </c>
    </row>
    <row r="475">
      <c r="A475" s="0" t="inlineStr">
        <is>
          <t>Vishu Makesh Mech</t>
        </is>
      </c>
    </row>
    <row r="476">
      <c r="A476" s="0" t="inlineStr">
        <is>
          <t>Suseetharan Insta</t>
        </is>
      </c>
    </row>
    <row r="477">
      <c r="A477" s="0" t="inlineStr">
        <is>
          <t>farooqahamed Honda</t>
        </is>
      </c>
    </row>
    <row r="478">
      <c r="A478" s="0" t="inlineStr">
        <is>
          <t>RathiMeena FB</t>
        </is>
      </c>
    </row>
    <row r="479">
      <c r="A479" s="0" t="inlineStr">
        <is>
          <t>ACT Engineer</t>
        </is>
      </c>
    </row>
    <row r="480">
      <c r="A480" s="0" t="inlineStr">
        <is>
          <t>Suganya Prabakaran D4V</t>
        </is>
      </c>
    </row>
    <row r="481">
      <c r="A481" s="0" t="inlineStr">
        <is>
          <t>Ajith Rajendran Grp Ucen</t>
        </is>
      </c>
    </row>
    <row r="482">
      <c r="A482" s="0" t="inlineStr">
        <is>
          <t>Krish Urja</t>
        </is>
      </c>
    </row>
    <row r="483">
      <c r="A483" s="0" t="inlineStr">
        <is>
          <t>Sarathi Heat FB</t>
        </is>
      </c>
    </row>
    <row r="484">
      <c r="A484" s="0" t="inlineStr">
        <is>
          <t>VenkatRamanan Urja</t>
        </is>
      </c>
    </row>
    <row r="485">
      <c r="A485" s="0" t="inlineStr">
        <is>
          <t>Santhosh Qa Urja</t>
        </is>
      </c>
    </row>
    <row r="486">
      <c r="A486" s="0" t="inlineStr">
        <is>
          <t>Vignesh NJ FB</t>
        </is>
      </c>
    </row>
    <row r="487">
      <c r="A487" s="0" t="inlineStr">
        <is>
          <t>Simson FB</t>
        </is>
      </c>
    </row>
    <row r="488">
      <c r="A488" s="0" t="inlineStr">
        <is>
          <t>John Joachim FB</t>
        </is>
      </c>
    </row>
    <row r="489">
      <c r="A489" s="0" t="inlineStr">
        <is>
          <t>Senthil Murugan FB</t>
        </is>
      </c>
    </row>
    <row r="490">
      <c r="A490" s="0" t="inlineStr">
        <is>
          <t>SivaRam FB</t>
        </is>
      </c>
    </row>
    <row r="491">
      <c r="A491" s="0" t="inlineStr">
        <is>
          <t>Jebeesha Kumar Grp UCEN</t>
        </is>
      </c>
    </row>
    <row r="492">
      <c r="A492" s="0" t="inlineStr">
        <is>
          <t>Abhishek Chaudhary</t>
        </is>
      </c>
    </row>
    <row r="493">
      <c r="A493" s="0" t="inlineStr">
        <is>
          <t>Susun Grp Junior</t>
        </is>
      </c>
    </row>
    <row r="494">
      <c r="A494" s="0" t="inlineStr">
        <is>
          <t>Srini HCL RM</t>
        </is>
      </c>
    </row>
    <row r="495">
      <c r="A495" s="0" t="inlineStr">
        <is>
          <t>Suganya Ganapathy ECE</t>
        </is>
      </c>
    </row>
    <row r="496">
      <c r="A496" s="0" t="inlineStr">
        <is>
          <t>Thirumagal Urja</t>
        </is>
      </c>
    </row>
    <row r="497">
      <c r="A497" s="0" t="inlineStr">
        <is>
          <t>Sai Rarasimha Urja</t>
        </is>
      </c>
    </row>
    <row r="498">
      <c r="A498" s="0" t="inlineStr">
        <is>
          <t>Prakash Owner</t>
        </is>
      </c>
    </row>
    <row r="499">
      <c r="A499" s="0" t="inlineStr">
        <is>
          <t>Major Sundar Raj</t>
        </is>
      </c>
    </row>
    <row r="500">
      <c r="A500" s="0" t="inlineStr">
        <is>
          <t>ABISHEK SRIDHARAN</t>
        </is>
      </c>
    </row>
    <row r="501">
      <c r="A501" s="0" t="inlineStr">
        <is>
          <t>Ashwin Ques</t>
        </is>
      </c>
    </row>
    <row r="502">
      <c r="A502" s="0" t="inlineStr">
        <is>
          <t>Siva Shankar Urja</t>
        </is>
      </c>
    </row>
    <row r="503">
      <c r="A503" s="0" t="inlineStr">
        <is>
          <t>Tharik Urja</t>
        </is>
      </c>
    </row>
    <row r="504">
      <c r="A504" s="0" t="inlineStr">
        <is>
          <t>Prakash Boss FB</t>
        </is>
      </c>
    </row>
    <row r="505">
      <c r="A505" s="0" t="inlineStr">
        <is>
          <t>Adithya Pk Junior</t>
        </is>
      </c>
    </row>
    <row r="506">
      <c r="A506" s="0" t="inlineStr">
        <is>
          <t>Pallavi Kataria</t>
        </is>
      </c>
    </row>
    <row r="507">
      <c r="A507" s="0" t="inlineStr">
        <is>
          <t>MariKani Scl</t>
        </is>
      </c>
    </row>
    <row r="508">
      <c r="A508" s="0" t="inlineStr">
        <is>
          <t>NanthaKumar yo</t>
        </is>
      </c>
    </row>
    <row r="509">
      <c r="A509" s="0" t="inlineStr">
        <is>
          <t>Sakthivel Junior Grp</t>
        </is>
      </c>
    </row>
    <row r="510">
      <c r="A510" s="0" t="inlineStr">
        <is>
          <t>Vasu Devan Scl</t>
        </is>
      </c>
    </row>
    <row r="511">
      <c r="A511" s="0" t="inlineStr">
        <is>
          <t>Athiban FB</t>
        </is>
      </c>
    </row>
    <row r="512">
      <c r="A512" s="0" t="inlineStr">
        <is>
          <t>Ramkumar Raja IT Forum</t>
        </is>
      </c>
    </row>
    <row r="513">
      <c r="A513" s="0" t="inlineStr">
        <is>
          <t>Karthick RPK Scl</t>
        </is>
      </c>
    </row>
    <row r="514">
      <c r="A514" s="0" t="inlineStr">
        <is>
          <t>Chelladurai Muthupandi FB</t>
        </is>
      </c>
    </row>
    <row r="515">
      <c r="A515" s="0" t="inlineStr">
        <is>
          <t>Arun Behindhoods</t>
        </is>
      </c>
    </row>
    <row r="516">
      <c r="A516" s="0" t="inlineStr">
        <is>
          <t>Bheema Kavi FB</t>
        </is>
      </c>
    </row>
    <row r="517">
      <c r="A517" s="0" t="inlineStr">
        <is>
          <t>Surrendar Ucen Grp</t>
        </is>
      </c>
    </row>
    <row r="518">
      <c r="A518" s="0" t="inlineStr">
        <is>
          <t>Lal Lal Scl</t>
        </is>
      </c>
    </row>
    <row r="519">
      <c r="A519" s="0" t="inlineStr">
        <is>
          <t>Fyzel Cab</t>
        </is>
      </c>
    </row>
    <row r="520">
      <c r="A520" s="0" t="inlineStr">
        <is>
          <t>Kanagaraj Junior FB</t>
        </is>
      </c>
    </row>
    <row r="521">
      <c r="A521" s="0" t="inlineStr">
        <is>
          <t>Manikandan Dissay Scl</t>
        </is>
      </c>
    </row>
    <row r="522">
      <c r="A522" s="0" t="inlineStr">
        <is>
          <t>GrossRoot Volunteer</t>
        </is>
      </c>
    </row>
    <row r="523">
      <c r="A523" s="0" t="inlineStr">
        <is>
          <t>Subash Grp Ucen</t>
        </is>
      </c>
    </row>
    <row r="524">
      <c r="A524" s="0" t="inlineStr">
        <is>
          <t>Murugan Kundrathur</t>
        </is>
      </c>
    </row>
    <row r="525">
      <c r="A525" s="0" t="inlineStr">
        <is>
          <t>Gunalan IT</t>
        </is>
      </c>
    </row>
    <row r="526">
      <c r="A526" s="0" t="inlineStr">
        <is>
          <t>Iyyappan G Ucen Grp</t>
        </is>
      </c>
    </row>
    <row r="527">
      <c r="A527" s="0" t="inlineStr">
        <is>
          <t>Revanth FB</t>
        </is>
      </c>
    </row>
    <row r="528">
      <c r="A528" s="0" t="inlineStr">
        <is>
          <t>Pj Ben Telegram</t>
        </is>
      </c>
    </row>
    <row r="529">
      <c r="A529" s="0" t="inlineStr">
        <is>
          <t>Maitri Nikshita</t>
        </is>
      </c>
    </row>
    <row r="530">
      <c r="A530" s="0" t="inlineStr">
        <is>
          <t>Chintaman Kalyan Kumar HCL</t>
        </is>
      </c>
    </row>
    <row r="531">
      <c r="A531" s="0" t="inlineStr">
        <is>
          <t>Chan Chandru FB</t>
        </is>
      </c>
    </row>
    <row r="532">
      <c r="A532" s="0" t="inlineStr">
        <is>
          <t>Krithiga Sankar Verz</t>
        </is>
      </c>
    </row>
    <row r="533">
      <c r="A533" s="0" t="inlineStr">
        <is>
          <t>Sai Krishna Urja</t>
        </is>
      </c>
    </row>
    <row r="534">
      <c r="A534" s="0" t="inlineStr">
        <is>
          <t>Rathish Nav Urja</t>
        </is>
      </c>
    </row>
    <row r="535">
      <c r="A535" s="0" t="inlineStr">
        <is>
          <t>Samsul</t>
        </is>
      </c>
    </row>
    <row r="536">
      <c r="A536" s="0" t="inlineStr">
        <is>
          <t>Meltan Civil</t>
        </is>
      </c>
    </row>
    <row r="537">
      <c r="A537" s="0" t="inlineStr">
        <is>
          <t>Mohamad Sheelem Mech</t>
        </is>
      </c>
    </row>
    <row r="538">
      <c r="A538" s="0" t="inlineStr">
        <is>
          <t>Ebanezer J Ebe FB</t>
        </is>
      </c>
    </row>
    <row r="539">
      <c r="A539" s="0" t="inlineStr">
        <is>
          <t>Imran Khan FB</t>
        </is>
      </c>
    </row>
    <row r="540">
      <c r="A540" s="0" t="inlineStr">
        <is>
          <t>Harsha Urja</t>
        </is>
      </c>
    </row>
    <row r="541">
      <c r="A541" s="0" t="inlineStr">
        <is>
          <t>KaniRaj Scl</t>
        </is>
      </c>
    </row>
    <row r="542">
      <c r="A542" s="0" t="inlineStr">
        <is>
          <t>Suryaraja Ford</t>
        </is>
      </c>
    </row>
    <row r="543">
      <c r="A543" s="0" t="inlineStr">
        <is>
          <t>Fazil Sharks FB</t>
        </is>
      </c>
    </row>
    <row r="544">
      <c r="A544" s="0" t="inlineStr">
        <is>
          <t>Soundar Rajan Fb</t>
        </is>
      </c>
    </row>
    <row r="545">
      <c r="A545" s="0" t="inlineStr">
        <is>
          <t>RAMG Ucen</t>
        </is>
      </c>
    </row>
    <row r="546">
      <c r="A546" s="0" t="inlineStr">
        <is>
          <t>Yogi(s</t>
        </is>
      </c>
    </row>
    <row r="547">
      <c r="A547" s="0" t="inlineStr">
        <is>
          <t>Sanjay HDFC</t>
        </is>
      </c>
    </row>
    <row r="548">
      <c r="A548" s="0" t="inlineStr">
        <is>
          <t>Balu Water</t>
        </is>
      </c>
    </row>
    <row r="549">
      <c r="A549" s="0" t="inlineStr">
        <is>
          <t>Hari Veni FB</t>
        </is>
      </c>
    </row>
    <row r="550">
      <c r="A550" s="0" t="inlineStr">
        <is>
          <t>Thesingh Raja FB</t>
        </is>
      </c>
    </row>
    <row r="551">
      <c r="A551" s="0" t="inlineStr">
        <is>
          <t>Mahesh R Home</t>
        </is>
      </c>
    </row>
    <row r="552">
      <c r="A552" s="0" t="inlineStr">
        <is>
          <t>Masthan Reddy HCL</t>
        </is>
      </c>
    </row>
    <row r="553">
      <c r="A553" s="0" t="inlineStr">
        <is>
          <t>Ilavarasi Suganya ECE</t>
        </is>
      </c>
    </row>
    <row r="554">
      <c r="A554" s="0" t="inlineStr">
        <is>
          <t>Sudeshna Infosys</t>
        </is>
      </c>
    </row>
    <row r="555">
      <c r="A555" s="0" t="inlineStr">
        <is>
          <t>Janardhan Gopal FB</t>
        </is>
      </c>
    </row>
    <row r="556">
      <c r="A556" s="0" t="inlineStr">
        <is>
          <t>Prem D4V</t>
        </is>
      </c>
    </row>
    <row r="557">
      <c r="A557" s="0" t="inlineStr">
        <is>
          <t>Indira_Kumar Mech</t>
        </is>
      </c>
    </row>
    <row r="558">
      <c r="A558" s="0" t="inlineStr">
        <is>
          <t>Ganesan Ganesen FB</t>
        </is>
      </c>
    </row>
    <row r="559">
      <c r="A559" s="0" t="inlineStr">
        <is>
          <t>Vimal Antony FB</t>
        </is>
      </c>
    </row>
    <row r="560">
      <c r="A560" s="0" t="inlineStr">
        <is>
          <t>Rohith Urja</t>
        </is>
      </c>
    </row>
    <row r="561">
      <c r="A561" s="0" t="inlineStr">
        <is>
          <t>Kanaga Selvan FB</t>
        </is>
      </c>
    </row>
    <row r="562">
      <c r="A562" s="0" t="inlineStr">
        <is>
          <t>Santhosh Master Kalari</t>
        </is>
      </c>
    </row>
    <row r="563">
      <c r="A563" s="0" t="inlineStr">
        <is>
          <t>Abnish Qs</t>
        </is>
      </c>
    </row>
    <row r="564">
      <c r="A564" s="0" t="inlineStr">
        <is>
          <t>Bhavya Geda HCL</t>
        </is>
      </c>
    </row>
    <row r="565">
      <c r="A565" s="0" t="inlineStr">
        <is>
          <t>Elango Elaa FB</t>
        </is>
      </c>
    </row>
    <row r="566">
      <c r="A566" s="0" t="inlineStr">
        <is>
          <t>Shaik Abdul Razak HCL</t>
        </is>
      </c>
    </row>
    <row r="567">
      <c r="A567" s="0" t="inlineStr">
        <is>
          <t>Suman muthu</t>
        </is>
      </c>
    </row>
    <row r="568">
      <c r="A568" s="0" t="inlineStr">
        <is>
          <t>Srihari Verz</t>
        </is>
      </c>
    </row>
    <row r="569">
      <c r="A569" s="0" t="inlineStr">
        <is>
          <t>Pattamuthu kasi Grp</t>
        </is>
      </c>
    </row>
    <row r="570">
      <c r="A570" s="0" t="inlineStr">
        <is>
          <t>Blessen Grp Ucen</t>
        </is>
      </c>
    </row>
    <row r="571">
      <c r="A571" s="0" t="inlineStr">
        <is>
          <t>Bairavan Moorthi FB</t>
        </is>
      </c>
    </row>
    <row r="572">
      <c r="A572" s="0" t="inlineStr">
        <is>
          <t>Raja Raja FB</t>
        </is>
      </c>
    </row>
    <row r="573">
      <c r="A573" s="0" t="inlineStr">
        <is>
          <t>Ashok Sakthi FB</t>
        </is>
      </c>
    </row>
    <row r="574">
      <c r="A574" s="0" t="inlineStr">
        <is>
          <t>Aathi Scl</t>
        </is>
      </c>
    </row>
    <row r="575">
      <c r="A575" s="0" t="inlineStr">
        <is>
          <t>Gandhi Grp Ucen</t>
        </is>
      </c>
    </row>
    <row r="576">
      <c r="A576" s="0" t="inlineStr">
        <is>
          <t>Ajay Bose Ucen</t>
        </is>
      </c>
    </row>
    <row r="577">
      <c r="A577" s="0" t="inlineStr">
        <is>
          <t>Naren Ravi FB</t>
        </is>
      </c>
    </row>
    <row r="578">
      <c r="A578" s="0" t="inlineStr">
        <is>
          <t>Muthukumar Seevanallur</t>
        </is>
      </c>
    </row>
    <row r="579">
      <c r="A579" s="0" t="inlineStr">
        <is>
          <t>Pondeepan ECE</t>
        </is>
      </c>
    </row>
    <row r="580">
      <c r="A580" s="0" t="inlineStr">
        <is>
          <t>Aravind Chinnaraju FB</t>
        </is>
      </c>
    </row>
    <row r="581">
      <c r="A581" s="0" t="inlineStr">
        <is>
          <t>Kamal Ndlf</t>
        </is>
      </c>
    </row>
    <row r="582">
      <c r="A582" s="0" t="inlineStr">
        <is>
          <t>Irfan Grp Ucen</t>
        </is>
      </c>
    </row>
    <row r="583">
      <c r="A583" s="0" t="inlineStr">
        <is>
          <t>Ganeshamoorthy ECE</t>
        </is>
      </c>
    </row>
    <row r="584">
      <c r="A584" s="0" t="inlineStr">
        <is>
          <t>Mohammad Aslam FB</t>
        </is>
      </c>
    </row>
    <row r="585">
      <c r="A585" s="0" t="inlineStr">
        <is>
          <t>Subash Arumugam Hdfc Life</t>
        </is>
      </c>
    </row>
    <row r="586">
      <c r="A586" s="0" t="inlineStr">
        <is>
          <t>Suthan Grp Ucen</t>
        </is>
      </c>
    </row>
    <row r="587">
      <c r="A587" s="0" t="inlineStr">
        <is>
          <t>N.Surendiran GP</t>
        </is>
      </c>
    </row>
    <row r="588">
      <c r="A588" s="0" t="inlineStr">
        <is>
          <t>2-step Verific</t>
        </is>
      </c>
    </row>
    <row r="589">
      <c r="A589" s="0" t="inlineStr">
        <is>
          <t>Chandrika urja</t>
        </is>
      </c>
    </row>
    <row r="590">
      <c r="A590" s="0" t="inlineStr">
        <is>
          <t>Selva Prabhagaran</t>
        </is>
      </c>
    </row>
    <row r="591">
      <c r="A591" s="0" t="inlineStr">
        <is>
          <t>Anbuarasan velu FB</t>
        </is>
      </c>
    </row>
    <row r="592">
      <c r="A592" s="0" t="inlineStr">
        <is>
          <t>CV JERIN Prof Ucen</t>
        </is>
      </c>
    </row>
    <row r="593">
      <c r="A593" s="0" t="inlineStr">
        <is>
          <t>Ajith Aji FB</t>
        </is>
      </c>
    </row>
    <row r="594">
      <c r="A594" s="0" t="inlineStr">
        <is>
          <t>Rathen Krishnan FB</t>
        </is>
      </c>
    </row>
    <row r="595">
      <c r="A595" s="0" t="inlineStr">
        <is>
          <t>Aishwarya Tools Urja</t>
        </is>
      </c>
    </row>
    <row r="596">
      <c r="A596" s="0" t="inlineStr">
        <is>
          <t>Arun Varun FB</t>
        </is>
      </c>
    </row>
    <row r="597">
      <c r="A597" s="0" t="inlineStr">
        <is>
          <t>Chandra Sekar Pujari Urja</t>
        </is>
      </c>
    </row>
    <row r="598">
      <c r="A598" s="0" t="inlineStr">
        <is>
          <t>Ram Kumar Scl FB</t>
        </is>
      </c>
    </row>
    <row r="599">
      <c r="A599" s="0" t="inlineStr">
        <is>
          <t>Vignesh Bhai</t>
        </is>
      </c>
    </row>
    <row r="600">
      <c r="A600" s="0" t="inlineStr">
        <is>
          <t>Ramesh Kadayam</t>
        </is>
      </c>
    </row>
    <row r="601">
      <c r="A601" s="0" t="inlineStr">
        <is>
          <t>Diwakar Urja</t>
        </is>
      </c>
    </row>
    <row r="602">
      <c r="A602" s="0" t="inlineStr">
        <is>
          <t>Bharathi Arjun Frd</t>
        </is>
      </c>
    </row>
    <row r="603">
      <c r="A603" s="0" t="inlineStr">
        <is>
          <t>Ram Ragul</t>
        </is>
      </c>
    </row>
    <row r="604">
      <c r="A604" s="0" t="inlineStr">
        <is>
          <t>Dison Dys FB</t>
        </is>
      </c>
    </row>
    <row r="605">
      <c r="A605" s="0" t="inlineStr">
        <is>
          <t>Kkanagaraj FB</t>
        </is>
      </c>
    </row>
    <row r="606">
      <c r="A606" s="0" t="inlineStr">
        <is>
          <t>Suganya Infy</t>
        </is>
      </c>
    </row>
    <row r="607">
      <c r="A607" s="0" t="inlineStr">
        <is>
          <t>Srivatsan QS</t>
        </is>
      </c>
    </row>
    <row r="608">
      <c r="A608" s="0" t="inlineStr">
        <is>
          <t>Aravinth Grp Ucen</t>
        </is>
      </c>
    </row>
    <row r="609">
      <c r="A609" s="0" t="inlineStr">
        <is>
          <t>Arzad Arza Grp Ucen</t>
        </is>
      </c>
    </row>
    <row r="610">
      <c r="A610" s="0" t="inlineStr">
        <is>
          <t>Haja Mohideen LI</t>
        </is>
      </c>
    </row>
    <row r="611">
      <c r="A611" s="0" t="inlineStr">
        <is>
          <t>John Shebin Grp</t>
        </is>
      </c>
    </row>
    <row r="612">
      <c r="A612" s="0" t="inlineStr">
        <is>
          <t>Mathan Raj Murugan FB</t>
        </is>
      </c>
    </row>
    <row r="613">
      <c r="A613" s="0" t="inlineStr">
        <is>
          <t>Sathan Grp Ucen</t>
        </is>
      </c>
    </row>
    <row r="614">
      <c r="A614" s="0" t="inlineStr">
        <is>
          <t>Rajamanikam FB</t>
        </is>
      </c>
    </row>
    <row r="615">
      <c r="A615" s="0" t="inlineStr">
        <is>
          <t>Arun Ravidran HCL</t>
        </is>
      </c>
    </row>
    <row r="616">
      <c r="A616" s="0" t="inlineStr">
        <is>
          <t>Tamil Iniyan ECE</t>
        </is>
      </c>
    </row>
    <row r="617">
      <c r="A617" s="0" t="inlineStr">
        <is>
          <t>Tcs HR</t>
        </is>
      </c>
    </row>
    <row r="618">
      <c r="A618" s="0" t="inlineStr">
        <is>
          <t>KaniMozhi Madam Akka</t>
        </is>
      </c>
    </row>
    <row r="619">
      <c r="A619" s="0" t="inlineStr">
        <is>
          <t>Meena DA Urja</t>
        </is>
      </c>
    </row>
    <row r="620">
      <c r="A620" s="0" t="inlineStr">
        <is>
          <t>Shiva Chithambaram FB</t>
        </is>
      </c>
    </row>
    <row r="621">
      <c r="A621" s="0" t="inlineStr">
        <is>
          <t>Haridoss Vijay Sarathy Frd</t>
        </is>
      </c>
    </row>
    <row r="622">
      <c r="A622" s="0" t="inlineStr">
        <is>
          <t>Chakravarthy Finance</t>
        </is>
      </c>
    </row>
    <row r="623">
      <c r="A623" s="0" t="inlineStr">
        <is>
          <t>Sakthi kumar Scl</t>
        </is>
      </c>
    </row>
    <row r="624">
      <c r="A624" s="0" t="inlineStr">
        <is>
          <t>Siva Ganesh FB</t>
        </is>
      </c>
    </row>
    <row r="625">
      <c r="A625" s="0" t="inlineStr">
        <is>
          <t>Dhanusha ECE</t>
        </is>
      </c>
    </row>
    <row r="626">
      <c r="A626" s="0" t="inlineStr">
        <is>
          <t>Victor Laptop HCL</t>
        </is>
      </c>
    </row>
    <row r="627">
      <c r="A627" s="0" t="inlineStr">
        <is>
          <t>Ramesh Junior Grp</t>
        </is>
      </c>
    </row>
    <row r="628">
      <c r="A628" s="0" t="inlineStr">
        <is>
          <t>Indira uma</t>
        </is>
      </c>
    </row>
    <row r="629">
      <c r="A629" s="0" t="inlineStr">
        <is>
          <t>Ashok Kumar LOA</t>
        </is>
      </c>
    </row>
    <row r="630">
      <c r="A630" s="0" t="inlineStr">
        <is>
          <t>Vasuky ECE</t>
        </is>
      </c>
    </row>
    <row r="631">
      <c r="A631" s="0" t="inlineStr">
        <is>
          <t>Iyyappan SCL</t>
        </is>
      </c>
    </row>
    <row r="632">
      <c r="A632" s="0" t="inlineStr">
        <is>
          <t>Arjun Mech FB</t>
        </is>
      </c>
    </row>
    <row r="633">
      <c r="A633" s="0" t="inlineStr">
        <is>
          <t>Siva Sn Malaysia FB</t>
        </is>
      </c>
    </row>
    <row r="634">
      <c r="A634" s="0" t="inlineStr">
        <is>
          <t>Anish K Insta</t>
        </is>
      </c>
    </row>
    <row r="635">
      <c r="A635" s="0" t="inlineStr">
        <is>
          <t>Moulisharan Harimohan Urja</t>
        </is>
      </c>
    </row>
    <row r="636">
      <c r="A636" s="0" t="inlineStr">
        <is>
          <t>Surrendra Urja</t>
        </is>
      </c>
    </row>
    <row r="637">
      <c r="A637" s="0" t="inlineStr">
        <is>
          <t>Mani Kutty</t>
        </is>
      </c>
    </row>
    <row r="638">
      <c r="A638" s="0" t="inlineStr">
        <is>
          <t>B G Tharan Scl</t>
        </is>
      </c>
    </row>
    <row r="639">
      <c r="A639" s="0" t="inlineStr">
        <is>
          <t>Zaheer Khan Scl</t>
        </is>
      </c>
    </row>
    <row r="640">
      <c r="A640" s="0" t="inlineStr">
        <is>
          <t>Sathiesh Kumar FB</t>
        </is>
      </c>
    </row>
    <row r="641">
      <c r="A641" s="0" t="inlineStr">
        <is>
          <t>Gopi Jeyakumar Urja</t>
        </is>
      </c>
    </row>
    <row r="642">
      <c r="A642" s="0" t="inlineStr">
        <is>
          <t>Muthu Arun Grp</t>
        </is>
      </c>
    </row>
    <row r="643">
      <c r="A643" s="0" t="inlineStr">
        <is>
          <t>Muruga Perumal CSE</t>
        </is>
      </c>
    </row>
    <row r="644">
      <c r="A644" s="0" t="inlineStr">
        <is>
          <t>Vignesh Grp Ucen</t>
        </is>
      </c>
    </row>
    <row r="645">
      <c r="A645" s="0" t="inlineStr">
        <is>
          <t>Ramesh Raja FB</t>
        </is>
      </c>
    </row>
    <row r="646">
      <c r="A646" s="0" t="inlineStr">
        <is>
          <t>Sakthi Kumar Infosys</t>
        </is>
      </c>
    </row>
    <row r="647">
      <c r="A647" s="0" t="inlineStr">
        <is>
          <t>Mizpah Jerome CSE</t>
        </is>
      </c>
    </row>
    <row r="648">
      <c r="A648" s="0" t="inlineStr">
        <is>
          <t>Karthick Urja</t>
        </is>
      </c>
    </row>
    <row r="649">
      <c r="A649" s="0" t="inlineStr">
        <is>
          <t>Surya Prathesh FB</t>
        </is>
      </c>
    </row>
    <row r="650">
      <c r="A650" s="0" t="inlineStr">
        <is>
          <t>Indhumathi Infy Verizon</t>
        </is>
      </c>
    </row>
    <row r="651">
      <c r="A651" s="0" t="inlineStr">
        <is>
          <t>Ashok Kumar Dass Frd</t>
        </is>
      </c>
    </row>
    <row r="652">
      <c r="A652" s="0" t="inlineStr">
        <is>
          <t>Prem Bus</t>
        </is>
      </c>
    </row>
    <row r="653">
      <c r="A653" s="0" t="inlineStr">
        <is>
          <t>Jackson Fenore Junior</t>
        </is>
      </c>
    </row>
    <row r="654">
      <c r="A654" s="0" t="inlineStr">
        <is>
          <t>MariVel Scl Kprm</t>
        </is>
      </c>
    </row>
    <row r="655">
      <c r="A655" s="0" t="inlineStr">
        <is>
          <t>Aji Meetup</t>
        </is>
      </c>
    </row>
    <row r="656">
      <c r="A656" s="0" t="inlineStr">
        <is>
          <t>Sarath Barath Grp</t>
        </is>
      </c>
    </row>
    <row r="657">
      <c r="A657" s="0" t="inlineStr">
        <is>
          <t>Bagyanathan Rapido</t>
        </is>
      </c>
    </row>
    <row r="658">
      <c r="A658" s="0" t="inlineStr">
        <is>
          <t>Kavin Raju Urja</t>
        </is>
      </c>
    </row>
    <row r="659">
      <c r="A659" s="0" t="inlineStr">
        <is>
          <t>Kannan STC</t>
        </is>
      </c>
    </row>
    <row r="660">
      <c r="A660" s="0" t="inlineStr">
        <is>
          <t>Akon Saravanan</t>
        </is>
      </c>
    </row>
    <row r="661">
      <c r="A661" s="0" t="inlineStr">
        <is>
          <t>Ranjith Infy</t>
        </is>
      </c>
    </row>
    <row r="662">
      <c r="A662" s="0" t="inlineStr">
        <is>
          <t>Arun Mozhi Varman FB</t>
        </is>
      </c>
    </row>
    <row r="663">
      <c r="A663" s="0" t="inlineStr">
        <is>
          <t>Madhan (Kutti) Urja</t>
        </is>
      </c>
    </row>
    <row r="664">
      <c r="A664" s="0" t="inlineStr">
        <is>
          <t>Joyfull Blessing FB</t>
        </is>
      </c>
    </row>
    <row r="665">
      <c r="A665" s="0" t="inlineStr">
        <is>
          <t>RameshDuraiselvam Civil</t>
        </is>
      </c>
    </row>
    <row r="666">
      <c r="A666" s="0" t="inlineStr">
        <is>
          <t>Bala Krishnan Scl</t>
        </is>
      </c>
    </row>
    <row r="667">
      <c r="A667" s="0" t="inlineStr">
        <is>
          <t>Deepak Fraz FB</t>
        </is>
      </c>
    </row>
    <row r="668">
      <c r="A668" s="0" t="inlineStr">
        <is>
          <t>Satish V HCL</t>
        </is>
      </c>
    </row>
    <row r="669">
      <c r="A669" s="0" t="inlineStr">
        <is>
          <t>Vinith Insta</t>
        </is>
      </c>
    </row>
    <row r="670">
      <c r="A670" s="0" t="inlineStr">
        <is>
          <t>Kanagaraj Junior Grp</t>
        </is>
      </c>
    </row>
    <row r="671">
      <c r="A671" s="0" t="inlineStr">
        <is>
          <t>Driver Number Saravanan</t>
        </is>
      </c>
    </row>
    <row r="672">
      <c r="A672" s="0" t="inlineStr">
        <is>
          <t>Yogaraj ECE</t>
        </is>
      </c>
    </row>
    <row r="673">
      <c r="A673" s="0" t="inlineStr">
        <is>
          <t>Vijay Vignesh</t>
        </is>
      </c>
    </row>
    <row r="674">
      <c r="A674" s="0" t="inlineStr">
        <is>
          <t>Mohan raj Chandrasekar Urja</t>
        </is>
      </c>
    </row>
    <row r="675">
      <c r="A675" s="0" t="inlineStr">
        <is>
          <t>Essaki Muthu Ramiah FB</t>
        </is>
      </c>
    </row>
    <row r="676">
      <c r="A676" s="0" t="inlineStr">
        <is>
          <t>Gas Booking Kundr</t>
        </is>
      </c>
    </row>
    <row r="677">
      <c r="A677" s="0" t="inlineStr">
        <is>
          <t>Fabin Antony Grp Ucen</t>
        </is>
      </c>
    </row>
    <row r="678">
      <c r="A678" s="0" t="inlineStr">
        <is>
          <t>Abdul Rahman ThoughtWorks</t>
        </is>
      </c>
    </row>
    <row r="679">
      <c r="A679" s="0" t="inlineStr">
        <is>
          <t>Balaji WFP</t>
        </is>
      </c>
    </row>
    <row r="680">
      <c r="A680" s="0" t="inlineStr">
        <is>
          <t>Sanjeev FB</t>
        </is>
      </c>
    </row>
    <row r="681">
      <c r="A681" s="0" t="inlineStr">
        <is>
          <t>Aarone Ipick</t>
        </is>
      </c>
    </row>
    <row r="682">
      <c r="A682" s="0" t="inlineStr">
        <is>
          <t>Kali Raj CSE</t>
        </is>
      </c>
    </row>
    <row r="683">
      <c r="A683" s="0" t="inlineStr">
        <is>
          <t>Saravana Kumar Scl</t>
        </is>
      </c>
    </row>
    <row r="684">
      <c r="A684" s="0" t="inlineStr">
        <is>
          <t>Muthu Kumar FB</t>
        </is>
      </c>
    </row>
    <row r="685">
      <c r="A685" s="0" t="inlineStr">
        <is>
          <t>Subash Scl</t>
        </is>
      </c>
    </row>
    <row r="686">
      <c r="A686" s="0" t="inlineStr">
        <is>
          <t>Hema Grp</t>
        </is>
      </c>
    </row>
    <row r="687">
      <c r="A687" s="0" t="inlineStr">
        <is>
          <t>Vinith Urja</t>
        </is>
      </c>
    </row>
    <row r="688">
      <c r="A688" s="0" t="inlineStr">
        <is>
          <t>JosephAmalraj</t>
        </is>
      </c>
    </row>
    <row r="689">
      <c r="A689" s="0" t="inlineStr">
        <is>
          <t>Vignesh Coordinate Grp Ucen</t>
        </is>
      </c>
    </row>
    <row r="690">
      <c r="A690" s="0" t="inlineStr">
        <is>
          <t>My Jio</t>
        </is>
      </c>
    </row>
    <row r="691">
      <c r="A691" s="0" t="inlineStr">
        <is>
          <t>Govardhahah Meetup</t>
        </is>
      </c>
    </row>
    <row r="692">
      <c r="A692" s="0" t="inlineStr">
        <is>
          <t>Jeya Kanth FB</t>
        </is>
      </c>
    </row>
    <row r="693">
      <c r="A693" s="0" t="inlineStr">
        <is>
          <t>Venkat Verz</t>
        </is>
      </c>
    </row>
    <row r="694">
      <c r="A694" s="0" t="inlineStr">
        <is>
          <t>Ramkimani Manimuthu</t>
        </is>
      </c>
    </row>
    <row r="695">
      <c r="A695" s="0" t="inlineStr">
        <is>
          <t>Selva Sudhan Scl</t>
        </is>
      </c>
    </row>
    <row r="696">
      <c r="A696" s="0" t="inlineStr">
        <is>
          <t>Mukesh Kprm</t>
        </is>
      </c>
    </row>
    <row r="697">
      <c r="A697" s="0" t="inlineStr">
        <is>
          <t>Sekar M</t>
        </is>
      </c>
    </row>
    <row r="698">
      <c r="A698" s="0" t="inlineStr">
        <is>
          <t>Ramya</t>
        </is>
      </c>
    </row>
    <row r="699">
      <c r="A699" s="0" t="inlineStr">
        <is>
          <t>Ponkumar CMDB Verz</t>
        </is>
      </c>
    </row>
    <row r="700">
      <c r="A700" s="0" t="inlineStr">
        <is>
          <t>Mariappan S FB</t>
        </is>
      </c>
    </row>
    <row r="701">
      <c r="A701" s="0" t="inlineStr">
        <is>
          <t>Naren Milton FB</t>
        </is>
      </c>
    </row>
    <row r="702">
      <c r="A702" s="0" t="inlineStr">
        <is>
          <t>DS Sachin FB</t>
        </is>
      </c>
    </row>
    <row r="703">
      <c r="A703" s="0" t="inlineStr">
        <is>
          <t>Aruvi Raj FB</t>
        </is>
      </c>
    </row>
    <row r="704">
      <c r="A704" s="0" t="inlineStr">
        <is>
          <t>LakshmiPriya LOA</t>
        </is>
      </c>
    </row>
    <row r="705">
      <c r="A705" s="0" t="inlineStr">
        <is>
          <t>Rishi Sulthan Grp Ucen</t>
        </is>
      </c>
    </row>
    <row r="706">
      <c r="A706" s="0" t="inlineStr">
        <is>
          <t>Jade Sha FB</t>
        </is>
      </c>
    </row>
    <row r="707">
      <c r="A707" s="0" t="inlineStr">
        <is>
          <t>Nandhini PD Verz</t>
        </is>
      </c>
    </row>
    <row r="708">
      <c r="A708" s="0" t="inlineStr">
        <is>
          <t>Prasanth Urja</t>
        </is>
      </c>
    </row>
    <row r="709">
      <c r="A709" s="0" t="inlineStr">
        <is>
          <t>Sathurakiri Yammer</t>
        </is>
      </c>
    </row>
    <row r="710">
      <c r="A710" s="0" t="inlineStr">
        <is>
          <t>Dhivya Kumari Urja</t>
        </is>
      </c>
    </row>
    <row r="711">
      <c r="A711" s="0" t="inlineStr">
        <is>
          <t>MUNISH Loan</t>
        </is>
      </c>
    </row>
    <row r="712">
      <c r="A712" s="0" t="inlineStr">
        <is>
          <t>Salim malik Grp</t>
        </is>
      </c>
    </row>
    <row r="713">
      <c r="A713" s="0" t="inlineStr">
        <is>
          <t>Ramjith Grp UCEN</t>
        </is>
      </c>
    </row>
    <row r="714">
      <c r="A714" s="0" t="inlineStr">
        <is>
          <t>Mukesh Pavithran FB</t>
        </is>
      </c>
    </row>
    <row r="715">
      <c r="A715" s="0" t="inlineStr">
        <is>
          <t>VijaySaravanan Ford</t>
        </is>
      </c>
    </row>
    <row r="716">
      <c r="A716" s="0" t="inlineStr">
        <is>
          <t>Aneesh Sherlin LI</t>
        </is>
      </c>
    </row>
    <row r="717">
      <c r="A717" s="0" t="inlineStr">
        <is>
          <t>Aravind PS</t>
        </is>
      </c>
    </row>
    <row r="718">
      <c r="A718" s="0" t="inlineStr">
        <is>
          <t>Raja Mani Varman Hnuc Scl</t>
        </is>
      </c>
    </row>
    <row r="719">
      <c r="A719" s="0" t="inlineStr">
        <is>
          <t>Balamurugan bala FB</t>
        </is>
      </c>
    </row>
    <row r="720">
      <c r="A720" s="0" t="inlineStr">
        <is>
          <t>Chanthru FB</t>
        </is>
      </c>
    </row>
    <row r="721">
      <c r="A721" s="0" t="inlineStr">
        <is>
          <t>Varshitha Balaji PDC</t>
        </is>
      </c>
    </row>
    <row r="722">
      <c r="A722" s="0" t="inlineStr">
        <is>
          <t>Prabhu Muthukumar HCL</t>
        </is>
      </c>
    </row>
    <row r="723">
      <c r="A723" s="0" t="inlineStr">
        <is>
          <t>Ganapathy Ravikumar LOA</t>
        </is>
      </c>
    </row>
    <row r="724">
      <c r="A724" s="0" t="inlineStr">
        <is>
          <t>Vickee LOA</t>
        </is>
      </c>
    </row>
    <row r="725">
      <c r="A725" s="0" t="inlineStr">
        <is>
          <t>Siva Karthick FB</t>
        </is>
      </c>
    </row>
    <row r="726">
      <c r="A726" s="0" t="inlineStr">
        <is>
          <t>Poriyan FB</t>
        </is>
      </c>
    </row>
    <row r="727">
      <c r="A727" s="0" t="inlineStr">
        <is>
          <t>Maaja Lallu FB</t>
        </is>
      </c>
    </row>
    <row r="728">
      <c r="A728" s="0" t="inlineStr">
        <is>
          <t>Shee Nu FB</t>
        </is>
      </c>
    </row>
    <row r="729">
      <c r="A729" s="0" t="inlineStr">
        <is>
          <t>Jeya Urja</t>
        </is>
      </c>
    </row>
    <row r="730">
      <c r="A730" s="0" t="inlineStr">
        <is>
          <t>Anilkumar</t>
        </is>
      </c>
    </row>
    <row r="731">
      <c r="A731" s="0" t="inlineStr">
        <is>
          <t>Vasantha Prakash Scl</t>
        </is>
      </c>
    </row>
    <row r="732">
      <c r="A732" s="0" t="inlineStr">
        <is>
          <t>Winston Praveen Scl</t>
        </is>
      </c>
    </row>
    <row r="733">
      <c r="A733" s="0" t="inlineStr">
        <is>
          <t>Siva Murugan Grp Ucen</t>
        </is>
      </c>
    </row>
    <row r="734">
      <c r="A734" s="0" t="inlineStr">
        <is>
          <t>Gnanasambantham Anbazhagan NDLF</t>
        </is>
      </c>
    </row>
    <row r="735">
      <c r="A735" s="0" t="inlineStr">
        <is>
          <t>Pushparaj FB</t>
        </is>
      </c>
    </row>
    <row r="736">
      <c r="A736" s="0" t="inlineStr">
        <is>
          <t>Talib FB</t>
        </is>
      </c>
    </row>
    <row r="737">
      <c r="A737" s="0" t="inlineStr">
        <is>
          <t>Sai Krishna Reddy Infy</t>
        </is>
      </c>
    </row>
    <row r="738">
      <c r="A738" s="0" t="inlineStr">
        <is>
          <t>Mukeshmon FB</t>
        </is>
      </c>
    </row>
    <row r="739">
      <c r="A739" s="0" t="inlineStr">
        <is>
          <t>bala Samy Fb</t>
        </is>
      </c>
    </row>
    <row r="740">
      <c r="A740" s="0" t="inlineStr">
        <is>
          <t>Kishore Laptop HCL</t>
        </is>
      </c>
    </row>
    <row r="741">
      <c r="A741" s="0" t="inlineStr">
        <is>
          <t>Rejo ECE</t>
        </is>
      </c>
    </row>
    <row r="742">
      <c r="A742" s="0" t="inlineStr">
        <is>
          <t>Seeni Driver FB</t>
        </is>
      </c>
    </row>
    <row r="743">
      <c r="A743" s="0" t="inlineStr">
        <is>
          <t>Vijaykumar Urja</t>
        </is>
      </c>
    </row>
    <row r="744">
      <c r="A744" s="0" t="inlineStr">
        <is>
          <t>Kalapadam Check</t>
        </is>
      </c>
    </row>
    <row r="745">
      <c r="A745" s="0" t="inlineStr">
        <is>
          <t>Kongu Urja</t>
        </is>
      </c>
    </row>
    <row r="746">
      <c r="A746" s="0" t="inlineStr">
        <is>
          <t>Udaya Kumar FB</t>
        </is>
      </c>
    </row>
    <row r="747">
      <c r="A747" s="0" t="inlineStr">
        <is>
          <t>Merlon Joseph Urja</t>
        </is>
      </c>
    </row>
    <row r="748">
      <c r="A748" s="0" t="inlineStr">
        <is>
          <t>Niranjanan Urj</t>
        </is>
      </c>
    </row>
    <row r="749">
      <c r="A749" s="0" t="inlineStr">
        <is>
          <t>Nishanth Urja</t>
        </is>
      </c>
    </row>
    <row r="750">
      <c r="A750" s="0" t="inlineStr">
        <is>
          <t>Ranjith TG</t>
        </is>
      </c>
    </row>
    <row r="751">
      <c r="A751" s="0" t="inlineStr">
        <is>
          <t>Sivachandran Vaithinathan Infosys</t>
        </is>
      </c>
    </row>
    <row r="752">
      <c r="A752" s="0" t="inlineStr">
        <is>
          <t>Ramesh GP</t>
        </is>
      </c>
    </row>
    <row r="753">
      <c r="A753" s="0" t="inlineStr">
        <is>
          <t>Saravanan Saravanan Grp Ucen</t>
        </is>
      </c>
    </row>
    <row r="754">
      <c r="A754" s="0" t="inlineStr">
        <is>
          <t>Prakash IV TCS</t>
        </is>
      </c>
    </row>
    <row r="755">
      <c r="A755" s="0" t="inlineStr">
        <is>
          <t>Ratheesh Kumar Grp Ucen</t>
        </is>
      </c>
    </row>
    <row r="756">
      <c r="A756" s="0" t="inlineStr">
        <is>
          <t>Shan Predson FB</t>
        </is>
      </c>
    </row>
    <row r="757">
      <c r="A757" s="0" t="inlineStr">
        <is>
          <t>Ramesh Surandai Civil</t>
        </is>
      </c>
    </row>
    <row r="758">
      <c r="A758" s="0" t="inlineStr">
        <is>
          <t>Selva Ganesh FB</t>
        </is>
      </c>
    </row>
    <row r="759">
      <c r="A759" s="0" t="inlineStr">
        <is>
          <t>Mari Citu Scl</t>
        </is>
      </c>
    </row>
    <row r="760">
      <c r="A760" s="0" t="inlineStr">
        <is>
          <t>Mohamad Nafees Grp</t>
        </is>
      </c>
    </row>
    <row r="761">
      <c r="A761" s="0" t="inlineStr">
        <is>
          <t>SaravanaKumar ECE</t>
        </is>
      </c>
    </row>
    <row r="762">
      <c r="A762" s="0" t="inlineStr">
        <is>
          <t>ER Mani BE FB</t>
        </is>
      </c>
    </row>
    <row r="763">
      <c r="A763" s="0" t="inlineStr">
        <is>
          <t>Archie Dhi</t>
        </is>
      </c>
    </row>
    <row r="764">
      <c r="A764" s="0" t="inlineStr">
        <is>
          <t>DEepaK An Grp Mech</t>
        </is>
      </c>
    </row>
    <row r="765">
      <c r="A765" s="0" t="inlineStr">
        <is>
          <t>Sankar Raja Grp Ucen</t>
        </is>
      </c>
    </row>
    <row r="766">
      <c r="A766" s="0" t="inlineStr">
        <is>
          <t>Jawahar Urja</t>
        </is>
      </c>
    </row>
    <row r="767">
      <c r="A767" s="0" t="inlineStr">
        <is>
          <t>Pandi Own</t>
        </is>
      </c>
    </row>
    <row r="768">
      <c r="A768" s="0" t="inlineStr">
        <is>
          <t>Vijay Anand selvaraj Verz</t>
        </is>
      </c>
    </row>
    <row r="769">
      <c r="A769" s="0" t="inlineStr">
        <is>
          <t>Ganesh Kumar Scl</t>
        </is>
      </c>
    </row>
    <row r="770">
      <c r="A770" s="0" t="inlineStr">
        <is>
          <t>Jagar Jerald FB</t>
        </is>
      </c>
    </row>
    <row r="771">
      <c r="A771" s="0" t="inlineStr">
        <is>
          <t>Sutha Akka</t>
        </is>
      </c>
    </row>
    <row r="772">
      <c r="A772" s="0" t="inlineStr">
        <is>
          <t>MKumaran Ramaiah FB</t>
        </is>
      </c>
    </row>
    <row r="773">
      <c r="A773" s="0" t="inlineStr">
        <is>
          <t>Karthick Rajamani Mech</t>
        </is>
      </c>
    </row>
    <row r="774">
      <c r="A774" s="0" t="inlineStr">
        <is>
          <t>Mani Manjula FB</t>
        </is>
      </c>
    </row>
    <row r="775">
      <c r="A775" s="0" t="inlineStr">
        <is>
          <t>Ajit PS</t>
        </is>
      </c>
    </row>
    <row r="776">
      <c r="A776" s="0" t="inlineStr">
        <is>
          <t>Kesavan A Civil</t>
        </is>
      </c>
    </row>
    <row r="777">
      <c r="A777" s="0" t="inlineStr">
        <is>
          <t>Karthick Verz</t>
        </is>
      </c>
    </row>
    <row r="778">
      <c r="A778" s="0" t="inlineStr">
        <is>
          <t>Ramesh Karupiya FB</t>
        </is>
      </c>
    </row>
    <row r="779">
      <c r="A779" s="0" t="inlineStr">
        <is>
          <t>Mithun Junior FB</t>
        </is>
      </c>
    </row>
    <row r="780">
      <c r="A780" s="0" t="inlineStr">
        <is>
          <t>Mani Urja</t>
        </is>
      </c>
    </row>
    <row r="781">
      <c r="A781" s="0" t="inlineStr">
        <is>
          <t>Sutha Amma</t>
        </is>
      </c>
    </row>
    <row r="782">
      <c r="A782" s="0" t="inlineStr">
        <is>
          <t>Govindraj Urja</t>
        </is>
      </c>
    </row>
    <row r="783">
      <c r="A783" s="0" t="inlineStr">
        <is>
          <t>Mari Selvam Scl</t>
        </is>
      </c>
    </row>
    <row r="784">
      <c r="A784" s="0" t="inlineStr">
        <is>
          <t>Mugesh Kprm</t>
        </is>
      </c>
    </row>
    <row r="785">
      <c r="A785" s="0" t="inlineStr">
        <is>
          <t>Water Supply Opposite</t>
        </is>
      </c>
    </row>
    <row r="786">
      <c r="A786" s="0" t="inlineStr">
        <is>
          <t>Mithun Madhavan ISRO FB</t>
        </is>
      </c>
    </row>
    <row r="787">
      <c r="A787" s="0" t="inlineStr">
        <is>
          <t>Karuppaiya Das Krprm</t>
        </is>
      </c>
    </row>
    <row r="788">
      <c r="A788" s="0" t="inlineStr">
        <is>
          <t>Selvam Ragavaa FB</t>
        </is>
      </c>
    </row>
    <row r="789">
      <c r="A789" s="0" t="inlineStr">
        <is>
          <t>Dineshkumar Ramarao InfyEco</t>
        </is>
      </c>
    </row>
    <row r="790">
      <c r="A790" s="0" t="inlineStr">
        <is>
          <t>Vimal Anadtham Urja</t>
        </is>
      </c>
    </row>
    <row r="791">
      <c r="A791" s="0" t="inlineStr">
        <is>
          <t>Chandra Sekar Urja</t>
        </is>
      </c>
    </row>
    <row r="792">
      <c r="A792" s="0" t="inlineStr">
        <is>
          <t>Selva Kumar Junior</t>
        </is>
      </c>
    </row>
    <row r="793">
      <c r="A793" s="0" t="inlineStr">
        <is>
          <t>Mano Shankar GP</t>
        </is>
      </c>
    </row>
    <row r="794">
      <c r="A794" s="0" t="inlineStr">
        <is>
          <t>Nalla Thambi FB</t>
        </is>
      </c>
    </row>
    <row r="795">
      <c r="A795" s="0" t="inlineStr">
        <is>
          <t>Siva Ganesh Grp Ucen</t>
        </is>
      </c>
    </row>
    <row r="796">
      <c r="A796" s="0" t="inlineStr">
        <is>
          <t>Gowtham SET Infy</t>
        </is>
      </c>
    </row>
    <row r="797">
      <c r="A797" s="0" t="inlineStr">
        <is>
          <t>Mariappan Scl</t>
        </is>
      </c>
    </row>
    <row r="798">
      <c r="A798" s="0" t="inlineStr">
        <is>
          <t>Anitha Urja</t>
        </is>
      </c>
    </row>
    <row r="799">
      <c r="A799" s="0" t="inlineStr">
        <is>
          <t>Arun Karthikeyan FB</t>
        </is>
      </c>
    </row>
    <row r="800">
      <c r="A800" s="0" t="inlineStr">
        <is>
          <t>Sri Ram Qa Urja</t>
        </is>
      </c>
    </row>
    <row r="801">
      <c r="A801" s="0" t="inlineStr">
        <is>
          <t>Sam Mariappan FB</t>
        </is>
      </c>
    </row>
    <row r="802">
      <c r="A802" s="0" t="inlineStr">
        <is>
          <t>Saravanan Grp Ucen</t>
        </is>
      </c>
    </row>
    <row r="803">
      <c r="A803" s="0" t="inlineStr">
        <is>
          <t>Mani Civil</t>
        </is>
      </c>
    </row>
    <row r="804">
      <c r="A804" s="0" t="inlineStr">
        <is>
          <t>Rahul Law Of Attraction</t>
        </is>
      </c>
    </row>
    <row r="805">
      <c r="A805" s="0" t="inlineStr">
        <is>
          <t>Vicky.S LOA</t>
        </is>
      </c>
    </row>
    <row r="806">
      <c r="A806" s="0" t="inlineStr">
        <is>
          <t>Mahendra Varman FB</t>
        </is>
      </c>
    </row>
    <row r="807">
      <c r="A807" s="0" t="inlineStr">
        <is>
          <t>Marriappan FB</t>
        </is>
      </c>
    </row>
    <row r="808">
      <c r="A808" s="0" t="inlineStr">
        <is>
          <t>Franklin GP</t>
        </is>
      </c>
    </row>
    <row r="809">
      <c r="A809" s="0" t="inlineStr">
        <is>
          <t>Guru Nathan FB</t>
        </is>
      </c>
    </row>
    <row r="810">
      <c r="A810" s="0" t="inlineStr">
        <is>
          <t>Praveen Kumar Ambai</t>
        </is>
      </c>
    </row>
    <row r="811">
      <c r="A811" s="0" t="inlineStr">
        <is>
          <t>Raj Govinth Urja</t>
        </is>
      </c>
    </row>
    <row r="812">
      <c r="A812" s="0" t="inlineStr">
        <is>
          <t>Veera Kesavan FB</t>
        </is>
      </c>
    </row>
    <row r="813">
      <c r="A813" s="0" t="inlineStr">
        <is>
          <t>Sakthi Sakthi FB</t>
        </is>
      </c>
    </row>
    <row r="814">
      <c r="A814" s="0" t="inlineStr">
        <is>
          <t>Bala Murugan - Hit Urjanet</t>
        </is>
      </c>
    </row>
    <row r="815">
      <c r="A815" s="0" t="inlineStr">
        <is>
          <t>Manikandan Shanmugasundaram Infy</t>
        </is>
      </c>
    </row>
    <row r="816">
      <c r="A816" s="0" t="inlineStr">
        <is>
          <t>Ramya Loan Sundar</t>
        </is>
      </c>
    </row>
    <row r="817">
      <c r="A817" s="0" t="inlineStr">
        <is>
          <t>SaravanaGanesh</t>
        </is>
      </c>
    </row>
    <row r="818">
      <c r="A818" s="0" t="inlineStr">
        <is>
          <t>Gnana Jeyam Urja</t>
        </is>
      </c>
    </row>
    <row r="819">
      <c r="A819" s="0" t="inlineStr">
        <is>
          <t>Rejin Grp Ucen</t>
        </is>
      </c>
    </row>
    <row r="820">
      <c r="A820" s="0" t="inlineStr">
        <is>
          <t>D4v Blood Support</t>
        </is>
      </c>
    </row>
    <row r="821">
      <c r="A821" s="0" t="inlineStr">
        <is>
          <t>Thenmozhi Urja</t>
        </is>
      </c>
    </row>
    <row r="822">
      <c r="A822" s="0" t="inlineStr">
        <is>
          <t>Sathiesh Kprm Scl</t>
        </is>
      </c>
    </row>
    <row r="823">
      <c r="A823" s="0" t="inlineStr">
        <is>
          <t>Subash Junior Grp</t>
        </is>
      </c>
    </row>
    <row r="824">
      <c r="A824" s="0" t="inlineStr">
        <is>
          <t>Karthikeyan Grp Ucen</t>
        </is>
      </c>
    </row>
    <row r="825">
      <c r="A825" s="0" t="inlineStr">
        <is>
          <t>Madhavan Madddy Scl</t>
        </is>
      </c>
    </row>
    <row r="826">
      <c r="A826" s="0" t="inlineStr">
        <is>
          <t>Loganathan HCL HFN</t>
        </is>
      </c>
    </row>
    <row r="827">
      <c r="A827" s="0" t="inlineStr">
        <is>
          <t>Anandh Venkat FB</t>
        </is>
      </c>
    </row>
    <row r="828">
      <c r="A828" s="0" t="inlineStr">
        <is>
          <t>Bala Krishna Geetha Cafe</t>
        </is>
      </c>
    </row>
    <row r="829">
      <c r="A829" s="0" t="inlineStr">
        <is>
          <t>Mazar Samsung</t>
        </is>
      </c>
    </row>
    <row r="830">
      <c r="A830" s="0" t="inlineStr">
        <is>
          <t>Parama Grp Junior</t>
        </is>
      </c>
    </row>
    <row r="831">
      <c r="A831" s="0" t="inlineStr">
        <is>
          <t>Ponmani Grp</t>
        </is>
      </c>
    </row>
    <row r="832">
      <c r="A832" s="0" t="inlineStr">
        <is>
          <t>VigneshMvn GP</t>
        </is>
      </c>
    </row>
    <row r="833">
      <c r="A833" s="0" t="inlineStr">
        <is>
          <t>Arunraja senkathir FB</t>
        </is>
      </c>
    </row>
    <row r="834">
      <c r="A834" s="0" t="inlineStr">
        <is>
          <t>Praksh HCL</t>
        </is>
      </c>
    </row>
    <row r="835">
      <c r="A835" s="0" t="inlineStr">
        <is>
          <t>PandiyaRaj TcS Swiggy</t>
        </is>
      </c>
    </row>
    <row r="836">
      <c r="A836" s="0" t="inlineStr">
        <is>
          <t>Naseem FB</t>
        </is>
      </c>
    </row>
    <row r="837">
      <c r="A837" s="0" t="inlineStr">
        <is>
          <t>Rajesh Rajendran FB</t>
        </is>
      </c>
    </row>
    <row r="838">
      <c r="A838" s="0" t="inlineStr">
        <is>
          <t>Mathankumar Dev</t>
        </is>
      </c>
    </row>
    <row r="839">
      <c r="A839" s="0" t="inlineStr">
        <is>
          <t>Vicky Bro</t>
        </is>
      </c>
    </row>
    <row r="840">
      <c r="A840" s="0" t="inlineStr">
        <is>
          <t>Selva Kumar Scl</t>
        </is>
      </c>
    </row>
    <row r="841">
      <c r="A841" s="0" t="inlineStr">
        <is>
          <t>My Idea 121</t>
        </is>
      </c>
    </row>
    <row r="842">
      <c r="A842" s="0" t="inlineStr">
        <is>
          <t>Ragul Agarwal Infy</t>
        </is>
      </c>
    </row>
    <row r="843">
      <c r="A843" s="0" t="inlineStr">
        <is>
          <t>Suchi PD Verz</t>
        </is>
      </c>
    </row>
    <row r="844">
      <c r="A844" s="0" t="inlineStr">
        <is>
          <t>Anirudth Urja</t>
        </is>
      </c>
    </row>
    <row r="845">
      <c r="A845" s="0" t="inlineStr">
        <is>
          <t>Budupula Kiran HCL</t>
        </is>
      </c>
    </row>
    <row r="846">
      <c r="A846" s="0" t="inlineStr">
        <is>
          <t>Dinesh Raina Insta</t>
        </is>
      </c>
    </row>
    <row r="847">
      <c r="A847" s="0" t="inlineStr">
        <is>
          <t>J J Grp</t>
        </is>
      </c>
    </row>
    <row r="848">
      <c r="A848" s="0" t="inlineStr">
        <is>
          <t>Golden Rain FB</t>
        </is>
      </c>
    </row>
    <row r="849">
      <c r="A849" s="0" t="inlineStr">
        <is>
          <t>Advinth Ece</t>
        </is>
      </c>
    </row>
    <row r="850">
      <c r="A850" s="0" t="inlineStr">
        <is>
          <t>Thirumalai Kumara Samy Scl</t>
        </is>
      </c>
    </row>
    <row r="851">
      <c r="A851" s="0" t="inlineStr">
        <is>
          <t>Raj Arunachalam FB</t>
        </is>
      </c>
    </row>
    <row r="852">
      <c r="A852" s="0" t="inlineStr">
        <is>
          <t>Ashok Krishnan Urja</t>
        </is>
      </c>
    </row>
    <row r="853">
      <c r="A853" s="0" t="inlineStr">
        <is>
          <t>Sri Krishna Ra</t>
        </is>
      </c>
    </row>
    <row r="854">
      <c r="A854" s="0" t="inlineStr">
        <is>
          <t>Deepan Qs</t>
        </is>
      </c>
    </row>
    <row r="855">
      <c r="A855" s="0" t="inlineStr">
        <is>
          <t>Vediyappan Junior</t>
        </is>
      </c>
    </row>
    <row r="856">
      <c r="A856" s="0" t="inlineStr">
        <is>
          <t>Kowthavarapu Lokesh HCL</t>
        </is>
      </c>
    </row>
    <row r="857">
      <c r="A857" s="0" t="inlineStr">
        <is>
          <t>Ramesh Light Foundation</t>
        </is>
      </c>
    </row>
    <row r="858">
      <c r="A858" s="0" t="inlineStr">
        <is>
          <t>Akka Tmb Ac. no</t>
        </is>
      </c>
    </row>
    <row r="859">
      <c r="A859" s="0" t="inlineStr">
        <is>
          <t>Venky Devops Urja</t>
        </is>
      </c>
    </row>
    <row r="860">
      <c r="A860" s="0" t="inlineStr">
        <is>
          <t>ManoJ KumaR Mech</t>
        </is>
      </c>
    </row>
    <row r="861">
      <c r="A861" s="0" t="inlineStr">
        <is>
          <t>Mari Bala FB</t>
        </is>
      </c>
    </row>
    <row r="862">
      <c r="A862" s="0" t="inlineStr">
        <is>
          <t>Krish Bala Scl</t>
        </is>
      </c>
    </row>
    <row r="863">
      <c r="A863" s="0" t="inlineStr">
        <is>
          <t>Jerin Amirtha Raj Mech</t>
        </is>
      </c>
    </row>
    <row r="864">
      <c r="A864" s="0" t="inlineStr">
        <is>
          <t>Vijaylakshmi</t>
        </is>
      </c>
    </row>
    <row r="865">
      <c r="A865" s="0" t="inlineStr">
        <is>
          <t>Parthiban Qs</t>
        </is>
      </c>
    </row>
    <row r="866">
      <c r="A866" s="0" t="inlineStr">
        <is>
          <t>Ramesh-M FB</t>
        </is>
      </c>
    </row>
    <row r="867">
      <c r="A867" s="0" t="inlineStr">
        <is>
          <t>Nagendran Scl</t>
        </is>
      </c>
    </row>
    <row r="868">
      <c r="A868" s="0" t="inlineStr">
        <is>
          <t>Vijay A Infy</t>
        </is>
      </c>
    </row>
    <row r="869">
      <c r="A869" s="0" t="inlineStr">
        <is>
          <t>Balaji qs. 1</t>
        </is>
      </c>
    </row>
    <row r="870">
      <c r="A870" s="0" t="inlineStr">
        <is>
          <t>Mariyaraj FB</t>
        </is>
      </c>
    </row>
    <row r="871">
      <c r="A871" s="0" t="inlineStr">
        <is>
          <t>Suji Johnson</t>
        </is>
      </c>
    </row>
    <row r="872">
      <c r="A872" s="0" t="inlineStr">
        <is>
          <t>Mohan KMB</t>
        </is>
      </c>
    </row>
    <row r="873">
      <c r="A873" s="0" t="inlineStr">
        <is>
          <t>Venkadesh Raja FB</t>
        </is>
      </c>
    </row>
    <row r="874">
      <c r="A874" s="0" t="inlineStr">
        <is>
          <t>Kalari Master Sundarraj</t>
        </is>
      </c>
    </row>
    <row r="875">
      <c r="A875" s="0" t="inlineStr">
        <is>
          <t>Arul Arumugam Mech</t>
        </is>
      </c>
    </row>
    <row r="876">
      <c r="A876" s="0" t="inlineStr">
        <is>
          <t>Velmurugan Scl</t>
        </is>
      </c>
    </row>
    <row r="877">
      <c r="A877" s="0" t="inlineStr">
        <is>
          <t>Mannu Bhai</t>
        </is>
      </c>
    </row>
    <row r="878">
      <c r="A878" s="0" t="inlineStr">
        <is>
          <t>Shankar Etms</t>
        </is>
      </c>
    </row>
    <row r="879">
      <c r="A879" s="0" t="inlineStr">
        <is>
          <t>Ponmadasamy FB</t>
        </is>
      </c>
    </row>
    <row r="880">
      <c r="A880" s="0" t="inlineStr">
        <is>
          <t>Jyothi Infy</t>
        </is>
      </c>
    </row>
    <row r="881">
      <c r="A881" s="0" t="inlineStr">
        <is>
          <t>Chennai Mobiles</t>
        </is>
      </c>
    </row>
    <row r="882">
      <c r="A882" s="0" t="inlineStr">
        <is>
          <t>Mithun Kumar FB</t>
        </is>
      </c>
    </row>
    <row r="883">
      <c r="A883" s="0" t="inlineStr">
        <is>
          <t>Shylaja Urja</t>
        </is>
      </c>
    </row>
    <row r="884">
      <c r="A884" s="0" t="inlineStr">
        <is>
          <t>Shankar Subramaniam FB</t>
        </is>
      </c>
    </row>
    <row r="885">
      <c r="A885" s="0" t="inlineStr">
        <is>
          <t>Hari Scl</t>
        </is>
      </c>
    </row>
    <row r="886">
      <c r="A886" s="0" t="inlineStr">
        <is>
          <t>Sowmiya ECE</t>
        </is>
      </c>
    </row>
    <row r="887">
      <c r="A887" s="0" t="inlineStr">
        <is>
          <t>ACT Fibernet Engineer</t>
        </is>
      </c>
    </row>
    <row r="888">
      <c r="A888" s="0" t="inlineStr">
        <is>
          <t>Yash Ford Finance</t>
        </is>
      </c>
    </row>
    <row r="889">
      <c r="A889" s="0" t="inlineStr">
        <is>
          <t>Raja Durai FB</t>
        </is>
      </c>
    </row>
    <row r="890">
      <c r="A890" s="0" t="inlineStr">
        <is>
          <t>Saran Cab Kumbakonam</t>
        </is>
      </c>
    </row>
    <row r="891">
      <c r="A891" s="0" t="inlineStr">
        <is>
          <t>Gajalakshmi IBM</t>
        </is>
      </c>
    </row>
    <row r="892">
      <c r="A892" s="0" t="inlineStr">
        <is>
          <t>Mithun shiva Scl</t>
        </is>
      </c>
    </row>
    <row r="893">
      <c r="A893" s="0" t="inlineStr">
        <is>
          <t>Thirumalai kumar FB</t>
        </is>
      </c>
    </row>
    <row r="894">
      <c r="A894" s="0" t="inlineStr">
        <is>
          <t>Selva Kumar FB Scl</t>
        </is>
      </c>
    </row>
    <row r="895">
      <c r="A895" s="0" t="inlineStr">
        <is>
          <t>Kowsalraj amaz</t>
        </is>
      </c>
    </row>
    <row r="896">
      <c r="A896" s="0" t="inlineStr">
        <is>
          <t>Ashok D4V</t>
        </is>
      </c>
    </row>
    <row r="897">
      <c r="A897" s="0" t="inlineStr">
        <is>
          <t>Muthu Raj ECE</t>
        </is>
      </c>
    </row>
    <row r="898">
      <c r="A898" s="0" t="inlineStr">
        <is>
          <t>Karthick lnt Grp</t>
        </is>
      </c>
    </row>
    <row r="899">
      <c r="A899" s="0" t="inlineStr">
        <is>
          <t>Srinivas Palli Verizon</t>
        </is>
      </c>
    </row>
    <row r="900">
      <c r="A900" s="0" t="inlineStr">
        <is>
          <t>Gifty ECE</t>
        </is>
      </c>
    </row>
    <row r="901">
      <c r="A901" s="0" t="inlineStr">
        <is>
          <t>Rishi Kanth Infy</t>
        </is>
      </c>
    </row>
    <row r="902">
      <c r="A902" s="0" t="inlineStr">
        <is>
          <t>Kannan Scl</t>
        </is>
      </c>
    </row>
    <row r="903">
      <c r="A903" s="0" t="inlineStr">
        <is>
          <t>Palani Accenture</t>
        </is>
      </c>
    </row>
    <row r="904">
      <c r="A904" s="0" t="inlineStr">
        <is>
          <t>Venkatesan S Mech</t>
        </is>
      </c>
    </row>
    <row r="905">
      <c r="A905" s="0" t="inlineStr">
        <is>
          <t>Siva Ranjan FB</t>
        </is>
      </c>
    </row>
    <row r="906">
      <c r="A906" s="0" t="inlineStr">
        <is>
          <t>Krishnan MuthuKrishnan FB</t>
        </is>
      </c>
    </row>
    <row r="907">
      <c r="A907" s="0" t="inlineStr">
        <is>
          <t>Mari Selvam Kprm Scl</t>
        </is>
      </c>
    </row>
    <row r="908">
      <c r="A908" s="0" t="inlineStr">
        <is>
          <t>Blessing Sam FB</t>
        </is>
      </c>
    </row>
    <row r="909">
      <c r="A909" s="0" t="inlineStr">
        <is>
          <t>ICICI- Bank Acc Opp Rep</t>
        </is>
      </c>
    </row>
    <row r="910">
      <c r="A910" s="0" t="inlineStr">
        <is>
          <t>Mohana Murali Urja</t>
        </is>
      </c>
    </row>
    <row r="911">
      <c r="A911" s="0" t="inlineStr">
        <is>
          <t>Gopi Auditor</t>
        </is>
      </c>
    </row>
    <row r="912">
      <c r="A912" s="0" t="inlineStr">
        <is>
          <t>Subash HCL</t>
        </is>
      </c>
    </row>
    <row r="913">
      <c r="A913" s="0" t="inlineStr">
        <is>
          <t>Kannan Civil</t>
        </is>
      </c>
    </row>
    <row r="914">
      <c r="A914" s="0" t="inlineStr">
        <is>
          <t>Vignesh Mariyan Urja</t>
        </is>
      </c>
    </row>
    <row r="915">
      <c r="A915" s="0" t="inlineStr">
        <is>
          <t>Ranjith Investment</t>
        </is>
      </c>
    </row>
    <row r="916">
      <c r="A916" s="0" t="inlineStr">
        <is>
          <t>Bharathi mam</t>
        </is>
      </c>
    </row>
    <row r="917">
      <c r="A917" s="0" t="inlineStr">
        <is>
          <t>Infy Uthaman Arockisamy</t>
        </is>
      </c>
    </row>
    <row r="918">
      <c r="A918" s="0" t="inlineStr">
        <is>
          <t>Prem Bro QS</t>
        </is>
      </c>
    </row>
    <row r="919">
      <c r="A919" s="0" t="inlineStr">
        <is>
          <t>RK Rasu FB</t>
        </is>
      </c>
    </row>
    <row r="920">
      <c r="A920" s="0" t="inlineStr">
        <is>
          <t>Cell Mount Icare</t>
        </is>
      </c>
    </row>
    <row r="921">
      <c r="A921" s="0" t="inlineStr">
        <is>
          <t>Arun Prem Prof</t>
        </is>
      </c>
    </row>
    <row r="922">
      <c r="A922" s="0" t="inlineStr">
        <is>
          <t>Arun Mozhi Urja</t>
        </is>
      </c>
    </row>
    <row r="923">
      <c r="A923" s="0" t="inlineStr">
        <is>
          <t>Saravanan Arjun Frd</t>
        </is>
      </c>
    </row>
    <row r="924">
      <c r="A924" s="0" t="inlineStr">
        <is>
          <t>Raja Pandian College</t>
        </is>
      </c>
    </row>
    <row r="925">
      <c r="A925" s="0" t="inlineStr">
        <is>
          <t>Jeba Seelam FB</t>
        </is>
      </c>
    </row>
    <row r="926">
      <c r="A926" s="0" t="inlineStr">
        <is>
          <t>Chandu(Ravi Bhai) Bhai</t>
        </is>
      </c>
    </row>
    <row r="927">
      <c r="A927" s="0" t="inlineStr">
        <is>
          <t>Robert Fdo FB</t>
        </is>
      </c>
    </row>
    <row r="928">
      <c r="A928" s="0" t="inlineStr">
        <is>
          <t>Jenifer Selvam FB</t>
        </is>
      </c>
    </row>
    <row r="929">
      <c r="A929" s="0" t="inlineStr">
        <is>
          <t>Arun Raj Scl</t>
        </is>
      </c>
    </row>
    <row r="930">
      <c r="A930" s="0" t="inlineStr">
        <is>
          <t>Ohm Prakash NDLF</t>
        </is>
      </c>
    </row>
    <row r="931">
      <c r="A931" s="0" t="inlineStr">
        <is>
          <t>Udayam Tailor Kundrathur</t>
        </is>
      </c>
    </row>
    <row r="932">
      <c r="A932" s="0" t="inlineStr">
        <is>
          <t>Vignesh Agasthian GP</t>
        </is>
      </c>
    </row>
    <row r="933">
      <c r="A933" s="0" t="inlineStr">
        <is>
          <t>Nagarajan Grp</t>
        </is>
      </c>
    </row>
    <row r="934">
      <c r="A934" s="0" t="inlineStr">
        <is>
          <t>Vinish Mukesh FB</t>
        </is>
      </c>
    </row>
    <row r="935">
      <c r="A935" s="0" t="inlineStr">
        <is>
          <t>Sagayaraj Anna Urja</t>
        </is>
      </c>
    </row>
    <row r="936">
      <c r="A936" s="0" t="inlineStr">
        <is>
          <t>Gunadev Kannan Mech</t>
        </is>
      </c>
    </row>
    <row r="937">
      <c r="A937" s="0" t="inlineStr">
        <is>
          <t>Varsha Girl</t>
        </is>
      </c>
    </row>
    <row r="938">
      <c r="A938" s="0" t="inlineStr">
        <is>
          <t>Akash Navanitha Krishnan Junior</t>
        </is>
      </c>
    </row>
    <row r="939">
      <c r="A939" s="0" t="inlineStr">
        <is>
          <t>Karthiga Mms</t>
        </is>
      </c>
    </row>
    <row r="940">
      <c r="A940" s="0" t="inlineStr">
        <is>
          <t>Sambavi Urja</t>
        </is>
      </c>
    </row>
    <row r="941">
      <c r="A941" s="0" t="inlineStr">
        <is>
          <t>Simon Van 4</t>
        </is>
      </c>
    </row>
    <row r="942">
      <c r="A942" s="0" t="inlineStr">
        <is>
          <t>Alex Pandian Civil</t>
        </is>
      </c>
    </row>
    <row r="943">
      <c r="A943" s="0" t="inlineStr">
        <is>
          <t>Jothi Narashiman Ndlf</t>
        </is>
      </c>
    </row>
    <row r="944">
      <c r="A944" s="0" t="inlineStr">
        <is>
          <t>Sethupiran Digital Tech</t>
        </is>
      </c>
    </row>
    <row r="945">
      <c r="A945" s="0" t="inlineStr">
        <is>
          <t>Marisa Bhupesh</t>
        </is>
      </c>
    </row>
    <row r="946">
      <c r="A946" s="0" t="inlineStr">
        <is>
          <t>Sakthivel Veera Brother</t>
        </is>
      </c>
    </row>
    <row r="947">
      <c r="A947" s="0" t="inlineStr">
        <is>
          <t>Lark leo FB</t>
        </is>
      </c>
    </row>
    <row r="948">
      <c r="A948" s="0" t="inlineStr">
        <is>
          <t>Issaki Scl</t>
        </is>
      </c>
    </row>
    <row r="949">
      <c r="A949" s="0" t="inlineStr">
        <is>
          <t>Tamil Selvam Civil</t>
        </is>
      </c>
    </row>
    <row r="950">
      <c r="A950" s="0" t="inlineStr">
        <is>
          <t>Tim Bus</t>
        </is>
      </c>
    </row>
    <row r="951">
      <c r="A951" s="0" t="inlineStr">
        <is>
          <t>Rakesh GV Bit</t>
        </is>
      </c>
    </row>
    <row r="952">
      <c r="A952" s="0" t="inlineStr">
        <is>
          <t>Vignesh CSE</t>
        </is>
      </c>
    </row>
    <row r="953">
      <c r="A953" s="0" t="inlineStr">
        <is>
          <t>Sakthi Civil</t>
        </is>
      </c>
    </row>
    <row r="954">
      <c r="A954" s="0" t="inlineStr">
        <is>
          <t>Makers Tribe Executive</t>
        </is>
      </c>
    </row>
    <row r="955">
      <c r="A955" s="0" t="inlineStr">
        <is>
          <t>Abi Grp</t>
        </is>
      </c>
    </row>
    <row r="956">
      <c r="A956" s="0" t="inlineStr">
        <is>
          <t>Revathy S</t>
        </is>
      </c>
    </row>
    <row r="957">
      <c r="A957" s="0" t="inlineStr">
        <is>
          <t>Praveen Elwin Junior</t>
        </is>
      </c>
    </row>
    <row r="958">
      <c r="A958" s="0" t="inlineStr">
        <is>
          <t>Krishna QA Urja</t>
        </is>
      </c>
    </row>
    <row r="959">
      <c r="A959" s="0" t="inlineStr">
        <is>
          <t>Jein Junior</t>
        </is>
      </c>
    </row>
    <row r="960">
      <c r="A960" s="0" t="inlineStr">
        <is>
          <t>Kumaran Sank scl</t>
        </is>
      </c>
    </row>
    <row r="961">
      <c r="A961" s="0" t="inlineStr">
        <is>
          <t>Venkat Ramanan Grp Ucen</t>
        </is>
      </c>
    </row>
    <row r="962">
      <c r="A962" s="0" t="inlineStr">
        <is>
          <t>Mayees Kumar Surya</t>
        </is>
      </c>
    </row>
    <row r="963">
      <c r="A963" s="0" t="inlineStr">
        <is>
          <t>Nishanth Reju FB</t>
        </is>
      </c>
    </row>
    <row r="964">
      <c r="A964" s="0" t="inlineStr">
        <is>
          <t>Arun Lakshmi Kanth Scl</t>
        </is>
      </c>
    </row>
    <row r="965">
      <c r="A965" s="0" t="inlineStr">
        <is>
          <t>MuniRaj Scl</t>
        </is>
      </c>
    </row>
    <row r="966">
      <c r="A966" s="0" t="inlineStr">
        <is>
          <t>Vignesh M Ucen Grp</t>
        </is>
      </c>
    </row>
    <row r="967">
      <c r="A967" s="0" t="inlineStr">
        <is>
          <t>Jack Jeeva Urja</t>
        </is>
      </c>
    </row>
    <row r="968">
      <c r="A968" s="0" t="inlineStr">
        <is>
          <t>Podili Penchalakumar Infy</t>
        </is>
      </c>
    </row>
    <row r="969">
      <c r="A969" s="0" t="inlineStr">
        <is>
          <t>Durai Murugan FB</t>
        </is>
      </c>
    </row>
    <row r="970">
      <c r="A970" s="0" t="inlineStr">
        <is>
          <t>Kirubavathi Urja</t>
        </is>
      </c>
    </row>
    <row r="971">
      <c r="A971" s="0" t="inlineStr">
        <is>
          <t>Ayyappan Palani Urja</t>
        </is>
      </c>
    </row>
    <row r="972">
      <c r="A972" s="0" t="inlineStr">
        <is>
          <t>Chinna Pandey FB</t>
        </is>
      </c>
    </row>
    <row r="973">
      <c r="A973" s="0" t="inlineStr">
        <is>
          <t>Muthu Krishnan FB</t>
        </is>
      </c>
    </row>
    <row r="974">
      <c r="A974" s="0" t="inlineStr">
        <is>
          <t>Yasha Yashasawi</t>
        </is>
      </c>
    </row>
    <row r="975">
      <c r="A975" s="0" t="inlineStr">
        <is>
          <t>Karthick Raja Grp Ucen</t>
        </is>
      </c>
    </row>
    <row r="976">
      <c r="A976" s="0" t="inlineStr">
        <is>
          <t>Pradeep Hari FB</t>
        </is>
      </c>
    </row>
    <row r="977">
      <c r="A977" s="0" t="inlineStr">
        <is>
          <t>Poorani Urja</t>
        </is>
      </c>
    </row>
    <row r="978">
      <c r="A978" s="0" t="inlineStr">
        <is>
          <t>Periyasamy Karuppiah FB</t>
        </is>
      </c>
    </row>
    <row r="979">
      <c r="A979" s="0" t="inlineStr">
        <is>
          <t>Thesingh raja Act Connect</t>
        </is>
      </c>
    </row>
    <row r="980">
      <c r="A980" s="0" t="inlineStr">
        <is>
          <t>Akil Amal Raj FB</t>
        </is>
      </c>
    </row>
    <row r="981">
      <c r="A981" s="0" t="inlineStr">
        <is>
          <t>Saravana Abimanu FB</t>
        </is>
      </c>
    </row>
    <row r="982">
      <c r="A982" s="0" t="inlineStr">
        <is>
          <t>NaveenRaj HCL</t>
        </is>
      </c>
    </row>
    <row r="983">
      <c r="A983" s="0" t="inlineStr">
        <is>
          <t>Jana MCity Icici Bank</t>
        </is>
      </c>
    </row>
    <row r="984">
      <c r="A984" s="0" t="inlineStr">
        <is>
          <t>Murugan Grp</t>
        </is>
      </c>
    </row>
    <row r="985">
      <c r="A985" s="0" t="inlineStr">
        <is>
          <t>Veera BE FB</t>
        </is>
      </c>
    </row>
    <row r="986">
      <c r="A986" s="0" t="inlineStr">
        <is>
          <t>Absar Abi FB</t>
        </is>
      </c>
    </row>
    <row r="987">
      <c r="A987" s="0" t="inlineStr">
        <is>
          <t>kalyanikumar Scl</t>
        </is>
      </c>
    </row>
    <row r="988">
      <c r="A988" s="0" t="inlineStr">
        <is>
          <t>Mohan Ram HCL</t>
        </is>
      </c>
    </row>
    <row r="989">
      <c r="A989" s="0" t="inlineStr">
        <is>
          <t>Balu TD Infy</t>
        </is>
      </c>
    </row>
    <row r="990">
      <c r="A990" s="0" t="inlineStr">
        <is>
          <t>Shiny ECE</t>
        </is>
      </c>
    </row>
    <row r="991">
      <c r="A991" s="0" t="inlineStr">
        <is>
          <t>Manoj HDFC Loan</t>
        </is>
      </c>
    </row>
    <row r="992">
      <c r="A992" s="0" t="inlineStr">
        <is>
          <t>Muthu Raj FB Scl</t>
        </is>
      </c>
    </row>
    <row r="993">
      <c r="A993" s="0" t="inlineStr">
        <is>
          <t>Santhya New</t>
        </is>
      </c>
    </row>
    <row r="994">
      <c r="A994" s="0" t="inlineStr">
        <is>
          <t>Rojina Ece</t>
        </is>
      </c>
    </row>
    <row r="995">
      <c r="A995" s="0" t="inlineStr">
        <is>
          <t>Selva Kumar Natarajan Grp Ucen</t>
        </is>
      </c>
    </row>
    <row r="996">
      <c r="A996" s="0" t="inlineStr">
        <is>
          <t>Vinoth</t>
        </is>
      </c>
    </row>
    <row r="997">
      <c r="A997" s="0" t="inlineStr">
        <is>
          <t>Poongavanam 2 HDFC</t>
        </is>
      </c>
    </row>
    <row r="998">
      <c r="A998" s="0" t="inlineStr">
        <is>
          <t>Amirtha Raj Ford</t>
        </is>
      </c>
    </row>
    <row r="999">
      <c r="A999" s="0" t="inlineStr">
        <is>
          <t>Baski Infy</t>
        </is>
      </c>
    </row>
    <row r="1000">
      <c r="A1000" s="0" t="inlineStr">
        <is>
          <t>Vicky S Junior grp</t>
        </is>
      </c>
    </row>
    <row r="1001">
      <c r="A1001" s="0" t="inlineStr">
        <is>
          <t>Sunil CTS</t>
        </is>
      </c>
    </row>
    <row r="1002">
      <c r="A1002" s="0" t="inlineStr">
        <is>
          <t>Surrendra Kumar</t>
        </is>
      </c>
    </row>
    <row r="1003">
      <c r="A1003" s="0" t="inlineStr">
        <is>
          <t>Suyambu Lingam FB</t>
        </is>
      </c>
    </row>
    <row r="1004">
      <c r="A1004" s="0" t="inlineStr">
        <is>
          <t>Suganth Junior GP</t>
        </is>
      </c>
    </row>
    <row r="1005">
      <c r="A1005" s="0" t="inlineStr">
        <is>
          <t>Wilbert Electrician Kund</t>
        </is>
      </c>
    </row>
    <row r="1006">
      <c r="A1006" s="0" t="inlineStr">
        <is>
          <t>Sivachala Pathi Urja</t>
        </is>
      </c>
    </row>
    <row r="1007">
      <c r="A1007" s="0" t="inlineStr">
        <is>
          <t>Manikandan Dharma</t>
        </is>
      </c>
    </row>
    <row r="1008">
      <c r="A1008" s="0" t="inlineStr">
        <is>
          <t>Sakthi Kannan MakersTribe</t>
        </is>
      </c>
    </row>
    <row r="1009">
      <c r="A1009" s="0" t="inlineStr">
        <is>
          <t>Vasee Garan FB</t>
        </is>
      </c>
    </row>
    <row r="1010">
      <c r="A1010" s="0" t="inlineStr">
        <is>
          <t>Sankar Praveen LI</t>
        </is>
      </c>
    </row>
    <row r="1011">
      <c r="A1011" s="0" t="inlineStr">
        <is>
          <t>Auto Kdnl</t>
        </is>
      </c>
    </row>
    <row r="1012">
      <c r="A1012" s="0" t="inlineStr">
        <is>
          <t>Sasi Junior</t>
        </is>
      </c>
    </row>
    <row r="1013">
      <c r="A1013" s="0" t="inlineStr">
        <is>
          <t>Shakeel Khan FB</t>
        </is>
      </c>
    </row>
    <row r="1014">
      <c r="A1014" s="0" t="inlineStr">
        <is>
          <t>Vivek Urja</t>
        </is>
      </c>
    </row>
    <row r="1015">
      <c r="A1015" s="0" t="inlineStr">
        <is>
          <t>Nirmal Raj Urja</t>
        </is>
      </c>
    </row>
    <row r="1016">
      <c r="A1016" s="0" t="inlineStr">
        <is>
          <t>Jotheeswaran FB</t>
        </is>
      </c>
    </row>
    <row r="1017">
      <c r="A1017" s="0" t="inlineStr">
        <is>
          <t>Venkatesh Infosys Verz</t>
        </is>
      </c>
    </row>
    <row r="1018">
      <c r="A1018" s="0" t="inlineStr">
        <is>
          <t>Manikandan Scl</t>
        </is>
      </c>
    </row>
    <row r="1019">
      <c r="A1019" s="0" t="inlineStr">
        <is>
          <t>Bhagya tours and travels</t>
        </is>
      </c>
    </row>
    <row r="1020">
      <c r="A1020" s="0" t="inlineStr">
        <is>
          <t>Karkki IT Awarness</t>
        </is>
      </c>
    </row>
    <row r="1021">
      <c r="A1021" s="0" t="inlineStr">
        <is>
          <t>Umanathan Bhumi</t>
        </is>
      </c>
    </row>
    <row r="1022">
      <c r="A1022" s="0" t="inlineStr">
        <is>
          <t>Vijaya Prabhu FB</t>
        </is>
      </c>
    </row>
    <row r="1023">
      <c r="A1023" s="0" t="inlineStr">
        <is>
          <t>Arul Bang</t>
        </is>
      </c>
    </row>
    <row r="1024">
      <c r="A1024" s="0" t="inlineStr">
        <is>
          <t>VishnuDas HCL</t>
        </is>
      </c>
    </row>
    <row r="1025">
      <c r="A1025" s="0" t="inlineStr">
        <is>
          <t>Siva Rajan Insta</t>
        </is>
      </c>
    </row>
    <row r="1026">
      <c r="A1026" s="0" t="inlineStr">
        <is>
          <t>Prasath Urja</t>
        </is>
      </c>
    </row>
    <row r="1027">
      <c r="A1027" s="0" t="inlineStr">
        <is>
          <t>Abdul Kadar Devops Urja</t>
        </is>
      </c>
    </row>
    <row r="1028">
      <c r="A1028" s="0" t="inlineStr">
        <is>
          <t>Deepak Murugan LinkedIn</t>
        </is>
      </c>
    </row>
    <row r="1029">
      <c r="A1029" s="0" t="inlineStr">
        <is>
          <t>Lenin Prof Ucen</t>
        </is>
      </c>
    </row>
    <row r="1030">
      <c r="A1030" s="0" t="inlineStr">
        <is>
          <t>Arthi Urja</t>
        </is>
      </c>
    </row>
    <row r="1031">
      <c r="A1031" s="0" t="inlineStr">
        <is>
          <t>SeKaR_MS Grp Ucen</t>
        </is>
      </c>
    </row>
    <row r="1032">
      <c r="A1032" s="0" t="inlineStr">
        <is>
          <t>Durai Dev FB</t>
        </is>
      </c>
    </row>
    <row r="1033">
      <c r="A1033" s="0" t="inlineStr">
        <is>
          <t>Manika Raj Civil</t>
        </is>
      </c>
    </row>
    <row r="1034">
      <c r="A1034" s="0" t="inlineStr">
        <is>
          <t>Karthik Loan Agent</t>
        </is>
      </c>
    </row>
    <row r="1035">
      <c r="A1035" s="0" t="inlineStr">
        <is>
          <t>Nandhini D4V</t>
        </is>
      </c>
    </row>
    <row r="1036">
      <c r="A1036" s="0" t="inlineStr">
        <is>
          <t>Surya Perla HCL</t>
        </is>
      </c>
    </row>
    <row r="1037">
      <c r="A1037" s="0" t="inlineStr">
        <is>
          <t>Fareed FB</t>
        </is>
      </c>
    </row>
    <row r="1038">
      <c r="A1038" s="0" t="inlineStr">
        <is>
          <t>Karmegam 2 Verz</t>
        </is>
      </c>
    </row>
    <row r="1039">
      <c r="A1039" s="0" t="inlineStr">
        <is>
          <t>Janani Bindhiah FB</t>
        </is>
      </c>
    </row>
    <row r="1040">
      <c r="A1040" s="0" t="inlineStr">
        <is>
          <t>Arun AK Scl FB</t>
        </is>
      </c>
    </row>
    <row r="1041">
      <c r="A1041" s="0" t="inlineStr">
        <is>
          <t>Bibin Inba kumar FB</t>
        </is>
      </c>
    </row>
    <row r="1042">
      <c r="A1042" s="0" t="inlineStr">
        <is>
          <t>Sai Keerthi Infy</t>
        </is>
      </c>
    </row>
    <row r="1043">
      <c r="A1043" s="0" t="inlineStr">
        <is>
          <t>Aravind Benz</t>
        </is>
      </c>
    </row>
    <row r="1044">
      <c r="A1044" s="0" t="inlineStr">
        <is>
          <t>Bavithran Clg</t>
        </is>
      </c>
    </row>
    <row r="1045">
      <c r="A1045" s="0" t="inlineStr">
        <is>
          <t>Ajith Raja Junior</t>
        </is>
      </c>
    </row>
    <row r="1046">
      <c r="A1046" s="0" t="inlineStr">
        <is>
          <t>ACT Shankar</t>
        </is>
      </c>
    </row>
    <row r="1047">
      <c r="A1047" s="0" t="inlineStr">
        <is>
          <t>Zia Safiy Grp Ucen</t>
        </is>
      </c>
    </row>
    <row r="1048">
      <c r="A1048" s="0" t="inlineStr">
        <is>
          <t>Karthikeya Owner</t>
        </is>
      </c>
    </row>
    <row r="1049">
      <c r="A1049" s="0" t="inlineStr">
        <is>
          <t>Kavin College</t>
        </is>
      </c>
    </row>
    <row r="1050">
      <c r="A1050" s="0" t="inlineStr">
        <is>
          <t>Abdul Rahman</t>
        </is>
      </c>
    </row>
    <row r="1051">
      <c r="A1051" s="0" t="inlineStr">
        <is>
          <t>Shankar ShankyBoy Verz</t>
        </is>
      </c>
    </row>
    <row r="1052">
      <c r="A1052" s="0" t="inlineStr">
        <is>
          <t>Karthikeyan Axis Bank</t>
        </is>
      </c>
    </row>
    <row r="1053">
      <c r="A1053" s="0" t="inlineStr">
        <is>
          <t>Aramudu Uncle</t>
        </is>
      </c>
    </row>
    <row r="1054">
      <c r="A1054" s="0" t="inlineStr">
        <is>
          <t>Manivannan LinkedIn</t>
        </is>
      </c>
    </row>
    <row r="1055">
      <c r="A1055" s="0" t="inlineStr">
        <is>
          <t>Vijay Sarathy FB</t>
        </is>
      </c>
    </row>
    <row r="1056">
      <c r="A1056" s="0" t="inlineStr">
        <is>
          <t>Ravi Mariappan Scl</t>
        </is>
      </c>
    </row>
    <row r="1057">
      <c r="A1057" s="0" t="inlineStr">
        <is>
          <t>Madasamy Scl</t>
        </is>
      </c>
    </row>
    <row r="1058">
      <c r="A1058" s="0" t="inlineStr">
        <is>
          <t>Maharaja Kprm Scl</t>
        </is>
      </c>
    </row>
    <row r="1059">
      <c r="A1059" s="0" t="inlineStr">
        <is>
          <t>Bhupesh Gharat</t>
        </is>
      </c>
    </row>
    <row r="1060">
      <c r="A1060" s="0" t="inlineStr">
        <is>
          <t>Mugesh ernesto Grp Junior</t>
        </is>
      </c>
    </row>
    <row r="1061">
      <c r="A1061" s="0" t="inlineStr">
        <is>
          <t>Siva Sankar</t>
        </is>
      </c>
    </row>
    <row r="1062">
      <c r="A1062" s="0" t="inlineStr">
        <is>
          <t>Silvia URJANET</t>
        </is>
      </c>
    </row>
    <row r="1063">
      <c r="A1063" s="0" t="inlineStr">
        <is>
          <t>Vignesh Aaru</t>
        </is>
      </c>
    </row>
    <row r="1064">
      <c r="A1064" s="0" t="inlineStr">
        <is>
          <t>Senthur Pandiyan Scl</t>
        </is>
      </c>
    </row>
    <row r="1065">
      <c r="A1065" s="0" t="inlineStr">
        <is>
          <t>Veni Saravanan</t>
        </is>
      </c>
    </row>
    <row r="1066">
      <c r="A1066" s="0" t="inlineStr">
        <is>
          <t>Mathivanan Urja</t>
        </is>
      </c>
    </row>
    <row r="1067">
      <c r="A1067" s="0" t="inlineStr">
        <is>
          <t>Anu Sopna Grp Ucen</t>
        </is>
      </c>
    </row>
    <row r="1068">
      <c r="A1068" s="0" t="inlineStr">
        <is>
          <t>Subha Mam</t>
        </is>
      </c>
    </row>
    <row r="1069">
      <c r="A1069" s="0" t="inlineStr">
        <is>
          <t>Suresh Raj Grp</t>
        </is>
      </c>
    </row>
    <row r="1070">
      <c r="A1070" s="0" t="inlineStr">
        <is>
          <t>Arun Pandi Urja</t>
        </is>
      </c>
    </row>
    <row r="1071">
      <c r="A1071" s="0" t="inlineStr">
        <is>
          <t>Muthu Athan. wf</t>
        </is>
      </c>
    </row>
    <row r="1072">
      <c r="A1072" s="0" t="inlineStr">
        <is>
          <t>Mano Prasath FB</t>
        </is>
      </c>
    </row>
    <row r="1073">
      <c r="A1073" s="0" t="inlineStr">
        <is>
          <t>Arun Kumar Infy</t>
        </is>
      </c>
    </row>
    <row r="1074">
      <c r="A1074" s="0" t="inlineStr">
        <is>
          <t>Jagathi Karthick</t>
        </is>
      </c>
    </row>
    <row r="1075">
      <c r="A1075" s="0" t="inlineStr">
        <is>
          <t>Sarakutty Junior</t>
        </is>
      </c>
    </row>
    <row r="1076">
      <c r="A1076" s="0" t="inlineStr">
        <is>
          <t>Vikash FB Urja</t>
        </is>
      </c>
    </row>
    <row r="1077">
      <c r="A1077" s="0" t="inlineStr">
        <is>
          <t>Saravanan Paulvannan</t>
        </is>
      </c>
    </row>
    <row r="1078">
      <c r="A1078" s="0" t="inlineStr">
        <is>
          <t>Rajesh Ford</t>
        </is>
      </c>
    </row>
    <row r="1079">
      <c r="A1079" s="0" t="inlineStr">
        <is>
          <t>Chandu Bhai</t>
        </is>
      </c>
    </row>
    <row r="1080">
      <c r="A1080" s="0" t="inlineStr">
        <is>
          <t>Alex V Grp Ucen</t>
        </is>
      </c>
    </row>
    <row r="1081">
      <c r="A1081" s="0" t="inlineStr">
        <is>
          <t>Senthil Teacher QS</t>
        </is>
      </c>
    </row>
    <row r="1082">
      <c r="A1082" s="0" t="inlineStr">
        <is>
          <t>Venkat Mech</t>
        </is>
      </c>
    </row>
    <row r="1083">
      <c r="A1083" s="0" t="inlineStr">
        <is>
          <t>Sathiesh Kumar Grp ucen</t>
        </is>
      </c>
    </row>
    <row r="1084">
      <c r="A1084" s="0" t="inlineStr">
        <is>
          <t>Shankar Parameshwaran Urja</t>
        </is>
      </c>
    </row>
    <row r="1085">
      <c r="A1085" s="0" t="inlineStr">
        <is>
          <t>MangeshRajan Infy</t>
        </is>
      </c>
    </row>
    <row r="1086">
      <c r="A1086" s="0" t="inlineStr">
        <is>
          <t>Jagan Packyaraj FB</t>
        </is>
      </c>
    </row>
    <row r="1087">
      <c r="A1087" s="0" t="inlineStr">
        <is>
          <t>Kailasam Kprm Scl</t>
        </is>
      </c>
    </row>
    <row r="1088">
      <c r="A1088" s="0" t="inlineStr">
        <is>
          <t>Vigneshwaran Yoga Urja</t>
        </is>
      </c>
    </row>
    <row r="1089">
      <c r="A1089" s="0" t="inlineStr">
        <is>
          <t>Gayathri Urja</t>
        </is>
      </c>
    </row>
    <row r="1090">
      <c r="A1090" s="0" t="inlineStr">
        <is>
          <t>Siva Cheliyen FB</t>
        </is>
      </c>
    </row>
    <row r="1091">
      <c r="A1091" s="0" t="inlineStr">
        <is>
          <t>Velu civil</t>
        </is>
      </c>
    </row>
    <row r="1092">
      <c r="A1092" s="0" t="inlineStr">
        <is>
          <t>Muthu Selvam Civil</t>
        </is>
      </c>
    </row>
    <row r="1093">
      <c r="A1093" s="0" t="inlineStr">
        <is>
          <t>SuganthRaj Junior</t>
        </is>
      </c>
    </row>
    <row r="1094">
      <c r="A1094" s="0" t="inlineStr">
        <is>
          <t>Guna Sankara Scl</t>
        </is>
      </c>
    </row>
    <row r="1095">
      <c r="A1095" s="0" t="inlineStr">
        <is>
          <t>Pradeep Grp Ucen</t>
        </is>
      </c>
    </row>
    <row r="1096">
      <c r="A1096" s="0" t="inlineStr">
        <is>
          <t>Balan Ram FB</t>
        </is>
      </c>
    </row>
    <row r="1097">
      <c r="A1097" s="0" t="inlineStr">
        <is>
          <t>VenkiSubbu Urja</t>
        </is>
      </c>
    </row>
    <row r="1098">
      <c r="A1098" s="0" t="inlineStr">
        <is>
          <t>Magesh Narwal Magesh</t>
        </is>
      </c>
    </row>
    <row r="1099">
      <c r="A1099" s="0" t="inlineStr">
        <is>
          <t>Sivaraman Gopal FB</t>
        </is>
      </c>
    </row>
    <row r="1100">
      <c r="A1100" s="0" t="inlineStr">
        <is>
          <t>Ram Sundar Scl</t>
        </is>
      </c>
    </row>
    <row r="1101">
      <c r="A1101" s="0" t="inlineStr">
        <is>
          <t>Arjun GP</t>
        </is>
      </c>
    </row>
    <row r="1102">
      <c r="A1102" s="0" t="inlineStr">
        <is>
          <t>Vignesh Periyasamy Fb</t>
        </is>
      </c>
    </row>
    <row r="1103">
      <c r="A1103" s="0" t="inlineStr">
        <is>
          <t>Naveenraj Dharmalingam FB</t>
        </is>
      </c>
    </row>
    <row r="1104">
      <c r="A1104" s="0" t="inlineStr">
        <is>
          <t>Raja Kutty FB</t>
        </is>
      </c>
    </row>
    <row r="1105">
      <c r="A1105" s="0" t="inlineStr">
        <is>
          <t>Suresh Urja</t>
        </is>
      </c>
    </row>
    <row r="1106">
      <c r="A1106" s="0" t="inlineStr">
        <is>
          <t>Sakthi Grp</t>
        </is>
      </c>
    </row>
    <row r="1107">
      <c r="A1107" s="0" t="inlineStr">
        <is>
          <t>Balaji Urja</t>
        </is>
      </c>
    </row>
    <row r="1108">
      <c r="A1108" s="0" t="inlineStr">
        <is>
          <t>Vimal Raj Junior FB</t>
        </is>
      </c>
    </row>
    <row r="1109">
      <c r="A1109" s="0" t="inlineStr">
        <is>
          <t>Muthu Kumar SS Scl</t>
        </is>
      </c>
    </row>
    <row r="1110">
      <c r="A1110" s="0" t="inlineStr">
        <is>
          <t>Pravin Kumar Grp ucen</t>
        </is>
      </c>
    </row>
    <row r="1111">
      <c r="A1111" s="0" t="inlineStr">
        <is>
          <t>Ramasubramanian Mano Insta</t>
        </is>
      </c>
    </row>
    <row r="1112">
      <c r="A1112" s="0" t="inlineStr">
        <is>
          <t>Fathima Haanim Grp</t>
        </is>
      </c>
    </row>
    <row r="1113">
      <c r="A1113" s="0" t="inlineStr">
        <is>
          <t>Bala Prabha FB</t>
        </is>
      </c>
    </row>
    <row r="1114">
      <c r="A1114" s="0" t="inlineStr">
        <is>
          <t>Omnitya Urja</t>
        </is>
      </c>
    </row>
    <row r="1115">
      <c r="A1115" s="0" t="inlineStr">
        <is>
          <t>Raja Durai NDLF</t>
        </is>
      </c>
    </row>
    <row r="1116">
      <c r="A1116" s="0" t="inlineStr">
        <is>
          <t>Padma Kumar FB</t>
        </is>
      </c>
    </row>
    <row r="1117">
      <c r="A1117" s="0" t="inlineStr">
        <is>
          <t>Samuvel FB</t>
        </is>
      </c>
    </row>
    <row r="1118">
      <c r="A1118" s="0" t="inlineStr">
        <is>
          <t>Parsana jun. qs</t>
        </is>
      </c>
    </row>
    <row r="1119">
      <c r="A1119" s="0" t="inlineStr">
        <is>
          <t>Sailendra Urja</t>
        </is>
      </c>
    </row>
    <row r="1120">
      <c r="A1120" s="0" t="inlineStr">
        <is>
          <t>Gnanam Prakash FB</t>
        </is>
      </c>
    </row>
    <row r="1121">
      <c r="A1121" s="0" t="inlineStr">
        <is>
          <t>Balaji Bala FB</t>
        </is>
      </c>
    </row>
    <row r="1122">
      <c r="A1122" s="0" t="inlineStr">
        <is>
          <t>Jagadeesh FB</t>
        </is>
      </c>
    </row>
    <row r="1123">
      <c r="A1123" s="0" t="inlineStr">
        <is>
          <t>Gokul CMDB Verz</t>
        </is>
      </c>
    </row>
    <row r="1124">
      <c r="A1124" s="0" t="inlineStr">
        <is>
          <t>Prakash Ravi HR HCL</t>
        </is>
      </c>
    </row>
    <row r="1125">
      <c r="A1125" s="0" t="inlineStr">
        <is>
          <t>Manis Edwin FB</t>
        </is>
      </c>
    </row>
    <row r="1126">
      <c r="A1126" s="0" t="inlineStr">
        <is>
          <t>Subin Sundar Grp ucen</t>
        </is>
      </c>
    </row>
    <row r="1127">
      <c r="A1127" s="0" t="inlineStr">
        <is>
          <t>Mahendran Scl PulianG</t>
        </is>
      </c>
    </row>
    <row r="1128">
      <c r="A1128" s="0" t="inlineStr">
        <is>
          <t>Ajith kumar FB</t>
        </is>
      </c>
    </row>
    <row r="1129">
      <c r="A1129" s="0" t="inlineStr">
        <is>
          <t>Karthick Palanisamy Urja</t>
        </is>
      </c>
    </row>
    <row r="1130">
      <c r="A1130" s="0" t="inlineStr">
        <is>
          <t>Satheesh Thiyagaraj FB</t>
        </is>
      </c>
    </row>
    <row r="1131">
      <c r="A1131" s="0" t="inlineStr">
        <is>
          <t>Mahesh Madasamy Fb</t>
        </is>
      </c>
    </row>
    <row r="1132">
      <c r="A1132" s="0" t="inlineStr">
        <is>
          <t>Arunraj Ganesan Scl</t>
        </is>
      </c>
    </row>
    <row r="1133">
      <c r="A1133" s="0" t="inlineStr">
        <is>
          <t>Benstin Grp Ucen</t>
        </is>
      </c>
    </row>
    <row r="1134">
      <c r="A1134" s="0" t="inlineStr">
        <is>
          <t>Ravan TG</t>
        </is>
      </c>
    </row>
    <row r="1135">
      <c r="A1135" s="0" t="inlineStr">
        <is>
          <t>Dhivya Arunachalam Urja</t>
        </is>
      </c>
    </row>
    <row r="1136">
      <c r="A1136" s="0" t="inlineStr">
        <is>
          <t>SHOURYA B Tech SMEC</t>
        </is>
      </c>
    </row>
    <row r="1137">
      <c r="A1137" s="0" t="inlineStr">
        <is>
          <t>Dhivyansh Infy</t>
        </is>
      </c>
    </row>
    <row r="1138">
      <c r="A1138" s="0" t="inlineStr">
        <is>
          <t>Muruganath Kutty FB</t>
        </is>
      </c>
    </row>
    <row r="1139">
      <c r="A1139" s="0" t="inlineStr">
        <is>
          <t>Thanumoorthy Grp Ucen</t>
        </is>
      </c>
    </row>
    <row r="1140">
      <c r="A1140" s="0" t="inlineStr">
        <is>
          <t>Paul Jeya Singh Nadar Scl</t>
        </is>
      </c>
    </row>
    <row r="1141">
      <c r="A1141" s="0" t="inlineStr">
        <is>
          <t>Babu Civil</t>
        </is>
      </c>
    </row>
    <row r="1142">
      <c r="A1142" s="0" t="inlineStr">
        <is>
          <t>Samsul Hutha</t>
        </is>
      </c>
    </row>
    <row r="1143">
      <c r="A1143" s="0" t="inlineStr">
        <is>
          <t>Raja Ganapathy FB</t>
        </is>
      </c>
    </row>
    <row r="1144">
      <c r="A1144" s="0" t="inlineStr">
        <is>
          <t>Second Meetings Doc Shop</t>
        </is>
      </c>
    </row>
    <row r="1145">
      <c r="A1145" s="0" t="inlineStr">
        <is>
          <t>Mithra ECE</t>
        </is>
      </c>
    </row>
    <row r="1146">
      <c r="A1146" s="0" t="inlineStr">
        <is>
          <t>Appa Mobile</t>
        </is>
      </c>
    </row>
    <row r="1147">
      <c r="A1147" s="0" t="inlineStr">
        <is>
          <t>Thanga Paresh Grp Ucen</t>
        </is>
      </c>
    </row>
    <row r="1148">
      <c r="A1148" s="0" t="inlineStr">
        <is>
          <t>Anathasankar FB</t>
        </is>
      </c>
    </row>
    <row r="1149">
      <c r="A1149" s="0" t="inlineStr">
        <is>
          <t>Thimothy Pallipati RM</t>
        </is>
      </c>
    </row>
    <row r="1150">
      <c r="A1150" s="0" t="inlineStr">
        <is>
          <t>Ratheesh FB</t>
        </is>
      </c>
    </row>
    <row r="1151">
      <c r="A1151" s="0" t="inlineStr">
        <is>
          <t>Prabakaran HCL</t>
        </is>
      </c>
    </row>
    <row r="1152">
      <c r="A1152" s="0" t="inlineStr">
        <is>
          <t>iPlanet Thoraipakkam</t>
        </is>
      </c>
    </row>
    <row r="1153">
      <c r="A1153" s="0" t="inlineStr">
        <is>
          <t>Antony Scl</t>
        </is>
      </c>
    </row>
    <row r="1154">
      <c r="A1154" s="0" t="inlineStr">
        <is>
          <t>Kishore civil</t>
        </is>
      </c>
    </row>
    <row r="1155">
      <c r="A1155" s="0" t="inlineStr">
        <is>
          <t>Surya Palani FB</t>
        </is>
      </c>
    </row>
    <row r="1156">
      <c r="A1156" s="0" t="inlineStr">
        <is>
          <t>Jai Kumar Mech</t>
        </is>
      </c>
    </row>
    <row r="1157">
      <c r="A1157" s="0" t="inlineStr">
        <is>
          <t>Ganeshavel-New Bang</t>
        </is>
      </c>
    </row>
    <row r="1158">
      <c r="A1158" s="0" t="inlineStr">
        <is>
          <t>Vijay Praveen TCS Bike</t>
        </is>
      </c>
    </row>
    <row r="1159">
      <c r="A1159" s="0" t="inlineStr">
        <is>
          <t>Ravi Infosys Verz</t>
        </is>
      </c>
    </row>
    <row r="1160">
      <c r="A1160" s="0" t="inlineStr">
        <is>
          <t>Rambabu Urja</t>
        </is>
      </c>
    </row>
    <row r="1161">
      <c r="A1161" s="0" t="inlineStr">
        <is>
          <t>Murugan Junior FB</t>
        </is>
      </c>
    </row>
    <row r="1162">
      <c r="A1162" s="0" t="inlineStr">
        <is>
          <t>Rohit Nallapatti Infy</t>
        </is>
      </c>
    </row>
    <row r="1163">
      <c r="A1163" s="0" t="inlineStr">
        <is>
          <t>Naveen Kumar Tools Urja</t>
        </is>
      </c>
    </row>
    <row r="1164">
      <c r="A1164" s="0" t="inlineStr">
        <is>
          <t>Ajith kumar Sanjeev FB</t>
        </is>
      </c>
    </row>
    <row r="1165">
      <c r="A1165" s="0" t="inlineStr">
        <is>
          <t>Ranjith FB Bang</t>
        </is>
      </c>
    </row>
    <row r="1166">
      <c r="A1166" s="0" t="inlineStr">
        <is>
          <t>Raj Shamu Scl</t>
        </is>
      </c>
    </row>
    <row r="1167">
      <c r="A1167" s="0" t="inlineStr">
        <is>
          <t>Poovizhli Raja FB</t>
        </is>
      </c>
    </row>
    <row r="1168">
      <c r="A1168" s="0" t="inlineStr">
        <is>
          <t>David Verz</t>
        </is>
      </c>
    </row>
    <row r="1169">
      <c r="A1169" s="0" t="inlineStr">
        <is>
          <t>Sunil Infy Charter</t>
        </is>
      </c>
    </row>
    <row r="1170">
      <c r="A1170" s="0" t="inlineStr">
        <is>
          <t>Poomani Cab Kundrathur</t>
        </is>
      </c>
    </row>
    <row r="1171">
      <c r="A1171" s="0" t="inlineStr">
        <is>
          <t>Jebastine FB</t>
        </is>
      </c>
    </row>
    <row r="1172">
      <c r="A1172" s="0" t="inlineStr">
        <is>
          <t>Tamil Loan Home center</t>
        </is>
      </c>
    </row>
    <row r="1173">
      <c r="A1173" s="0" t="inlineStr">
        <is>
          <t>Aamani Urja</t>
        </is>
      </c>
    </row>
    <row r="1174">
      <c r="A1174" s="0" t="inlineStr">
        <is>
          <t>Akil FB</t>
        </is>
      </c>
    </row>
    <row r="1175">
      <c r="A1175" s="0" t="inlineStr">
        <is>
          <t>Bervin Grp Ucen</t>
        </is>
      </c>
    </row>
    <row r="1176">
      <c r="A1176" s="0" t="inlineStr">
        <is>
          <t>Muhilan M vel FB</t>
        </is>
      </c>
    </row>
    <row r="1177">
      <c r="A1177" s="0" t="inlineStr">
        <is>
          <t>Thenesh Siva Grp Ucen</t>
        </is>
      </c>
    </row>
    <row r="1178">
      <c r="A1178" s="0" t="inlineStr">
        <is>
          <t>Jeya Chandran FB</t>
        </is>
      </c>
    </row>
    <row r="1179">
      <c r="A1179" s="0" t="inlineStr">
        <is>
          <t>Sankar HCL</t>
        </is>
      </c>
    </row>
    <row r="1180">
      <c r="A1180" s="0" t="inlineStr">
        <is>
          <t>Chinna Junior FB</t>
        </is>
      </c>
    </row>
    <row r="1181">
      <c r="A1181" s="0" t="inlineStr">
        <is>
          <t>Nivas Kumar Grp Ucen</t>
        </is>
      </c>
    </row>
    <row r="1182">
      <c r="A1182" s="0" t="inlineStr">
        <is>
          <t>Gobal Krishnan Infy</t>
        </is>
      </c>
    </row>
    <row r="1183">
      <c r="A1183" s="0" t="inlineStr">
        <is>
          <t>Sathya Fazil Grp Ucen</t>
        </is>
      </c>
    </row>
    <row r="1184">
      <c r="A1184" s="0" t="inlineStr">
        <is>
          <t>Ravi Bhai</t>
        </is>
      </c>
    </row>
    <row r="1185">
      <c r="A1185" s="0" t="inlineStr">
        <is>
          <t>Swami Urja</t>
        </is>
      </c>
    </row>
    <row r="1186">
      <c r="A1186" s="0" t="inlineStr">
        <is>
          <t>Xperia Helpline</t>
        </is>
      </c>
    </row>
    <row r="1187">
      <c r="A1187" s="0" t="inlineStr">
        <is>
          <t>Jeyasuraja FB</t>
        </is>
      </c>
    </row>
    <row r="1188">
      <c r="A1188" s="0" t="inlineStr">
        <is>
          <t>Boopathy Raja FB</t>
        </is>
      </c>
    </row>
    <row r="1189">
      <c r="A1189" s="0" t="inlineStr">
        <is>
          <t>Dhayanithi Ford</t>
        </is>
      </c>
    </row>
    <row r="1190">
      <c r="A1190" s="0" t="inlineStr">
        <is>
          <t>Shiva kumar K FB</t>
        </is>
      </c>
    </row>
    <row r="1191">
      <c r="A1191" s="0" t="inlineStr">
        <is>
          <t>Bins Urja</t>
        </is>
      </c>
    </row>
    <row r="1192">
      <c r="A1192" s="0" t="inlineStr">
        <is>
          <t>Karthi Bolt Civil</t>
        </is>
      </c>
    </row>
    <row r="1193">
      <c r="A1193" s="0" t="inlineStr">
        <is>
          <t>Jerin Grp Ucen</t>
        </is>
      </c>
    </row>
    <row r="1194">
      <c r="A1194" s="0" t="inlineStr">
        <is>
          <t>Vignesh Bala Grp Ucen</t>
        </is>
      </c>
    </row>
    <row r="1195">
      <c r="A1195" s="0" t="inlineStr">
        <is>
          <t>Ashwin Rajendran Urja</t>
        </is>
      </c>
    </row>
    <row r="1196">
      <c r="A1196" s="0" t="inlineStr">
        <is>
          <t>Sithanandham Infosys</t>
        </is>
      </c>
    </row>
    <row r="1197">
      <c r="A1197" s="0" t="inlineStr">
        <is>
          <t>JP Anna</t>
        </is>
      </c>
    </row>
    <row r="1198">
      <c r="A1198" s="0" t="inlineStr">
        <is>
          <t>Subir Telegram</t>
        </is>
      </c>
    </row>
    <row r="1199">
      <c r="A1199" s="0" t="inlineStr">
        <is>
          <t>Urjanet Landline</t>
        </is>
      </c>
    </row>
    <row r="1200">
      <c r="A1200" s="0" t="inlineStr">
        <is>
          <t>Karthick Captain FB</t>
        </is>
      </c>
    </row>
    <row r="1201">
      <c r="A1201" s="0" t="inlineStr">
        <is>
          <t>Chidambaram Grp Ucen</t>
        </is>
      </c>
    </row>
    <row r="1202">
      <c r="A1202" s="0" t="inlineStr">
        <is>
          <t>MBala Ganeshan FB</t>
        </is>
      </c>
    </row>
    <row r="1203">
      <c r="A1203" s="0" t="inlineStr">
        <is>
          <t>Madhan QS</t>
        </is>
      </c>
    </row>
    <row r="1204">
      <c r="A1204" s="0" t="inlineStr">
        <is>
          <t>Shama Infant Grp</t>
        </is>
      </c>
    </row>
    <row r="1205">
      <c r="A1205" s="0" t="inlineStr">
        <is>
          <t>Raj Anto FB</t>
        </is>
      </c>
    </row>
    <row r="1206">
      <c r="A1206" s="0" t="inlineStr">
        <is>
          <t>Inba Raj FB</t>
        </is>
      </c>
    </row>
    <row r="1207">
      <c r="A1207" s="0" t="inlineStr">
        <is>
          <t>Karthiga Nirmal Dilkush</t>
        </is>
      </c>
    </row>
    <row r="1208">
      <c r="A1208" s="0" t="inlineStr">
        <is>
          <t>Parama Sivan FB</t>
        </is>
      </c>
    </row>
    <row r="1209">
      <c r="A1209" s="0" t="inlineStr">
        <is>
          <t>Arul Bangalore</t>
        </is>
      </c>
    </row>
    <row r="1210">
      <c r="A1210" s="0" t="inlineStr">
        <is>
          <t>Sound</t>
        </is>
      </c>
    </row>
    <row r="1211">
      <c r="A1211" s="0" t="inlineStr">
        <is>
          <t>Micheal Jebin FB</t>
        </is>
      </c>
    </row>
    <row r="1212">
      <c r="A1212" s="0" t="inlineStr">
        <is>
          <t>Kavi Grp Ucen</t>
        </is>
      </c>
    </row>
    <row r="1213">
      <c r="A1213" s="0" t="inlineStr">
        <is>
          <t>Vicky GVS</t>
        </is>
      </c>
    </row>
    <row r="1214">
      <c r="A1214" s="0" t="inlineStr">
        <is>
          <t>Sundhar Icici</t>
        </is>
      </c>
    </row>
    <row r="1215">
      <c r="A1215" s="0" t="inlineStr">
        <is>
          <t>Raavan Scl</t>
        </is>
      </c>
    </row>
    <row r="1216">
      <c r="A1216" s="0" t="inlineStr">
        <is>
          <t>Karthickyan FB</t>
        </is>
      </c>
    </row>
    <row r="1217">
      <c r="A1217" s="0" t="inlineStr">
        <is>
          <t>சிம்சோன் FB</t>
        </is>
      </c>
    </row>
    <row r="1218">
      <c r="A1218" s="0" t="inlineStr">
        <is>
          <t>Chitra CKR ECE</t>
        </is>
      </c>
    </row>
    <row r="1219">
      <c r="A1219" s="0" t="inlineStr">
        <is>
          <t>Abihilash Abhi FB</t>
        </is>
      </c>
    </row>
    <row r="1220">
      <c r="A1220" s="0" t="inlineStr">
        <is>
          <t>Ramasamy Infosys Verz</t>
        </is>
      </c>
    </row>
    <row r="1221">
      <c r="A1221" s="0" t="inlineStr">
        <is>
          <t>Kumar A Sanka Scl</t>
        </is>
      </c>
    </row>
    <row r="1222">
      <c r="A1222" s="0" t="inlineStr">
        <is>
          <t>Prassanna Urja</t>
        </is>
      </c>
    </row>
    <row r="1223">
      <c r="A1223" s="0" t="inlineStr">
        <is>
          <t>Raja Mariappan Scl</t>
        </is>
      </c>
    </row>
    <row r="1224">
      <c r="A1224" s="0" t="inlineStr">
        <is>
          <t>Priyaa Junior Grp</t>
        </is>
      </c>
    </row>
    <row r="1225">
      <c r="A1225" s="0" t="inlineStr">
        <is>
          <t>Malathi Urja</t>
        </is>
      </c>
    </row>
    <row r="1226">
      <c r="A1226" s="0" t="inlineStr">
        <is>
          <t>Janani Meetup</t>
        </is>
      </c>
    </row>
    <row r="1227">
      <c r="A1227" s="0" t="inlineStr">
        <is>
          <t>Arulteen Prof Ucen</t>
        </is>
      </c>
    </row>
    <row r="1228">
      <c r="A1228" s="0" t="inlineStr">
        <is>
          <t>Elavarasan Grp Ucen</t>
        </is>
      </c>
    </row>
    <row r="1229">
      <c r="A1229" s="0" t="inlineStr">
        <is>
          <t>Ragav D4V</t>
        </is>
      </c>
    </row>
    <row r="1230">
      <c r="A1230" s="0" t="inlineStr">
        <is>
          <t>Selva Kumar FB</t>
        </is>
      </c>
    </row>
    <row r="1231">
      <c r="A1231" s="0" t="inlineStr">
        <is>
          <t>Mathanmani Hnuc Scl</t>
        </is>
      </c>
    </row>
    <row r="1232">
      <c r="A1232" s="0" t="inlineStr">
        <is>
          <t>Anath Kumar Urja</t>
        </is>
      </c>
    </row>
    <row r="1233">
      <c r="A1233" s="0" t="inlineStr">
        <is>
          <t>Selva Chandran Grp Ucen</t>
        </is>
      </c>
    </row>
    <row r="1234">
      <c r="A1234" s="0" t="inlineStr">
        <is>
          <t>Selva Tech Mahendra</t>
        </is>
      </c>
    </row>
    <row r="1235">
      <c r="A1235" s="0" t="inlineStr">
        <is>
          <t>Ambavarapu Yamini HCL</t>
        </is>
      </c>
    </row>
    <row r="1236">
      <c r="A1236" s="0" t="inlineStr">
        <is>
          <t>Kandhavel Tele</t>
        </is>
      </c>
    </row>
    <row r="1237">
      <c r="A1237" s="0" t="inlineStr">
        <is>
          <t>Sivakumar Home</t>
        </is>
      </c>
    </row>
    <row r="1238">
      <c r="A1238" s="0" t="inlineStr">
        <is>
          <t>Jijitha Infy</t>
        </is>
      </c>
    </row>
    <row r="1239">
      <c r="A1239" s="0" t="inlineStr">
        <is>
          <t>RajaGobal Infy</t>
        </is>
      </c>
    </row>
    <row r="1240">
      <c r="A1240" s="0" t="inlineStr">
        <is>
          <t>Ezhutholai BW</t>
        </is>
      </c>
    </row>
    <row r="1241">
      <c r="A1241" s="0" t="inlineStr">
        <is>
          <t>Parvati Sharma Verz</t>
        </is>
      </c>
    </row>
    <row r="1242">
      <c r="A1242" s="0" t="inlineStr">
        <is>
          <t>Agathya Group Ruthracham</t>
        </is>
      </c>
    </row>
    <row r="1243">
      <c r="A1243" s="0" t="inlineStr">
        <is>
          <t>Neela ECE</t>
        </is>
      </c>
    </row>
    <row r="1244">
      <c r="A1244" s="0" t="inlineStr">
        <is>
          <t>Srinivasan Satt</t>
        </is>
      </c>
    </row>
    <row r="1245">
      <c r="A1245" s="0" t="inlineStr">
        <is>
          <t>Selva Murugan Nadar Scl</t>
        </is>
      </c>
    </row>
    <row r="1246">
      <c r="A1246" s="0" t="inlineStr">
        <is>
          <t>Alagarsamy Infy</t>
        </is>
      </c>
    </row>
    <row r="1247">
      <c r="A1247" s="0" t="inlineStr">
        <is>
          <t>Rajan Rjr FB</t>
        </is>
      </c>
    </row>
    <row r="1248">
      <c r="A1248" s="0" t="inlineStr">
        <is>
          <t>Arun Jason FB</t>
        </is>
      </c>
    </row>
    <row r="1249">
      <c r="A1249" s="0" t="inlineStr">
        <is>
          <t>PichaiKumar FB</t>
        </is>
      </c>
    </row>
    <row r="1250">
      <c r="A1250" s="0" t="inlineStr">
        <is>
          <t>Sirajudeen Home</t>
        </is>
      </c>
    </row>
    <row r="1251">
      <c r="A1251" s="0" t="inlineStr">
        <is>
          <t>Yaswanth Home</t>
        </is>
      </c>
    </row>
    <row r="1252">
      <c r="A1252" s="0" t="inlineStr">
        <is>
          <t>Vikram Infy</t>
        </is>
      </c>
    </row>
    <row r="1253">
      <c r="A1253" s="0" t="inlineStr">
        <is>
          <t>Home Landline</t>
        </is>
      </c>
    </row>
    <row r="1254">
      <c r="A1254" s="0" t="inlineStr">
        <is>
          <t>Prem Kumar Scl Fb</t>
        </is>
      </c>
    </row>
    <row r="1255">
      <c r="A1255" s="0" t="inlineStr">
        <is>
          <t>Vinoth Kumar Fb</t>
        </is>
      </c>
    </row>
    <row r="1256">
      <c r="A1256" s="0" t="inlineStr">
        <is>
          <t>Niyazkhan qs Urja</t>
        </is>
      </c>
    </row>
    <row r="1257">
      <c r="A1257" s="0" t="inlineStr">
        <is>
          <t>Ganesh Natarajan Meetup</t>
        </is>
      </c>
    </row>
    <row r="1258">
      <c r="A1258" s="0" t="inlineStr">
        <is>
          <t>Muthuraja Puli Scl</t>
        </is>
      </c>
    </row>
    <row r="1259">
      <c r="A1259" s="0" t="inlineStr">
        <is>
          <t>Uvraj Uvi FB</t>
        </is>
      </c>
    </row>
    <row r="1260">
      <c r="A1260" s="0" t="inlineStr">
        <is>
          <t>Annan</t>
        </is>
      </c>
    </row>
    <row r="1261">
      <c r="A1261" s="0" t="inlineStr">
        <is>
          <t>Pawan Kumar Prajapati HCL</t>
        </is>
      </c>
    </row>
    <row r="1262">
      <c r="A1262" s="0" t="inlineStr">
        <is>
          <t>Vignesh Bang</t>
        </is>
      </c>
    </row>
    <row r="1263">
      <c r="A1263" s="0" t="inlineStr">
        <is>
          <t>Manoj Thanga Durai Urja</t>
        </is>
      </c>
    </row>
    <row r="1264">
      <c r="A1264" s="0" t="inlineStr">
        <is>
          <t>Muthu Kumeresan FB</t>
        </is>
      </c>
    </row>
    <row r="1265">
      <c r="A1265" s="0" t="inlineStr">
        <is>
          <t>Vinoth Kannan Scl</t>
        </is>
      </c>
    </row>
    <row r="1266">
      <c r="A1266" s="0" t="inlineStr">
        <is>
          <t>Pujari Urja</t>
        </is>
      </c>
    </row>
    <row r="1267">
      <c r="A1267" s="0" t="inlineStr">
        <is>
          <t>Backyalakshmi Urja</t>
        </is>
      </c>
    </row>
    <row r="1268">
      <c r="A1268" s="0" t="inlineStr">
        <is>
          <t>Alagu Raja Urja</t>
        </is>
      </c>
    </row>
    <row r="1269">
      <c r="A1269" s="0" t="inlineStr">
        <is>
          <t>Vijay Kundrathur Nearby</t>
        </is>
      </c>
    </row>
    <row r="1270">
      <c r="A1270" s="0" t="inlineStr">
        <is>
          <t>Vinoth Gobal FB</t>
        </is>
      </c>
    </row>
    <row r="1271">
      <c r="A1271" s="0" t="inlineStr">
        <is>
          <t>Arunraja raja Mech</t>
        </is>
      </c>
    </row>
    <row r="1272">
      <c r="A1272" s="0" t="inlineStr">
        <is>
          <t>Anto Aravind FB</t>
        </is>
      </c>
    </row>
    <row r="1273">
      <c r="A1273" s="0" t="inlineStr">
        <is>
          <t>Nagaraj Plumber</t>
        </is>
      </c>
    </row>
    <row r="1274">
      <c r="A1274" s="0" t="inlineStr">
        <is>
          <t>Gangadharan GS Grp Ucen</t>
        </is>
      </c>
    </row>
    <row r="1275">
      <c r="A1275" s="0" t="inlineStr">
        <is>
          <t>KaviArasu Verz</t>
        </is>
      </c>
    </row>
    <row r="1276">
      <c r="A1276" s="0" t="inlineStr">
        <is>
          <t>Saran Kumar Urja</t>
        </is>
      </c>
    </row>
    <row r="1277">
      <c r="A1277" s="0" t="inlineStr">
        <is>
          <t>Ashwin Pradeep FB</t>
        </is>
      </c>
    </row>
    <row r="1278">
      <c r="A1278" s="0" t="inlineStr">
        <is>
          <t>Gavrav Awatade Infy</t>
        </is>
      </c>
    </row>
    <row r="1279">
      <c r="A1279" s="0" t="inlineStr">
        <is>
          <t>Boobathi Kumar Infy</t>
        </is>
      </c>
    </row>
    <row r="1280">
      <c r="A1280" s="0" t="inlineStr">
        <is>
          <t>Manikandan Kadayam</t>
        </is>
      </c>
    </row>
    <row r="1281">
      <c r="A1281" s="0" t="inlineStr">
        <is>
          <t>Suresh Kanan FB</t>
        </is>
      </c>
    </row>
    <row r="1282">
      <c r="A1282" s="0" t="inlineStr">
        <is>
          <t>Nithis Roi FB</t>
        </is>
      </c>
    </row>
    <row r="1283">
      <c r="A1283" s="0" t="inlineStr">
        <is>
          <t>Suren Grp</t>
        </is>
      </c>
    </row>
    <row r="1284">
      <c r="A1284" s="0" t="inlineStr">
        <is>
          <t>AravindSamy Urja</t>
        </is>
      </c>
    </row>
    <row r="1285">
      <c r="A1285" s="0" t="inlineStr">
        <is>
          <t>Dharun Grp Ucen</t>
        </is>
      </c>
    </row>
    <row r="1286">
      <c r="A1286" s="0" t="inlineStr">
        <is>
          <t>Arun Veda Ranish FB</t>
        </is>
      </c>
    </row>
    <row r="1287">
      <c r="A1287" s="0" t="inlineStr">
        <is>
          <t>Muthu kumar Scl Kprm</t>
        </is>
      </c>
    </row>
    <row r="1288">
      <c r="A1288" s="0" t="inlineStr">
        <is>
          <t>Priya HR Urja</t>
        </is>
      </c>
    </row>
    <row r="1289">
      <c r="A1289" s="0" t="inlineStr">
        <is>
          <t>Ramesh Siva Insta</t>
        </is>
      </c>
    </row>
    <row r="1290">
      <c r="A1290" s="0" t="inlineStr">
        <is>
          <t>Ganesh Muthu FB</t>
        </is>
      </c>
    </row>
    <row r="1291">
      <c r="A1291" s="0" t="inlineStr">
        <is>
          <t>Gopinath Qa</t>
        </is>
      </c>
    </row>
    <row r="1292">
      <c r="A1292" s="0" t="inlineStr">
        <is>
          <t>Anand Mech FB</t>
        </is>
      </c>
    </row>
    <row r="1293">
      <c r="A1293" s="0" t="inlineStr">
        <is>
          <t>Vaḻikāṭṭiyāṉa</t>
        </is>
      </c>
    </row>
    <row r="1294">
      <c r="A1294" s="0" t="inlineStr">
        <is>
          <t>Saibu Siddiq FB</t>
        </is>
      </c>
    </row>
    <row r="1295">
      <c r="A1295" s="0" t="inlineStr">
        <is>
          <t>Sathiesh 1styr</t>
        </is>
      </c>
    </row>
    <row r="1296">
      <c r="A1296" s="0" t="inlineStr">
        <is>
          <t>Mahendran Murugan Scl</t>
        </is>
      </c>
    </row>
    <row r="1297">
      <c r="A1297" s="0" t="inlineStr">
        <is>
          <t>Subramanianbala Grp Ucen</t>
        </is>
      </c>
    </row>
    <row r="1298">
      <c r="A1298" s="0" t="inlineStr">
        <is>
          <t>Rajkumar urjan</t>
        </is>
      </c>
    </row>
    <row r="1299">
      <c r="A1299" s="0" t="inlineStr">
        <is>
          <t>Jagan WFP</t>
        </is>
      </c>
    </row>
    <row r="1300">
      <c r="A1300" s="0" t="inlineStr">
        <is>
          <t>Pavithran FB</t>
        </is>
      </c>
    </row>
    <row r="1301">
      <c r="A1301" s="0" t="inlineStr">
        <is>
          <t>lingesh Civil</t>
        </is>
      </c>
    </row>
    <row r="1302">
      <c r="A1302" s="0" t="inlineStr">
        <is>
          <t>Nishanth Owner</t>
        </is>
      </c>
    </row>
    <row r="1303">
      <c r="A1303" s="0" t="inlineStr">
        <is>
          <t>Kumar Junior Grp</t>
        </is>
      </c>
    </row>
    <row r="1304">
      <c r="A1304" s="0" t="inlineStr">
        <is>
          <t>Arun Kumar Kalari OMR</t>
        </is>
      </c>
    </row>
    <row r="1305">
      <c r="A1305" s="0" t="inlineStr">
        <is>
          <t>Poongavanam HDFC</t>
        </is>
      </c>
    </row>
    <row r="1306">
      <c r="A1306" s="0" t="inlineStr">
        <is>
          <t>Ashwin Kumar LOA</t>
        </is>
      </c>
    </row>
    <row r="1307">
      <c r="A1307" s="0" t="inlineStr">
        <is>
          <t>Sidco Ruben Grp Ucen</t>
        </is>
      </c>
    </row>
    <row r="1308">
      <c r="A1308" s="0" t="inlineStr">
        <is>
          <t>Mirhashim Ali Urja</t>
        </is>
      </c>
    </row>
    <row r="1309">
      <c r="A1309" s="0" t="inlineStr">
        <is>
          <t>MOHAMED USSAK SUHAIL FB</t>
        </is>
      </c>
    </row>
    <row r="1310">
      <c r="A1310" s="0" t="inlineStr">
        <is>
          <t>Kalyan TG</t>
        </is>
      </c>
    </row>
    <row r="1311">
      <c r="A1311" s="0" t="inlineStr">
        <is>
          <t>Sayali Patil Infy</t>
        </is>
      </c>
    </row>
    <row r="1312">
      <c r="A1312" s="0" t="inlineStr">
        <is>
          <t>Sharan Thailand</t>
        </is>
      </c>
    </row>
    <row r="1313">
      <c r="A1313" s="0" t="inlineStr">
        <is>
          <t>Diassusairaj Insta</t>
        </is>
      </c>
    </row>
    <row r="1314">
      <c r="A1314" s="0" t="inlineStr">
        <is>
          <t>Saravanan muthu Verz</t>
        </is>
      </c>
    </row>
    <row r="1315">
      <c r="A1315" s="0" t="inlineStr">
        <is>
          <t>Karthick G FB</t>
        </is>
      </c>
    </row>
    <row r="1316">
      <c r="A1316" s="0" t="inlineStr">
        <is>
          <t>Rajesh Ext Urja</t>
        </is>
      </c>
    </row>
    <row r="1317">
      <c r="A1317" s="0" t="inlineStr">
        <is>
          <t>Halith Ismail Sank Scl</t>
        </is>
      </c>
    </row>
    <row r="1318">
      <c r="A1318" s="0" t="inlineStr">
        <is>
          <t>Priyanka Infy</t>
        </is>
      </c>
    </row>
    <row r="1319">
      <c r="A1319" s="0" t="inlineStr">
        <is>
          <t>Jana MMS</t>
        </is>
      </c>
    </row>
    <row r="1320">
      <c r="A1320" s="0" t="inlineStr">
        <is>
          <t>Infosys-ccd</t>
        </is>
      </c>
    </row>
    <row r="1321">
      <c r="A1321" s="0" t="inlineStr">
        <is>
          <t>Kavin Tools Urja</t>
        </is>
      </c>
    </row>
    <row r="1322">
      <c r="A1322" s="0" t="inlineStr">
        <is>
          <t>Pragatheesh Urja</t>
        </is>
      </c>
    </row>
    <row r="1323">
      <c r="A1323" s="0" t="inlineStr">
        <is>
          <t>Hanial B Daniel Mech</t>
        </is>
      </c>
    </row>
    <row r="1324">
      <c r="A1324" s="0" t="inlineStr">
        <is>
          <t>Nanban Auto Bai-kdnl</t>
        </is>
      </c>
    </row>
    <row r="1325">
      <c r="A1325" s="0" t="inlineStr">
        <is>
          <t>Vigneshwaran FB</t>
        </is>
      </c>
    </row>
    <row r="1326">
      <c r="A1326" s="0" t="inlineStr">
        <is>
          <t>Sri Hari Raja FB</t>
        </is>
      </c>
    </row>
    <row r="1327">
      <c r="A1327" s="0" t="inlineStr">
        <is>
          <t>Vargees Scl</t>
        </is>
      </c>
    </row>
    <row r="1328">
      <c r="A1328" s="0" t="inlineStr">
        <is>
          <t>Karthikeyan GP</t>
        </is>
      </c>
    </row>
    <row r="1329">
      <c r="A1329" s="0" t="inlineStr">
        <is>
          <t>Mohit Room Madipakkam</t>
        </is>
      </c>
    </row>
    <row r="1330">
      <c r="A1330" s="0" t="inlineStr">
        <is>
          <t>Kasi Rajan NDLF</t>
        </is>
      </c>
    </row>
    <row r="1331">
      <c r="A1331" s="0" t="inlineStr">
        <is>
          <t>Saisrujan HCL</t>
        </is>
      </c>
    </row>
    <row r="1332">
      <c r="A1332" s="0" t="inlineStr">
        <is>
          <t>Sai Krishna CMDB Verz</t>
        </is>
      </c>
    </row>
    <row r="1333">
      <c r="A1333" s="0" t="inlineStr">
        <is>
          <t>Pragatheesh Insta</t>
        </is>
      </c>
    </row>
    <row r="1334">
      <c r="A1334" s="0" t="inlineStr">
        <is>
          <t>Abdul Kani</t>
        </is>
      </c>
    </row>
    <row r="1335">
      <c r="A1335" s="0" t="inlineStr">
        <is>
          <t>Saran S Casagrand</t>
        </is>
      </c>
    </row>
    <row r="1336">
      <c r="A1336" s="0" t="inlineStr">
        <is>
          <t>Anuj  Alex Grp Ucen</t>
        </is>
      </c>
    </row>
    <row r="1337">
      <c r="A1337" s="0" t="inlineStr">
        <is>
          <t>Shankar Pickyourtrail</t>
        </is>
      </c>
    </row>
    <row r="1338">
      <c r="A1338" s="0" t="inlineStr">
        <is>
          <t>Karthick FB</t>
        </is>
      </c>
    </row>
    <row r="1339">
      <c r="A1339" s="0" t="inlineStr">
        <is>
          <t>Manoj Grp Ucen</t>
        </is>
      </c>
    </row>
    <row r="1340">
      <c r="A1340" s="0" t="inlineStr">
        <is>
          <t>Auslin Binth Grp Ucen</t>
        </is>
      </c>
    </row>
    <row r="1341">
      <c r="A1341" s="0" t="inlineStr">
        <is>
          <t>Mathew Infy</t>
        </is>
      </c>
    </row>
    <row r="1342">
      <c r="A1342" s="0" t="inlineStr">
        <is>
          <t>Sakshi Infy</t>
        </is>
      </c>
    </row>
    <row r="1343">
      <c r="A1343" s="0" t="inlineStr">
        <is>
          <t>LP Phoniex</t>
        </is>
      </c>
    </row>
    <row r="1344">
      <c r="A1344" s="0" t="inlineStr">
        <is>
          <t>Purushothaman Urja</t>
        </is>
      </c>
    </row>
    <row r="1345">
      <c r="A1345" s="0" t="inlineStr">
        <is>
          <t>Karthick Karthick FB</t>
        </is>
      </c>
    </row>
    <row r="1346">
      <c r="A1346" s="0" t="inlineStr">
        <is>
          <t>Shiva Shell-Vel</t>
        </is>
      </c>
    </row>
    <row r="1347">
      <c r="A1347" s="0" t="inlineStr">
        <is>
          <t>Karthi - Science Scl</t>
        </is>
      </c>
    </row>
    <row r="1348">
      <c r="A1348" s="0" t="inlineStr">
        <is>
          <t>Vijaykumar Nadar Scl</t>
        </is>
      </c>
    </row>
    <row r="1349">
      <c r="A1349" s="0" t="inlineStr">
        <is>
          <t>Elbin Lindsey FB</t>
        </is>
      </c>
    </row>
    <row r="1350">
      <c r="A1350" s="0" t="inlineStr">
        <is>
          <t>Elango Selvam FB</t>
        </is>
      </c>
    </row>
    <row r="1351">
      <c r="A1351" s="0" t="inlineStr">
        <is>
          <t>Vivek Anbu FB</t>
        </is>
      </c>
    </row>
    <row r="1352">
      <c r="A1352" s="0" t="inlineStr">
        <is>
          <t>Kumaran Infosys</t>
        </is>
      </c>
    </row>
    <row r="1353">
      <c r="A1353" s="0" t="inlineStr">
        <is>
          <t>Ajay Stefin Grp</t>
        </is>
      </c>
    </row>
    <row r="1354">
      <c r="A1354" s="0" t="inlineStr">
        <is>
          <t>Aravinth Kumar Verz</t>
        </is>
      </c>
    </row>
    <row r="1355">
      <c r="A1355" s="0" t="inlineStr">
        <is>
          <t>Anosh FB</t>
        </is>
      </c>
    </row>
    <row r="1356">
      <c r="A1356" s="0" t="inlineStr">
        <is>
          <t>Pooja Urja</t>
        </is>
      </c>
    </row>
    <row r="1357">
      <c r="A1357" s="0" t="inlineStr">
        <is>
          <t>Hari Hara Sudhan FB</t>
        </is>
      </c>
    </row>
    <row r="1358">
      <c r="A1358" s="0" t="inlineStr">
        <is>
          <t>Vins Zomato</t>
        </is>
      </c>
    </row>
    <row r="1359">
      <c r="A1359" s="0" t="inlineStr">
        <is>
          <t>Priya D4V</t>
        </is>
      </c>
    </row>
    <row r="1360">
      <c r="A1360" s="0" t="inlineStr">
        <is>
          <t>Sekar CSE</t>
        </is>
      </c>
    </row>
    <row r="1361">
      <c r="A1361" s="0" t="inlineStr">
        <is>
          <t>Stephen Melki FB</t>
        </is>
      </c>
    </row>
    <row r="1362">
      <c r="A1362" s="0" t="inlineStr">
        <is>
          <t>Deepak Urja</t>
        </is>
      </c>
    </row>
    <row r="1363">
      <c r="A1363" s="0" t="inlineStr">
        <is>
          <t>Arun Infy</t>
        </is>
      </c>
    </row>
    <row r="1364">
      <c r="A1364" s="0" t="inlineStr">
        <is>
          <t>Mathavan mstr</t>
        </is>
      </c>
    </row>
    <row r="1365">
      <c r="A1365" s="0" t="inlineStr">
        <is>
          <t>Stephen Scl</t>
        </is>
      </c>
    </row>
    <row r="1366">
      <c r="A1366" s="0" t="inlineStr">
        <is>
          <t>Surya ahrya</t>
        </is>
      </c>
    </row>
    <row r="1367">
      <c r="A1367" s="0" t="inlineStr">
        <is>
          <t>Goutham Infy</t>
        </is>
      </c>
    </row>
    <row r="1368">
      <c r="A1368" s="0" t="inlineStr">
        <is>
          <t>Sudha Junior Grp</t>
        </is>
      </c>
    </row>
    <row r="1369">
      <c r="A1369" s="0" t="inlineStr">
        <is>
          <t>Hasan Ibrahim Scl</t>
        </is>
      </c>
    </row>
    <row r="1370">
      <c r="A1370" s="0" t="inlineStr">
        <is>
          <t>Vignesh Pandiyan FB</t>
        </is>
      </c>
    </row>
    <row r="1371">
      <c r="A1371" s="0" t="inlineStr">
        <is>
          <t>Anand Muthusamy HCL</t>
        </is>
      </c>
    </row>
    <row r="1372">
      <c r="A1372" s="0" t="inlineStr">
        <is>
          <t>Mugilan FB</t>
        </is>
      </c>
    </row>
    <row r="1373">
      <c r="A1373" s="0" t="inlineStr">
        <is>
          <t>Mari Ganesh FB</t>
        </is>
      </c>
    </row>
    <row r="1374">
      <c r="A1374" s="0" t="inlineStr">
        <is>
          <t>Golla Mallikarjuna Infy</t>
        </is>
      </c>
    </row>
    <row r="1375">
      <c r="A1375" s="0" t="inlineStr">
        <is>
          <t>Raja Kathir FB</t>
        </is>
      </c>
    </row>
    <row r="1376">
      <c r="A1376" s="0" t="inlineStr">
        <is>
          <t>Kumaresan Urja</t>
        </is>
      </c>
    </row>
    <row r="1377">
      <c r="A1377" s="0" t="inlineStr">
        <is>
          <t>Mani Subramaniyan FB</t>
        </is>
      </c>
    </row>
    <row r="1378">
      <c r="A1378" s="0" t="inlineStr">
        <is>
          <t>SriChandana</t>
        </is>
      </c>
    </row>
    <row r="1379">
      <c r="A1379" s="0" t="inlineStr">
        <is>
          <t>Jillu Suman FB</t>
        </is>
      </c>
    </row>
    <row r="1380">
      <c r="A1380" s="0" t="inlineStr">
        <is>
          <t>Velmurugan Urja</t>
        </is>
      </c>
    </row>
    <row r="1381">
      <c r="A1381" s="0" t="inlineStr">
        <is>
          <t>Theiva Anadha Balan FB</t>
        </is>
      </c>
    </row>
    <row r="1382">
      <c r="A1382" s="0" t="inlineStr">
        <is>
          <t>Kalpana PL</t>
        </is>
      </c>
    </row>
    <row r="1383">
      <c r="A1383" s="0" t="inlineStr">
        <is>
          <t>Mario Anto Joseph FB</t>
        </is>
      </c>
    </row>
    <row r="1384">
      <c r="A1384" s="0" t="inlineStr">
        <is>
          <t>Guganesh FB</t>
        </is>
      </c>
    </row>
    <row r="1385">
      <c r="A1385" s="0" t="inlineStr">
        <is>
          <t>Priyanka Urja</t>
        </is>
      </c>
    </row>
    <row r="1386">
      <c r="A1386" s="0" t="inlineStr">
        <is>
          <t>Selva Scl</t>
        </is>
      </c>
    </row>
    <row r="1387">
      <c r="A1387" s="0" t="inlineStr">
        <is>
          <t>Arun Fracklin FB</t>
        </is>
      </c>
    </row>
    <row r="1388">
      <c r="A1388" s="0" t="inlineStr">
        <is>
          <t>Act Engineer Kund</t>
        </is>
      </c>
    </row>
    <row r="1389">
      <c r="A1389" s="0" t="inlineStr">
        <is>
          <t>Dinesh Kumar Mech</t>
        </is>
      </c>
    </row>
    <row r="1390">
      <c r="A1390" s="0" t="inlineStr">
        <is>
          <t>Meena Urja</t>
        </is>
      </c>
    </row>
    <row r="1391">
      <c r="A1391" s="0" t="inlineStr">
        <is>
          <t>RojaSri Urjanet</t>
        </is>
      </c>
    </row>
    <row r="1392">
      <c r="A1392" s="0" t="inlineStr">
        <is>
          <t>Jith Ajith FB</t>
        </is>
      </c>
    </row>
    <row r="1393">
      <c r="A1393" s="0" t="inlineStr">
        <is>
          <t>PaN Card KDNL</t>
        </is>
      </c>
    </row>
    <row r="1394">
      <c r="A1394" s="0" t="inlineStr">
        <is>
          <t>Abhinav</t>
        </is>
      </c>
    </row>
    <row r="1395">
      <c r="A1395" s="0" t="inlineStr">
        <is>
          <t>Santha TL Infy</t>
        </is>
      </c>
    </row>
    <row r="1396">
      <c r="A1396" s="0" t="inlineStr">
        <is>
          <t>Eswariayyadurai Grp</t>
        </is>
      </c>
    </row>
    <row r="1397">
      <c r="A1397" s="0" t="inlineStr">
        <is>
          <t>Karthick Sola FB</t>
        </is>
      </c>
    </row>
    <row r="1398">
      <c r="A1398" s="0" t="inlineStr">
        <is>
          <t>Bala Thangam FB</t>
        </is>
      </c>
    </row>
    <row r="1399">
      <c r="A1399" s="0" t="inlineStr">
        <is>
          <t>Firose Bannu</t>
        </is>
      </c>
    </row>
    <row r="1400">
      <c r="A1400" s="0" t="inlineStr">
        <is>
          <t>Ashwin Grp ucen</t>
        </is>
      </c>
    </row>
    <row r="1401">
      <c r="A1401" s="0" t="inlineStr">
        <is>
          <t>Laxmanan TM Verz</t>
        </is>
      </c>
    </row>
    <row r="1402">
      <c r="A1402" s="0" t="inlineStr">
        <is>
          <t>Swathilakshmi Elite Nutrition</t>
        </is>
      </c>
    </row>
    <row r="1403">
      <c r="A1403" s="0" t="inlineStr">
        <is>
          <t>Vicky BB</t>
        </is>
      </c>
    </row>
    <row r="1404">
      <c r="A1404" s="0" t="inlineStr">
        <is>
          <t>M K Saravanan FB</t>
        </is>
      </c>
    </row>
    <row r="1405">
      <c r="A1405" s="0" t="inlineStr">
        <is>
          <t>Prabakaran Mech</t>
        </is>
      </c>
    </row>
    <row r="1406">
      <c r="A1406" s="0" t="inlineStr">
        <is>
          <t>Venkatesh Karupasamy FB</t>
        </is>
      </c>
    </row>
    <row r="1407">
      <c r="A1407" s="0" t="inlineStr">
        <is>
          <t>Brindha ECE</t>
        </is>
      </c>
    </row>
    <row r="1408">
      <c r="A1408" s="0" t="inlineStr">
        <is>
          <t>Raja Pandiyan Clg</t>
        </is>
      </c>
    </row>
    <row r="1409">
      <c r="A1409" s="0" t="inlineStr">
        <is>
          <t>VelMurugan Mech</t>
        </is>
      </c>
    </row>
    <row r="1410">
      <c r="A1410" s="0" t="inlineStr">
        <is>
          <t>Sathish ja. eve</t>
        </is>
      </c>
    </row>
    <row r="1411">
      <c r="A1411" s="0" t="inlineStr">
        <is>
          <t>SermaRaj FB</t>
        </is>
      </c>
    </row>
    <row r="1412">
      <c r="A1412" s="0" t="inlineStr">
        <is>
          <t>Krishnan Urja</t>
        </is>
      </c>
    </row>
    <row r="1413">
      <c r="A1413" s="0" t="inlineStr">
        <is>
          <t>Madhan Nadar Scl</t>
        </is>
      </c>
    </row>
    <row r="1414">
      <c r="A1414" s="0" t="inlineStr">
        <is>
          <t>Utpal Singh HCL</t>
        </is>
      </c>
    </row>
    <row r="1415">
      <c r="A1415" s="0" t="inlineStr">
        <is>
          <t>Vaira Muthu Grp Ucen</t>
        </is>
      </c>
    </row>
    <row r="1416">
      <c r="A1416" s="0" t="inlineStr">
        <is>
          <t>Anzar Anz GP</t>
        </is>
      </c>
    </row>
    <row r="1417">
      <c r="A1417" s="0" t="inlineStr">
        <is>
          <t>Vishnu Cab Kdnl</t>
        </is>
      </c>
    </row>
    <row r="1418">
      <c r="A1418" s="0" t="inlineStr">
        <is>
          <t>Naveen Urja</t>
        </is>
      </c>
    </row>
    <row r="1419">
      <c r="A1419" s="0" t="inlineStr">
        <is>
          <t>Mahesh Kumar FB</t>
        </is>
      </c>
    </row>
    <row r="1420">
      <c r="A1420" s="0" t="inlineStr">
        <is>
          <t>Karthick Palani BW</t>
        </is>
      </c>
    </row>
    <row r="1421">
      <c r="A1421" s="0" t="inlineStr">
        <is>
          <t>Manikandan Ifco</t>
        </is>
      </c>
    </row>
    <row r="1422">
      <c r="A1422" s="0" t="inlineStr">
        <is>
          <t>Akka Vodafone</t>
        </is>
      </c>
    </row>
    <row r="1423">
      <c r="A1423" s="0" t="inlineStr">
        <is>
          <t>Joel Johnson Insta</t>
        </is>
      </c>
    </row>
    <row r="1424">
      <c r="A1424" s="0" t="inlineStr">
        <is>
          <t>KG Prasath FB</t>
        </is>
      </c>
    </row>
    <row r="1425">
      <c r="A1425" s="0" t="inlineStr">
        <is>
          <t>Puzhalvanan Junior</t>
        </is>
      </c>
    </row>
    <row r="1426">
      <c r="A1426" s="0" t="inlineStr">
        <is>
          <t>Tamilselvan Ramanathan FB</t>
        </is>
      </c>
    </row>
    <row r="1427">
      <c r="A1427" s="0" t="inlineStr">
        <is>
          <t>Essakiraja FB</t>
        </is>
      </c>
    </row>
    <row r="1428">
      <c r="A1428" s="0" t="inlineStr">
        <is>
          <t>Vivekanandan FB</t>
        </is>
      </c>
    </row>
    <row r="1429">
      <c r="A1429" s="0" t="inlineStr">
        <is>
          <t>B DuraiRaj Bofili</t>
        </is>
      </c>
    </row>
    <row r="1430">
      <c r="A1430" s="0" t="inlineStr">
        <is>
          <t>Jeya Kumar Amirtha Praksh</t>
        </is>
      </c>
    </row>
    <row r="1431">
      <c r="A1431" s="0" t="inlineStr">
        <is>
          <t>Gautham Karthick FB</t>
        </is>
      </c>
    </row>
    <row r="1432">
      <c r="A1432" s="0" t="inlineStr">
        <is>
          <t>Mohammad Rimzan HCL</t>
        </is>
      </c>
    </row>
    <row r="1433">
      <c r="A1433" s="0" t="inlineStr">
        <is>
          <t>Sneha jeni Ucen Grp</t>
        </is>
      </c>
    </row>
    <row r="1434">
      <c r="A1434" s="0" t="inlineStr">
        <is>
          <t>Bala Murugan Urja</t>
        </is>
      </c>
    </row>
    <row r="1435">
      <c r="A1435" s="0" t="inlineStr">
        <is>
          <t>Nithish R FB</t>
        </is>
      </c>
    </row>
    <row r="1436">
      <c r="A1436" s="0" t="inlineStr">
        <is>
          <t>Shajahan Ford Ford</t>
        </is>
      </c>
    </row>
    <row r="1437">
      <c r="A1437" s="0" t="inlineStr">
        <is>
          <t>BalaGuru Urja</t>
        </is>
      </c>
    </row>
    <row r="1438">
      <c r="A1438" s="0" t="inlineStr">
        <is>
          <t>Guru sp Scl</t>
        </is>
      </c>
    </row>
    <row r="1439">
      <c r="A1439" s="0" t="inlineStr">
        <is>
          <t>Pavithran qs</t>
        </is>
      </c>
    </row>
    <row r="1440">
      <c r="A1440" s="0" t="inlineStr">
        <is>
          <t>Kesava Ram FB</t>
        </is>
      </c>
    </row>
    <row r="1441">
      <c r="A1441" s="0" t="inlineStr">
        <is>
          <t>Naren Civil</t>
        </is>
      </c>
    </row>
    <row r="1442">
      <c r="A1442" s="0" t="inlineStr">
        <is>
          <t>Sundar Singh Scl</t>
        </is>
      </c>
    </row>
    <row r="1443">
      <c r="A1443" s="0" t="inlineStr">
        <is>
          <t>Al Ameen Mech</t>
        </is>
      </c>
    </row>
    <row r="1444">
      <c r="A1444" s="0" t="inlineStr">
        <is>
          <t>Kesavan Civil</t>
        </is>
      </c>
    </row>
    <row r="1445">
      <c r="A1445" s="0" t="inlineStr">
        <is>
          <t>Mages</t>
        </is>
      </c>
    </row>
    <row r="1446">
      <c r="A1446" s="0" t="inlineStr">
        <is>
          <t>Gopi Ravichandran FB</t>
        </is>
      </c>
    </row>
    <row r="1447">
      <c r="A1447" s="0" t="inlineStr">
        <is>
          <t>Hari Sudhan Scl FB</t>
        </is>
      </c>
    </row>
    <row r="1448">
      <c r="A1448" s="0" t="inlineStr">
        <is>
          <t>Joyal Fransis Junior</t>
        </is>
      </c>
    </row>
    <row r="1449">
      <c r="A1449" s="0" t="inlineStr">
        <is>
          <t>Ravinard Insta</t>
        </is>
      </c>
    </row>
    <row r="1450">
      <c r="A1450" s="0" t="inlineStr">
        <is>
          <t>Raja Kumar FB</t>
        </is>
      </c>
    </row>
    <row r="1451">
      <c r="A1451" s="0" t="inlineStr">
        <is>
          <t>Ashok Avd FB</t>
        </is>
      </c>
    </row>
    <row r="1452">
      <c r="A1452" s="0" t="inlineStr">
        <is>
          <t>Magesh Duabi FB</t>
        </is>
      </c>
    </row>
    <row r="1453">
      <c r="A1453" s="0" t="inlineStr">
        <is>
          <t>Pan Change Poonamallee</t>
        </is>
      </c>
    </row>
    <row r="1454">
      <c r="A1454" s="0" t="inlineStr">
        <is>
          <t>Jagan Raj FB</t>
        </is>
      </c>
    </row>
    <row r="1455">
      <c r="A1455" s="0" t="inlineStr">
        <is>
          <t>ASHOK KUMAR Hnuc Scl</t>
        </is>
      </c>
    </row>
    <row r="1456">
      <c r="A1456" s="0" t="inlineStr">
        <is>
          <t>Iyappan L&amp;T</t>
        </is>
      </c>
    </row>
    <row r="1457">
      <c r="A1457" s="0" t="inlineStr">
        <is>
          <t>Manokar Scl</t>
        </is>
      </c>
    </row>
    <row r="1458">
      <c r="A1458" s="0" t="inlineStr">
        <is>
          <t>Rajesh Sharma Grp</t>
        </is>
      </c>
    </row>
    <row r="1459">
      <c r="A1459" s="0" t="inlineStr">
        <is>
          <t>Karthick Anna</t>
        </is>
      </c>
    </row>
    <row r="1460">
      <c r="A1460" s="0" t="inlineStr">
        <is>
          <t>Jothi varman Scl</t>
        </is>
      </c>
    </row>
    <row r="1461">
      <c r="A1461" s="0" t="inlineStr">
        <is>
          <t>Dhass Raju FB</t>
        </is>
      </c>
    </row>
    <row r="1462">
      <c r="A1462" s="0" t="inlineStr">
        <is>
          <t>Partha Sarathy Urja</t>
        </is>
      </c>
    </row>
    <row r="1463">
      <c r="A1463" s="0" t="inlineStr">
        <is>
          <t>Thilson GP</t>
        </is>
      </c>
    </row>
    <row r="1464">
      <c r="A1464" s="0" t="inlineStr">
        <is>
          <t>Sumanth Urja</t>
        </is>
      </c>
    </row>
    <row r="1465">
      <c r="A1465" s="0" t="inlineStr">
        <is>
          <t>Aishwarya PL</t>
        </is>
      </c>
    </row>
    <row r="1466">
      <c r="A1466" s="0" t="inlineStr">
        <is>
          <t>Karthickyan Karthick FB</t>
        </is>
      </c>
    </row>
    <row r="1467">
      <c r="A1467" s="0" t="inlineStr">
        <is>
          <t>Kayal Junior</t>
        </is>
      </c>
    </row>
    <row r="1468">
      <c r="A1468" s="0" t="inlineStr">
        <is>
          <t>Charles SET Infy</t>
        </is>
      </c>
    </row>
    <row r="1469">
      <c r="A1469" s="0" t="inlineStr">
        <is>
          <t>Rajkumar Junior</t>
        </is>
      </c>
    </row>
    <row r="1470">
      <c r="A1470" s="0" t="inlineStr">
        <is>
          <t>Sudharson ECE Junior</t>
        </is>
      </c>
    </row>
    <row r="1471">
      <c r="A1471" s="0" t="inlineStr">
        <is>
          <t>Samsuel FB</t>
        </is>
      </c>
    </row>
    <row r="1472">
      <c r="A1472" s="0" t="inlineStr">
        <is>
          <t>Ragul Gandhi Urja</t>
        </is>
      </c>
    </row>
    <row r="1473">
      <c r="A1473" s="0" t="inlineStr">
        <is>
          <t>Bala Telegram</t>
        </is>
      </c>
    </row>
    <row r="1474">
      <c r="A1474" s="0" t="inlineStr">
        <is>
          <t>Jerlin Vijay FB</t>
        </is>
      </c>
    </row>
    <row r="1475">
      <c r="A1475" s="0" t="inlineStr">
        <is>
          <t>Abi Grp Ucen</t>
        </is>
      </c>
    </row>
    <row r="1476">
      <c r="A1476" s="0" t="inlineStr">
        <is>
          <t>NearByHome Kundrathur</t>
        </is>
      </c>
    </row>
    <row r="1477">
      <c r="A1477" s="0" t="inlineStr">
        <is>
          <t>Akka</t>
        </is>
      </c>
    </row>
    <row r="1478">
      <c r="A1478" s="0" t="inlineStr">
        <is>
          <t>Idea Vaanavill</t>
        </is>
      </c>
    </row>
    <row r="1479">
      <c r="A1479" s="0" t="inlineStr">
        <is>
          <t>Jassin Infosys</t>
        </is>
      </c>
    </row>
    <row r="1480">
      <c r="A1480" s="0" t="inlineStr">
        <is>
          <t>Thavasi Mani GP</t>
        </is>
      </c>
    </row>
    <row r="1481">
      <c r="A1481" s="0" t="inlineStr">
        <is>
          <t>Uma Tadikonda Infosys</t>
        </is>
      </c>
    </row>
    <row r="1482">
      <c r="A1482" s="0" t="inlineStr">
        <is>
          <t>Saravanan ECE</t>
        </is>
      </c>
    </row>
    <row r="1483">
      <c r="A1483" s="0" t="inlineStr">
        <is>
          <t>tsanthosh Urja</t>
        </is>
      </c>
    </row>
    <row r="1484">
      <c r="A1484" s="0" t="inlineStr">
        <is>
          <t>Ashok kumar Scl</t>
        </is>
      </c>
    </row>
    <row r="1485">
      <c r="A1485" s="0" t="inlineStr">
        <is>
          <t>Anandan Navukkarasu NDLF</t>
        </is>
      </c>
    </row>
    <row r="1486">
      <c r="A1486" s="0" t="inlineStr">
        <is>
          <t>Hari Priya Urja</t>
        </is>
      </c>
    </row>
    <row r="1487">
      <c r="A1487" s="0" t="inlineStr">
        <is>
          <t>Rajagopal Infy</t>
        </is>
      </c>
    </row>
    <row r="1488">
      <c r="A1488" s="0" t="inlineStr">
        <is>
          <t>Jebin Sholes Infy</t>
        </is>
      </c>
    </row>
    <row r="1489">
      <c r="A1489" s="0" t="inlineStr">
        <is>
          <t>Divya Dhi</t>
        </is>
      </c>
    </row>
    <row r="1490">
      <c r="A1490" s="0" t="inlineStr">
        <is>
          <t>Pragatheesh FB</t>
        </is>
      </c>
    </row>
    <row r="1491">
      <c r="A1491" s="0" t="inlineStr">
        <is>
          <t>Satheesh Qs New</t>
        </is>
      </c>
    </row>
    <row r="1492">
      <c r="A1492" s="0" t="inlineStr">
        <is>
          <t>Thinesh Jebastin</t>
        </is>
      </c>
    </row>
    <row r="1493">
      <c r="A1493" s="0" t="inlineStr">
        <is>
          <t>Kavin Kowtham Jio Urja</t>
        </is>
      </c>
    </row>
    <row r="1494">
      <c r="A1494" s="0" t="inlineStr">
        <is>
          <t>Aravind ECE</t>
        </is>
      </c>
    </row>
    <row r="1495">
      <c r="A1495" s="0" t="inlineStr">
        <is>
          <t>Sathesh Verz</t>
        </is>
      </c>
    </row>
    <row r="1496">
      <c r="A1496" s="0" t="inlineStr">
        <is>
          <t>Sekar</t>
        </is>
      </c>
    </row>
    <row r="1497">
      <c r="A1497" s="0" t="inlineStr">
        <is>
          <t>Nizamudeen Verz</t>
        </is>
      </c>
    </row>
    <row r="1498">
      <c r="A1498" s="0" t="inlineStr">
        <is>
          <t>தங்கராஜ் Maharaja Thambi</t>
        </is>
      </c>
    </row>
    <row r="1499">
      <c r="A1499" s="0" t="inlineStr">
        <is>
          <t>Nivethitha Urja</t>
        </is>
      </c>
    </row>
    <row r="1500">
      <c r="A1500" s="0" t="inlineStr">
        <is>
          <t>Elavarasi ECE</t>
        </is>
      </c>
    </row>
    <row r="1501">
      <c r="A1501" s="0" t="inlineStr">
        <is>
          <t>Bevin Arul RAJ FB</t>
        </is>
      </c>
    </row>
    <row r="1502">
      <c r="A1502" s="0" t="inlineStr">
        <is>
          <t>Kalai Urja</t>
        </is>
      </c>
    </row>
    <row r="1503">
      <c r="A1503" s="0" t="inlineStr">
        <is>
          <t>Madasamy Scl FB</t>
        </is>
      </c>
    </row>
    <row r="1504">
      <c r="A1504" s="0" t="inlineStr">
        <is>
          <t>சிவா</t>
        </is>
      </c>
    </row>
    <row r="1505">
      <c r="A1505" s="0" t="inlineStr">
        <is>
          <t>Chirstopher FB</t>
        </is>
      </c>
    </row>
    <row r="1506">
      <c r="A1506" s="0" t="inlineStr">
        <is>
          <t>Manikanda FB</t>
        </is>
      </c>
    </row>
    <row r="1507">
      <c r="A1507" s="0" t="inlineStr">
        <is>
          <t>Raju Thomas FB</t>
        </is>
      </c>
    </row>
    <row r="1508">
      <c r="A1508" s="0" t="inlineStr">
        <is>
          <t>Einstein Prakash Urja</t>
        </is>
      </c>
    </row>
    <row r="1509">
      <c r="A1509" s="0" t="inlineStr">
        <is>
          <t>Ajith Mech</t>
        </is>
      </c>
    </row>
    <row r="1510">
      <c r="A1510" s="0" t="inlineStr">
        <is>
          <t>Prema Ashwin FB</t>
        </is>
      </c>
    </row>
    <row r="1511">
      <c r="A1511" s="0" t="inlineStr">
        <is>
          <t>Amal Raj Junior</t>
        </is>
      </c>
    </row>
    <row r="1512">
      <c r="A1512" s="0" t="inlineStr">
        <is>
          <t>Venkat Ramanan Verz</t>
        </is>
      </c>
    </row>
    <row r="1513">
      <c r="A1513" s="0" t="inlineStr">
        <is>
          <t>My Idea 4G</t>
        </is>
      </c>
    </row>
    <row r="1514">
      <c r="A1514" s="0" t="inlineStr">
        <is>
          <t>Ramesh Urja</t>
        </is>
      </c>
    </row>
    <row r="1515">
      <c r="A1515" s="0" t="inlineStr">
        <is>
          <t>Sravya Verz</t>
        </is>
      </c>
    </row>
    <row r="1516">
      <c r="A1516" s="0" t="inlineStr">
        <is>
          <t>Prashanthi</t>
        </is>
      </c>
    </row>
    <row r="1517">
      <c r="A1517" s="0" t="inlineStr">
        <is>
          <t>Sankar Scl</t>
        </is>
      </c>
    </row>
    <row r="1518">
      <c r="A1518" s="0" t="inlineStr">
        <is>
          <t>Shameer FB</t>
        </is>
      </c>
    </row>
    <row r="1519">
      <c r="A1519" s="0" t="inlineStr">
        <is>
          <t>Krishna Veni</t>
        </is>
      </c>
    </row>
    <row r="1520">
      <c r="A1520" s="0" t="inlineStr">
        <is>
          <t>Ram Krishna Bang Scl</t>
        </is>
      </c>
    </row>
    <row r="1521">
      <c r="A1521" s="0" t="inlineStr">
        <is>
          <t>Ram Krishna Scl</t>
        </is>
      </c>
    </row>
    <row r="1522">
      <c r="A1522" s="0" t="inlineStr">
        <is>
          <t>Pandi Airtel</t>
        </is>
      </c>
    </row>
    <row r="1523">
      <c r="A1523" s="0" t="inlineStr">
        <is>
          <t>Praveen Kammar Infy</t>
        </is>
      </c>
    </row>
    <row r="1524">
      <c r="A1524" s="0" t="inlineStr">
        <is>
          <t>Mohamed Kadhar Urja</t>
        </is>
      </c>
    </row>
    <row r="1525">
      <c r="A1525" s="0" t="inlineStr">
        <is>
          <t>Jesh</t>
        </is>
      </c>
    </row>
    <row r="1526">
      <c r="A1526" s="0" t="inlineStr">
        <is>
          <t>Azhakesan Arumugam FB</t>
        </is>
      </c>
    </row>
    <row r="1527">
      <c r="A1527" s="0" t="inlineStr">
        <is>
          <t>Arun Kumar FB</t>
        </is>
      </c>
    </row>
    <row r="1528">
      <c r="A1528" s="0" t="inlineStr">
        <is>
          <t>Sakthi Cars Nanganallur</t>
        </is>
      </c>
    </row>
    <row r="1529">
      <c r="A1529" s="0" t="inlineStr">
        <is>
          <t>Rabin Tn Rabin FB</t>
        </is>
      </c>
    </row>
    <row r="1530">
      <c r="A1530" s="0" t="inlineStr">
        <is>
          <t>Jenarth Tenkasi</t>
        </is>
      </c>
    </row>
    <row r="1531">
      <c r="A1531" s="0" t="inlineStr">
        <is>
          <t>Chitra Devi Urja FB</t>
        </is>
      </c>
    </row>
    <row r="1532">
      <c r="A1532" s="0" t="inlineStr">
        <is>
          <t>Rajeshwari ECE</t>
        </is>
      </c>
    </row>
    <row r="1533">
      <c r="A1533" s="0" t="inlineStr">
        <is>
          <t>Kiruba Nithi FB</t>
        </is>
      </c>
    </row>
    <row r="1534">
      <c r="A1534" s="0" t="inlineStr">
        <is>
          <t>Prem Scl</t>
        </is>
      </c>
    </row>
    <row r="1535">
      <c r="A1535" s="0" t="inlineStr">
        <is>
          <t>Por airtel</t>
        </is>
      </c>
    </row>
    <row r="1536">
      <c r="A1536" s="0" t="inlineStr">
        <is>
          <t>Ashwin Thoortheu FB</t>
        </is>
      </c>
    </row>
    <row r="1537">
      <c r="A1537" s="0" t="inlineStr">
        <is>
          <t>Xavier Urja</t>
        </is>
      </c>
    </row>
    <row r="1538">
      <c r="A1538" s="0" t="inlineStr">
        <is>
          <t>Arjun WFP</t>
        </is>
      </c>
    </row>
    <row r="1539">
      <c r="A1539" s="0" t="inlineStr">
        <is>
          <t>Agalya Junior</t>
        </is>
      </c>
    </row>
    <row r="1540">
      <c r="A1540" s="0" t="inlineStr">
        <is>
          <t>Azhagu Suyambu Lingam Scl</t>
        </is>
      </c>
    </row>
    <row r="1541">
      <c r="A1541" s="0" t="inlineStr">
        <is>
          <t>Thayanithy Nagarajan</t>
        </is>
      </c>
    </row>
    <row r="1542">
      <c r="A1542" s="0" t="inlineStr">
        <is>
          <t>Selva Rathina Velu FB</t>
        </is>
      </c>
    </row>
    <row r="1543">
      <c r="A1543" s="0" t="inlineStr">
        <is>
          <t>Saravanan Vaishnavi FB</t>
        </is>
      </c>
    </row>
    <row r="1544">
      <c r="A1544" s="0" t="inlineStr">
        <is>
          <t>Mayank Sharma HCL</t>
        </is>
      </c>
    </row>
    <row r="1545">
      <c r="A1545" s="0" t="inlineStr">
        <is>
          <t>Kani Selvam Cab</t>
        </is>
      </c>
    </row>
    <row r="1546">
      <c r="A1546" s="0" t="inlineStr">
        <is>
          <t>Ramesh Mani Urja</t>
        </is>
      </c>
    </row>
    <row r="1547">
      <c r="A1547" s="0" t="inlineStr">
        <is>
          <t>Appa</t>
        </is>
      </c>
    </row>
    <row r="1548">
      <c r="A1548" s="0" t="inlineStr">
        <is>
          <t>Ahrya 😎Vodafone</t>
        </is>
      </c>
    </row>
    <row r="1549">
      <c r="A1549" s="0" t="inlineStr">
        <is>
          <t>RK Bikes Perumbakkam</t>
        </is>
      </c>
    </row>
    <row r="1550">
      <c r="A1550" s="0" t="inlineStr">
        <is>
          <t>Muthu Raj S FB</t>
        </is>
      </c>
    </row>
    <row r="1551">
      <c r="A1551" s="0" t="inlineStr">
        <is>
          <t>Prem Kumar FB</t>
        </is>
      </c>
    </row>
    <row r="1552">
      <c r="A1552" s="0" t="inlineStr">
        <is>
          <t>Venkadesha Perumal</t>
        </is>
      </c>
    </row>
    <row r="1553">
      <c r="A1553" s="0" t="inlineStr">
        <is>
          <t>Kathir Wipro</t>
        </is>
      </c>
    </row>
    <row r="1554">
      <c r="A1554" s="0" t="inlineStr">
        <is>
          <t>Vijay-FordEx HCL</t>
        </is>
      </c>
    </row>
    <row r="1555">
      <c r="A1555" s="0" t="inlineStr">
        <is>
          <t>Deepika Ford HCL</t>
        </is>
      </c>
    </row>
    <row r="1556">
      <c r="A1556" s="0" t="inlineStr">
        <is>
          <t>Allan Laptop HCL</t>
        </is>
      </c>
    </row>
    <row r="1557">
      <c r="A1557" s="0" t="inlineStr">
        <is>
          <t>Sankar sankar Insta</t>
        </is>
      </c>
    </row>
    <row r="1558">
      <c r="A1558" s="0" t="inlineStr">
        <is>
          <t>Kirthivasan Murugan HCL</t>
        </is>
      </c>
    </row>
    <row r="1559">
      <c r="A1559" s="0" t="inlineStr">
        <is>
          <t>Srinivasulu HCL</t>
        </is>
      </c>
    </row>
    <row r="1560">
      <c r="A1560" s="0" t="inlineStr">
        <is>
          <t>Prakash ips FB</t>
        </is>
      </c>
    </row>
    <row r="1561">
      <c r="A1561" s="0" t="inlineStr">
        <is>
          <t>Kavitha HCL</t>
        </is>
      </c>
    </row>
    <row r="1562">
      <c r="A1562" s="0" t="inlineStr">
        <is>
          <t>VenkadeshaPerumal VP</t>
        </is>
      </c>
    </row>
    <row r="1563">
      <c r="A1563" s="0" t="inlineStr">
        <is>
          <t>Ram Karthik</t>
        </is>
      </c>
    </row>
    <row r="1564">
      <c r="A1564" s="0" t="inlineStr">
        <is>
          <t>Ram karthick</t>
        </is>
      </c>
    </row>
    <row r="1565">
      <c r="A1565" s="0" t="inlineStr">
        <is>
          <t>Bala Murugan Comcast IV</t>
        </is>
      </c>
    </row>
    <row r="1566">
      <c r="A1566" s="0" t="inlineStr">
        <is>
          <t>Brindha Sree Expcerditors</t>
        </is>
      </c>
    </row>
    <row r="1567">
      <c r="A1567" s="0" t="inlineStr">
        <is>
          <t>Vigneshwaran K FB</t>
        </is>
      </c>
    </row>
    <row r="1568">
      <c r="A1568" s="0" t="inlineStr">
        <is>
          <t>Dileepan k Finnable</t>
        </is>
      </c>
    </row>
    <row r="1569">
      <c r="A1569" s="0" t="inlineStr">
        <is>
          <t>Abdul Razzak Hcas💡</t>
        </is>
      </c>
    </row>
    <row r="1570">
      <c r="A1570" s="0" t="inlineStr">
        <is>
          <t>Santhosh Ford HCL</t>
        </is>
      </c>
    </row>
    <row r="1571">
      <c r="A1571" s="0" t="inlineStr">
        <is>
          <t>Nitin Singh HCL</t>
        </is>
      </c>
    </row>
    <row r="1572">
      <c r="A1572" s="0" t="inlineStr">
        <is>
          <t>Ramesh Tirumalai HCL</t>
        </is>
      </c>
    </row>
    <row r="1573">
      <c r="A1573" s="0" t="inlineStr">
        <is>
          <t>Tushar Keval HCL</t>
        </is>
      </c>
    </row>
    <row r="1574">
      <c r="A1574" s="0" t="inlineStr">
        <is>
          <t>Vignesh Murugan FB</t>
        </is>
      </c>
    </row>
    <row r="1575">
      <c r="A1575" s="0" t="inlineStr">
        <is>
          <t>Saravanan Ford hCL</t>
        </is>
      </c>
    </row>
    <row r="1576">
      <c r="A1576" s="0" t="inlineStr">
        <is>
          <t>Suresh HCL</t>
        </is>
      </c>
    </row>
    <row r="1577">
      <c r="A1577" s="0" t="inlineStr">
        <is>
          <t>Vignesh Icici</t>
        </is>
      </c>
    </row>
    <row r="1578">
      <c r="A1578" s="0" t="inlineStr">
        <is>
          <t>Tamilselvan Arasakumar FB</t>
        </is>
      </c>
    </row>
    <row r="1579">
      <c r="A1579" s="0" t="inlineStr">
        <is>
          <t>Ashok Kumar Ford</t>
        </is>
      </c>
    </row>
    <row r="1580">
      <c r="A1580" s="0" t="inlineStr">
        <is>
          <t>Vignesh Icici Direct</t>
        </is>
      </c>
    </row>
    <row r="1581">
      <c r="A1581" s="0" t="inlineStr">
        <is>
          <t>Sakthisree Aravindhan FB</t>
        </is>
      </c>
    </row>
    <row r="1582">
      <c r="A1582" s="0" t="inlineStr">
        <is>
          <t>Ramu Sharp</t>
        </is>
      </c>
    </row>
    <row r="1583">
      <c r="A1583" s="0" t="inlineStr">
        <is>
          <t>Kamal Hasan Scl</t>
        </is>
      </c>
    </row>
    <row r="1584">
      <c r="A1584" s="0" t="inlineStr">
        <is>
          <t>Deepak RAJ FB</t>
        </is>
      </c>
    </row>
    <row r="1585">
      <c r="A1585" s="0" t="inlineStr">
        <is>
          <t>Deepak Raj</t>
        </is>
      </c>
    </row>
    <row r="1586">
      <c r="A1586" s="0" t="inlineStr">
        <is>
          <t>Ashok kumar FB</t>
        </is>
      </c>
    </row>
    <row r="1587">
      <c r="A1587" s="0" t="inlineStr">
        <is>
          <t>Rudhvik Insta</t>
        </is>
      </c>
    </row>
    <row r="1588">
      <c r="A1588" s="0" t="inlineStr">
        <is>
          <t>Sasi Kumar FB</t>
        </is>
      </c>
    </row>
    <row r="1589">
      <c r="A1589" s="0" t="inlineStr">
        <is>
          <t>Kasi Anna</t>
        </is>
      </c>
    </row>
    <row r="1590">
      <c r="A1590" s="0" t="inlineStr">
        <is>
          <t>Meenaksi Sis</t>
        </is>
      </c>
    </row>
    <row r="1591">
      <c r="A1591" s="0" t="inlineStr">
        <is>
          <t>Gayathri HCL Ford</t>
        </is>
      </c>
    </row>
    <row r="1592">
      <c r="A1592" s="0" t="inlineStr">
        <is>
          <t>Sheik Mohamad CAR kdnl</t>
        </is>
      </c>
    </row>
    <row r="1593">
      <c r="A1593" s="0" t="inlineStr">
        <is>
          <t>Soni Coder Insta</t>
        </is>
      </c>
    </row>
    <row r="1594">
      <c r="A1594" s="0" t="inlineStr">
        <is>
          <t>Shinu Jose TCS HR</t>
        </is>
      </c>
    </row>
    <row r="1595">
      <c r="A1595" s="0" t="inlineStr">
        <is>
          <t>Selvam</t>
        </is>
      </c>
    </row>
    <row r="1596">
      <c r="A1596" s="0" t="inlineStr">
        <is>
          <t>Mariappan Scan</t>
        </is>
      </c>
    </row>
    <row r="1597">
      <c r="A1597" s="0" t="inlineStr">
        <is>
          <t>Lab Anamoly Scan</t>
        </is>
      </c>
    </row>
    <row r="1598">
      <c r="A1598" s="0" t="inlineStr">
        <is>
          <t>Rahul HR Cognizant</t>
        </is>
      </c>
    </row>
    <row r="1599">
      <c r="A1599" s="0" t="inlineStr">
        <is>
          <t>Elumalai Milkman</t>
        </is>
      </c>
    </row>
    <row r="1600">
      <c r="A1600" s="0" t="inlineStr">
        <is>
          <t>Anita Ford</t>
        </is>
      </c>
    </row>
    <row r="1601">
      <c r="A1601" s="0" t="inlineStr">
        <is>
          <t>Brilly Sharon Sir</t>
        </is>
      </c>
    </row>
    <row r="1602">
      <c r="A1602" s="0" t="inlineStr">
        <is>
          <t>Vignesh HCL Ford</t>
        </is>
      </c>
    </row>
    <row r="1603">
      <c r="A1603" s="0" t="inlineStr">
        <is>
          <t>Sundari Charu</t>
        </is>
      </c>
    </row>
    <row r="1604">
      <c r="A1604" s="0" t="inlineStr">
        <is>
          <t>Akshaya N</t>
        </is>
      </c>
    </row>
    <row r="1605">
      <c r="A1605" s="0" t="inlineStr">
        <is>
          <t>Sripraksh Pooshnam CTS</t>
        </is>
      </c>
    </row>
    <row r="1606">
      <c r="A1606" s="0" t="inlineStr">
        <is>
          <t>Ananth vel Grp</t>
        </is>
      </c>
    </row>
    <row r="1607">
      <c r="A1607" s="0" t="inlineStr">
        <is>
          <t>Dhamotharan CTS</t>
        </is>
      </c>
    </row>
    <row r="1608">
      <c r="A1608" s="0" t="inlineStr">
        <is>
          <t>சுகன்யா வெங்கடேஸ்வர் Ece</t>
        </is>
      </c>
    </row>
    <row r="1609">
      <c r="A1609" s="0" t="inlineStr">
        <is>
          <t>Thangaraj Honda Service</t>
        </is>
      </c>
    </row>
    <row r="1610">
      <c r="A1610" s="0" t="inlineStr">
        <is>
          <t>Austin Antony CTS</t>
        </is>
      </c>
    </row>
    <row r="1611">
      <c r="A1611" s="0" t="inlineStr">
        <is>
          <t>Kokila Project CTS</t>
        </is>
      </c>
    </row>
    <row r="1612">
      <c r="A1612" s="0" t="inlineStr">
        <is>
          <t>Gavaskar Laptop CTS</t>
        </is>
      </c>
    </row>
    <row r="1613">
      <c r="A1613" s="0" t="inlineStr">
        <is>
          <t>Rajat kumar CTS</t>
        </is>
      </c>
    </row>
    <row r="1614">
      <c r="A1614" s="0" t="inlineStr">
        <is>
          <t>Arul Franco Prof</t>
        </is>
      </c>
    </row>
    <row r="1615">
      <c r="A1615" s="0" t="inlineStr">
        <is>
          <t>Ragu Ragu FB</t>
        </is>
      </c>
    </row>
    <row r="1616">
      <c r="A1616" s="0" t="inlineStr">
        <is>
          <t>Dhenakha ECE</t>
        </is>
      </c>
    </row>
    <row r="1617">
      <c r="A1617" s="0" t="inlineStr">
        <is>
          <t>Mukundhan Grp Ucen</t>
        </is>
      </c>
    </row>
    <row r="1618">
      <c r="A1618" s="0" t="inlineStr">
        <is>
          <t>Mythili mam</t>
        </is>
      </c>
    </row>
    <row r="1619">
      <c r="A1619" s="0" t="inlineStr">
        <is>
          <t>Kavi FB</t>
        </is>
      </c>
    </row>
    <row r="1620">
      <c r="A1620" s="0" t="inlineStr">
        <is>
          <t>Asha TCS</t>
        </is>
      </c>
    </row>
    <row r="1621">
      <c r="A1621" s="0" t="inlineStr">
        <is>
          <t>Karthick eR Ucen</t>
        </is>
      </c>
    </row>
    <row r="1622">
      <c r="A1622" s="0" t="inlineStr">
        <is>
          <t>Felix Nadar scl</t>
        </is>
      </c>
    </row>
    <row r="1623">
      <c r="A1623" s="0" t="inlineStr">
        <is>
          <t>Tamil Priyan Nadar scl</t>
        </is>
      </c>
    </row>
    <row r="1624">
      <c r="A1624" s="0" t="inlineStr">
        <is>
          <t>Gnenasekar Nadar scl</t>
        </is>
      </c>
    </row>
    <row r="1625">
      <c r="A1625" s="0" t="inlineStr">
        <is>
          <t>Suriya Icici</t>
        </is>
      </c>
    </row>
    <row r="1626">
      <c r="A1626" s="0" t="inlineStr">
        <is>
          <t>John Thurai FB</t>
        </is>
      </c>
    </row>
    <row r="1627">
      <c r="A1627" s="0" t="inlineStr">
        <is>
          <t>Hari. Duke_Hari</t>
        </is>
      </c>
    </row>
    <row r="1628">
      <c r="A1628" s="0" t="inlineStr">
        <is>
          <t>Moorthi Tngb Kdnl</t>
        </is>
      </c>
    </row>
    <row r="1629">
      <c r="A1629" s="0" t="inlineStr">
        <is>
          <t>Bala Venkat Events</t>
        </is>
      </c>
    </row>
    <row r="1630">
      <c r="A1630" s="0" t="inlineStr">
        <is>
          <t>Mariappan Anna Veerasigamani</t>
        </is>
      </c>
    </row>
    <row r="1631">
      <c r="A1631" s="0" t="inlineStr">
        <is>
          <t>Kaliappan Chitappa</t>
        </is>
      </c>
    </row>
    <row r="1632">
      <c r="A1632" s="0" t="inlineStr">
        <is>
          <t>Namita CTS</t>
        </is>
      </c>
    </row>
    <row r="1633">
      <c r="A1633" s="0" t="inlineStr">
        <is>
          <t>Balu Kasi</t>
        </is>
      </c>
    </row>
    <row r="1634">
      <c r="A1634" s="0" t="inlineStr">
        <is>
          <t>Faizal CTS UPS</t>
        </is>
      </c>
    </row>
    <row r="1635">
      <c r="A1635" s="0" t="inlineStr">
        <is>
          <t>Mahalakshmi NPOP</t>
        </is>
      </c>
    </row>
    <row r="1636">
      <c r="A1636" s="0" t="inlineStr">
        <is>
          <t>Davis Solomon</t>
        </is>
      </c>
    </row>
    <row r="1637">
      <c r="A1637" s="0" t="inlineStr">
        <is>
          <t>Mohan Gatta NPop</t>
        </is>
      </c>
    </row>
    <row r="1638">
      <c r="A1638" s="0" t="inlineStr">
        <is>
          <t>Vijay Prakash CTS</t>
        </is>
      </c>
    </row>
    <row r="1639">
      <c r="A1639" s="0" t="inlineStr">
        <is>
          <t>Ragav CTS</t>
        </is>
      </c>
    </row>
    <row r="1640">
      <c r="A1640" s="0" t="inlineStr">
        <is>
          <t>Thangachi</t>
        </is>
      </c>
    </row>
    <row r="1641">
      <c r="A1641" s="0" t="inlineStr">
        <is>
          <t>Akshaya N Vijay</t>
        </is>
      </c>
    </row>
    <row r="1642">
      <c r="A1642" s="0" t="inlineStr">
        <is>
          <t>Nandha Udaykumar UPS TCS</t>
        </is>
      </c>
    </row>
    <row r="1643">
      <c r="A1643" s="0" t="inlineStr">
        <is>
          <t>Dhanwanthralaya Hospital</t>
        </is>
      </c>
    </row>
    <row r="1644">
      <c r="A1644" s="0" t="inlineStr">
        <is>
          <t>Muthu Sivakumar CTS</t>
        </is>
      </c>
    </row>
    <row r="1645">
      <c r="A1645" s="0" t="inlineStr">
        <is>
          <t>Ananth Homebeside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0" customWidth="1" style="3" min="2" max="2"/>
    <col width="14" customWidth="1" style="3" min="3" max="3"/>
    <col width="28" customWidth="1" style="3" min="4" max="4"/>
    <col width="22" customWidth="1" style="3" min="5" max="5"/>
    <col width="22" customWidth="1" style="3" min="6" max="6"/>
    <col width="24" customWidth="1" style="3" min="7" max="7"/>
    <col width="35" customWidth="1" style="3" min="8" max="8"/>
    <col width="40" customWidth="1" style="3" min="9" max="9"/>
    <col width="16" customWidth="1" style="3" min="10" max="10"/>
  </cols>
  <sheetData>
    <row r="1">
      <c r="A1" s="18" t="inlineStr">
        <is>
          <t>Sales Month</t>
        </is>
      </c>
      <c r="B1" s="18" t="inlineStr">
        <is>
          <t>Week No</t>
        </is>
      </c>
      <c r="C1" s="18" t="inlineStr">
        <is>
          <t>Date Added</t>
        </is>
      </c>
      <c r="D1" s="18" t="inlineStr">
        <is>
          <t>Name</t>
        </is>
      </c>
      <c r="E1" s="18" t="inlineStr">
        <is>
          <t>Contact Number</t>
        </is>
      </c>
      <c r="F1" s="18" t="inlineStr">
        <is>
          <t>Connection</t>
        </is>
      </c>
      <c r="G1" s="18" t="inlineStr">
        <is>
          <t>Location</t>
        </is>
      </c>
      <c r="H1" s="18" t="inlineStr">
        <is>
          <t>Comments</t>
        </is>
      </c>
      <c r="I1" s="18" t="inlineStr">
        <is>
          <t>Notes</t>
        </is>
      </c>
      <c r="J1" s="18" t="inlineStr">
        <is>
          <t>Added to Main?</t>
        </is>
      </c>
    </row>
    <row r="2">
      <c r="A2" s="0" t="inlineStr"/>
      <c r="B2" s="0" t="inlineStr"/>
      <c r="C2" s="19" t="inlineStr"/>
      <c r="D2" s="0" t="inlineStr"/>
      <c r="E2" s="0" t="inlineStr"/>
      <c r="F2" s="0" t="inlineStr"/>
      <c r="G2" s="0" t="inlineStr"/>
      <c r="H2" s="0" t="inlineStr"/>
      <c r="I2" s="0" t="inlineStr"/>
      <c r="J2" s="0" t="inlineStr">
        <is>
          <t>No</t>
        </is>
      </c>
    </row>
    <row r="3">
      <c r="A3" s="0" t="inlineStr"/>
      <c r="B3" s="0" t="inlineStr"/>
      <c r="C3" s="19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>
        <is>
          <t>No</t>
        </is>
      </c>
    </row>
    <row r="4">
      <c r="A4" s="0" t="inlineStr"/>
      <c r="B4" s="0" t="inlineStr"/>
      <c r="C4" s="19" t="inlineStr"/>
      <c r="D4" s="0" t="inlineStr"/>
      <c r="E4" s="0" t="inlineStr"/>
      <c r="F4" s="0" t="inlineStr"/>
      <c r="G4" s="0" t="inlineStr"/>
      <c r="H4" s="0" t="inlineStr"/>
      <c r="I4" s="0" t="inlineStr"/>
      <c r="J4" s="0" t="inlineStr">
        <is>
          <t>No</t>
        </is>
      </c>
    </row>
    <row r="5">
      <c r="A5" s="0" t="inlineStr"/>
      <c r="B5" s="0" t="inlineStr"/>
      <c r="C5" s="19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>
        <is>
          <t>No</t>
        </is>
      </c>
    </row>
    <row r="6">
      <c r="A6" s="0" t="inlineStr"/>
      <c r="B6" s="0" t="inlineStr"/>
      <c r="C6" s="19" t="inlineStr"/>
      <c r="D6" s="0" t="inlineStr"/>
      <c r="E6" s="0" t="inlineStr"/>
      <c r="F6" s="0" t="inlineStr"/>
      <c r="G6" s="0" t="inlineStr"/>
      <c r="H6" s="0" t="inlineStr"/>
      <c r="I6" s="0" t="inlineStr"/>
      <c r="J6" s="0" t="inlineStr">
        <is>
          <t>No</t>
        </is>
      </c>
    </row>
    <row r="7">
      <c r="A7" s="0" t="inlineStr"/>
      <c r="B7" s="0" t="inlineStr"/>
      <c r="C7" s="19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>
        <is>
          <t>No</t>
        </is>
      </c>
    </row>
    <row r="8">
      <c r="A8" s="0" t="inlineStr"/>
      <c r="B8" s="0" t="inlineStr"/>
      <c r="C8" s="19" t="inlineStr"/>
      <c r="D8" s="0" t="inlineStr"/>
      <c r="E8" s="0" t="inlineStr"/>
      <c r="F8" s="0" t="inlineStr"/>
      <c r="G8" s="0" t="inlineStr"/>
      <c r="H8" s="0" t="inlineStr"/>
      <c r="I8" s="0" t="inlineStr"/>
      <c r="J8" s="0" t="inlineStr">
        <is>
          <t>No</t>
        </is>
      </c>
    </row>
    <row r="9">
      <c r="A9" s="0" t="inlineStr"/>
      <c r="B9" s="0" t="inlineStr"/>
      <c r="C9" s="19" t="inlineStr"/>
      <c r="D9" s="0" t="inlineStr"/>
      <c r="E9" s="0" t="inlineStr"/>
      <c r="F9" s="0" t="inlineStr"/>
      <c r="G9" s="0" t="inlineStr"/>
      <c r="H9" s="0" t="inlineStr"/>
      <c r="I9" s="0" t="inlineStr"/>
      <c r="J9" s="0" t="inlineStr">
        <is>
          <t>No</t>
        </is>
      </c>
    </row>
    <row r="10">
      <c r="A10" s="0" t="inlineStr"/>
      <c r="B10" s="0" t="inlineStr"/>
      <c r="C10" s="19" t="inlineStr"/>
      <c r="D10" s="0" t="inlineStr"/>
      <c r="E10" s="0" t="inlineStr"/>
      <c r="F10" s="0" t="inlineStr"/>
      <c r="G10" s="0" t="inlineStr"/>
      <c r="H10" s="0" t="inlineStr"/>
      <c r="I10" s="0" t="inlineStr"/>
      <c r="J10" s="0" t="inlineStr">
        <is>
          <t>No</t>
        </is>
      </c>
    </row>
    <row r="11">
      <c r="A11" s="0" t="inlineStr"/>
      <c r="B11" s="0" t="inlineStr"/>
      <c r="C11" s="19" t="inlineStr"/>
      <c r="D11" s="0" t="inlineStr"/>
      <c r="E11" s="0" t="inlineStr"/>
      <c r="F11" s="0" t="inlineStr"/>
      <c r="G11" s="0" t="inlineStr"/>
      <c r="H11" s="0" t="inlineStr"/>
      <c r="I11" s="0" t="inlineStr"/>
      <c r="J11" s="0" t="inlineStr">
        <is>
          <t>No</t>
        </is>
      </c>
    </row>
    <row r="12">
      <c r="A12" s="0" t="inlineStr"/>
      <c r="B12" s="0" t="inlineStr"/>
      <c r="C12" s="19" t="inlineStr"/>
      <c r="D12" s="0" t="inlineStr"/>
      <c r="E12" s="0" t="inlineStr"/>
      <c r="F12" s="0" t="inlineStr"/>
      <c r="G12" s="0" t="inlineStr"/>
      <c r="H12" s="0" t="inlineStr"/>
      <c r="I12" s="0" t="inlineStr"/>
      <c r="J12" s="0" t="inlineStr">
        <is>
          <t>No</t>
        </is>
      </c>
    </row>
    <row r="13">
      <c r="A13" s="0" t="inlineStr"/>
      <c r="B13" s="0" t="inlineStr"/>
      <c r="C13" s="19" t="inlineStr"/>
      <c r="D13" s="0" t="inlineStr"/>
      <c r="E13" s="0" t="inlineStr"/>
      <c r="F13" s="0" t="inlineStr"/>
      <c r="G13" s="0" t="inlineStr"/>
      <c r="H13" s="0" t="inlineStr"/>
      <c r="I13" s="0" t="inlineStr"/>
      <c r="J13" s="0" t="inlineStr">
        <is>
          <t>No</t>
        </is>
      </c>
    </row>
    <row r="14">
      <c r="A14" s="0" t="inlineStr"/>
      <c r="B14" s="0" t="inlineStr"/>
      <c r="C14" s="19" t="inlineStr"/>
      <c r="D14" s="0" t="inlineStr"/>
      <c r="E14" s="0" t="inlineStr"/>
      <c r="F14" s="0" t="inlineStr"/>
      <c r="G14" s="0" t="inlineStr"/>
      <c r="H14" s="0" t="inlineStr"/>
      <c r="I14" s="0" t="inlineStr"/>
      <c r="J14" s="0" t="inlineStr">
        <is>
          <t>No</t>
        </is>
      </c>
    </row>
    <row r="15">
      <c r="A15" s="0" t="inlineStr"/>
      <c r="B15" s="0" t="inlineStr"/>
      <c r="C15" s="19" t="inlineStr"/>
      <c r="D15" s="0" t="inlineStr"/>
      <c r="E15" s="0" t="inlineStr"/>
      <c r="F15" s="0" t="inlineStr"/>
      <c r="G15" s="0" t="inlineStr"/>
      <c r="H15" s="0" t="inlineStr"/>
      <c r="I15" s="0" t="inlineStr"/>
      <c r="J15" s="0" t="inlineStr">
        <is>
          <t>No</t>
        </is>
      </c>
    </row>
    <row r="16">
      <c r="A16" s="0" t="inlineStr"/>
      <c r="B16" s="0" t="inlineStr"/>
      <c r="C16" s="19" t="inlineStr"/>
      <c r="D16" s="0" t="inlineStr"/>
      <c r="E16" s="0" t="inlineStr"/>
      <c r="F16" s="0" t="inlineStr"/>
      <c r="G16" s="0" t="inlineStr"/>
      <c r="H16" s="0" t="inlineStr"/>
      <c r="I16" s="0" t="inlineStr"/>
      <c r="J16" s="0" t="inlineStr">
        <is>
          <t>No</t>
        </is>
      </c>
    </row>
    <row r="17">
      <c r="A17" s="0" t="inlineStr"/>
      <c r="B17" s="0" t="inlineStr"/>
      <c r="C17" s="19" t="inlineStr"/>
      <c r="D17" s="0" t="inlineStr"/>
      <c r="E17" s="0" t="inlineStr"/>
      <c r="F17" s="0" t="inlineStr"/>
      <c r="G17" s="0" t="inlineStr"/>
      <c r="H17" s="0" t="inlineStr"/>
      <c r="I17" s="0" t="inlineStr"/>
      <c r="J17" s="0" t="inlineStr">
        <is>
          <t>No</t>
        </is>
      </c>
    </row>
    <row r="18">
      <c r="A18" s="0" t="inlineStr"/>
      <c r="B18" s="0" t="inlineStr"/>
      <c r="C18" s="19" t="inlineStr"/>
      <c r="D18" s="0" t="inlineStr"/>
      <c r="E18" s="0" t="inlineStr"/>
      <c r="F18" s="0" t="inlineStr"/>
      <c r="G18" s="0" t="inlineStr"/>
      <c r="H18" s="0" t="inlineStr"/>
      <c r="I18" s="0" t="inlineStr"/>
      <c r="J18" s="0" t="inlineStr">
        <is>
          <t>No</t>
        </is>
      </c>
    </row>
    <row r="19">
      <c r="A19" s="0" t="inlineStr"/>
      <c r="B19" s="0" t="inlineStr"/>
      <c r="C19" s="19" t="inlineStr"/>
      <c r="D19" s="0" t="inlineStr"/>
      <c r="E19" s="0" t="inlineStr"/>
      <c r="F19" s="0" t="inlineStr"/>
      <c r="G19" s="0" t="inlineStr"/>
      <c r="H19" s="0" t="inlineStr"/>
      <c r="I19" s="0" t="inlineStr"/>
      <c r="J19" s="0" t="inlineStr">
        <is>
          <t>No</t>
        </is>
      </c>
    </row>
    <row r="20">
      <c r="A20" s="0" t="inlineStr"/>
      <c r="B20" s="0" t="inlineStr"/>
      <c r="C20" s="19" t="inlineStr"/>
      <c r="D20" s="0" t="inlineStr"/>
      <c r="E20" s="0" t="inlineStr"/>
      <c r="F20" s="0" t="inlineStr"/>
      <c r="G20" s="0" t="inlineStr"/>
      <c r="H20" s="0" t="inlineStr"/>
      <c r="I20" s="0" t="inlineStr"/>
      <c r="J20" s="0" t="inlineStr">
        <is>
          <t>No</t>
        </is>
      </c>
    </row>
    <row r="21">
      <c r="A21" s="0" t="inlineStr"/>
      <c r="B21" s="0" t="inlineStr"/>
      <c r="C21" s="19" t="inlineStr"/>
      <c r="D21" s="0" t="inlineStr"/>
      <c r="E21" s="0" t="inlineStr"/>
      <c r="F21" s="0" t="inlineStr"/>
      <c r="G21" s="0" t="inlineStr"/>
      <c r="H21" s="0" t="inlineStr"/>
      <c r="I21" s="0" t="inlineStr"/>
      <c r="J21" s="0" t="inlineStr">
        <is>
          <t>No</t>
        </is>
      </c>
    </row>
    <row r="22">
      <c r="A22" s="0" t="inlineStr"/>
      <c r="B22" s="0" t="inlineStr"/>
      <c r="C22" s="19" t="inlineStr"/>
      <c r="D22" s="0" t="inlineStr"/>
      <c r="E22" s="0" t="inlineStr"/>
      <c r="F22" s="0" t="inlineStr"/>
      <c r="G22" s="0" t="inlineStr"/>
      <c r="H22" s="0" t="inlineStr"/>
      <c r="I22" s="0" t="inlineStr"/>
      <c r="J22" s="0" t="inlineStr">
        <is>
          <t>No</t>
        </is>
      </c>
    </row>
    <row r="23">
      <c r="A23" s="0" t="inlineStr"/>
      <c r="B23" s="0" t="inlineStr"/>
      <c r="C23" s="19" t="inlineStr"/>
      <c r="D23" s="0" t="inlineStr"/>
      <c r="E23" s="0" t="inlineStr"/>
      <c r="F23" s="0" t="inlineStr"/>
      <c r="G23" s="0" t="inlineStr"/>
      <c r="H23" s="0" t="inlineStr"/>
      <c r="I23" s="0" t="inlineStr"/>
      <c r="J23" s="0" t="inlineStr">
        <is>
          <t>No</t>
        </is>
      </c>
    </row>
    <row r="24">
      <c r="A24" s="0" t="inlineStr"/>
      <c r="B24" s="0" t="inlineStr"/>
      <c r="C24" s="19" t="inlineStr"/>
      <c r="D24" s="0" t="inlineStr"/>
      <c r="E24" s="0" t="inlineStr"/>
      <c r="F24" s="0" t="inlineStr"/>
      <c r="G24" s="0" t="inlineStr"/>
      <c r="H24" s="0" t="inlineStr"/>
      <c r="I24" s="0" t="inlineStr"/>
      <c r="J24" s="0" t="inlineStr">
        <is>
          <t>No</t>
        </is>
      </c>
    </row>
    <row r="25">
      <c r="A25" s="0" t="inlineStr"/>
      <c r="B25" s="0" t="inlineStr"/>
      <c r="C25" s="19" t="inlineStr"/>
      <c r="D25" s="0" t="inlineStr"/>
      <c r="E25" s="0" t="inlineStr"/>
      <c r="F25" s="0" t="inlineStr"/>
      <c r="G25" s="0" t="inlineStr"/>
      <c r="H25" s="0" t="inlineStr"/>
      <c r="I25" s="0" t="inlineStr"/>
      <c r="J25" s="0" t="inlineStr">
        <is>
          <t>No</t>
        </is>
      </c>
    </row>
    <row r="26">
      <c r="A26" s="0" t="inlineStr"/>
      <c r="B26" s="0" t="inlineStr"/>
      <c r="C26" s="19" t="inlineStr"/>
      <c r="D26" s="0" t="inlineStr"/>
      <c r="E26" s="0" t="inlineStr"/>
      <c r="F26" s="0" t="inlineStr"/>
      <c r="G26" s="0" t="inlineStr"/>
      <c r="H26" s="0" t="inlineStr"/>
      <c r="I26" s="0" t="inlineStr"/>
      <c r="J26" s="0" t="inlineStr">
        <is>
          <t>No</t>
        </is>
      </c>
    </row>
    <row r="27">
      <c r="A27" s="0" t="inlineStr"/>
      <c r="B27" s="0" t="inlineStr"/>
      <c r="C27" s="19" t="inlineStr"/>
      <c r="D27" s="0" t="inlineStr"/>
      <c r="E27" s="0" t="inlineStr"/>
      <c r="F27" s="0" t="inlineStr"/>
      <c r="G27" s="0" t="inlineStr"/>
      <c r="H27" s="0" t="inlineStr"/>
      <c r="I27" s="0" t="inlineStr"/>
      <c r="J27" s="0" t="inlineStr">
        <is>
          <t>No</t>
        </is>
      </c>
    </row>
    <row r="28">
      <c r="A28" s="0" t="inlineStr"/>
      <c r="B28" s="0" t="inlineStr"/>
      <c r="C28" s="19" t="inlineStr"/>
      <c r="D28" s="0" t="inlineStr"/>
      <c r="E28" s="0" t="inlineStr"/>
      <c r="F28" s="0" t="inlineStr"/>
      <c r="G28" s="0" t="inlineStr"/>
      <c r="H28" s="0" t="inlineStr"/>
      <c r="I28" s="0" t="inlineStr"/>
      <c r="J28" s="0" t="inlineStr">
        <is>
          <t>No</t>
        </is>
      </c>
    </row>
    <row r="29">
      <c r="A29" s="0" t="inlineStr"/>
      <c r="B29" s="0" t="inlineStr"/>
      <c r="C29" s="19" t="inlineStr"/>
      <c r="D29" s="0" t="inlineStr"/>
      <c r="E29" s="0" t="inlineStr"/>
      <c r="F29" s="0" t="inlineStr"/>
      <c r="G29" s="0" t="inlineStr"/>
      <c r="H29" s="0" t="inlineStr"/>
      <c r="I29" s="0" t="inlineStr"/>
      <c r="J29" s="0" t="inlineStr">
        <is>
          <t>No</t>
        </is>
      </c>
    </row>
    <row r="30">
      <c r="A30" s="0" t="inlineStr"/>
      <c r="B30" s="0" t="inlineStr"/>
      <c r="C30" s="19" t="inlineStr"/>
      <c r="D30" s="0" t="inlineStr"/>
      <c r="E30" s="0" t="inlineStr"/>
      <c r="F30" s="0" t="inlineStr"/>
      <c r="G30" s="0" t="inlineStr"/>
      <c r="H30" s="0" t="inlineStr"/>
      <c r="I30" s="0" t="inlineStr"/>
      <c r="J30" s="0" t="inlineStr">
        <is>
          <t>No</t>
        </is>
      </c>
    </row>
    <row r="31">
      <c r="A31" s="0" t="inlineStr"/>
      <c r="B31" s="0" t="inlineStr"/>
      <c r="C31" s="19" t="inlineStr"/>
      <c r="D31" s="0" t="inlineStr"/>
      <c r="E31" s="0" t="inlineStr"/>
      <c r="F31" s="0" t="inlineStr"/>
      <c r="G31" s="0" t="inlineStr"/>
      <c r="H31" s="0" t="inlineStr"/>
      <c r="I31" s="0" t="inlineStr"/>
      <c r="J31" s="0" t="inlineStr">
        <is>
          <t>No</t>
        </is>
      </c>
    </row>
    <row r="32">
      <c r="A32" s="0" t="inlineStr"/>
      <c r="B32" s="0" t="inlineStr"/>
      <c r="C32" s="19" t="inlineStr"/>
      <c r="D32" s="0" t="inlineStr"/>
      <c r="E32" s="0" t="inlineStr"/>
      <c r="F32" s="0" t="inlineStr"/>
      <c r="G32" s="0" t="inlineStr"/>
      <c r="H32" s="0" t="inlineStr"/>
      <c r="I32" s="0" t="inlineStr"/>
      <c r="J32" s="0" t="inlineStr">
        <is>
          <t>No</t>
        </is>
      </c>
    </row>
    <row r="33">
      <c r="A33" s="0" t="inlineStr"/>
      <c r="B33" s="0" t="inlineStr"/>
      <c r="C33" s="19" t="inlineStr"/>
      <c r="D33" s="0" t="inlineStr"/>
      <c r="E33" s="0" t="inlineStr"/>
      <c r="F33" s="0" t="inlineStr"/>
      <c r="G33" s="0" t="inlineStr"/>
      <c r="H33" s="0" t="inlineStr"/>
      <c r="I33" s="0" t="inlineStr"/>
      <c r="J33" s="0" t="inlineStr">
        <is>
          <t>No</t>
        </is>
      </c>
    </row>
    <row r="34">
      <c r="A34" s="0" t="inlineStr"/>
      <c r="B34" s="0" t="inlineStr"/>
      <c r="C34" s="19" t="inlineStr"/>
      <c r="D34" s="0" t="inlineStr"/>
      <c r="E34" s="0" t="inlineStr"/>
      <c r="F34" s="0" t="inlineStr"/>
      <c r="G34" s="0" t="inlineStr"/>
      <c r="H34" s="0" t="inlineStr"/>
      <c r="I34" s="0" t="inlineStr"/>
      <c r="J34" s="0" t="inlineStr">
        <is>
          <t>No</t>
        </is>
      </c>
    </row>
    <row r="35">
      <c r="A35" s="0" t="inlineStr"/>
      <c r="B35" s="0" t="inlineStr"/>
      <c r="C35" s="19" t="inlineStr"/>
      <c r="D35" s="0" t="inlineStr"/>
      <c r="E35" s="0" t="inlineStr"/>
      <c r="F35" s="0" t="inlineStr"/>
      <c r="G35" s="0" t="inlineStr"/>
      <c r="H35" s="0" t="inlineStr"/>
      <c r="I35" s="0" t="inlineStr"/>
      <c r="J35" s="0" t="inlineStr">
        <is>
          <t>No</t>
        </is>
      </c>
    </row>
    <row r="36">
      <c r="A36" s="0" t="inlineStr"/>
      <c r="B36" s="0" t="inlineStr"/>
      <c r="C36" s="19" t="inlineStr"/>
      <c r="D36" s="0" t="inlineStr"/>
      <c r="E36" s="0" t="inlineStr"/>
      <c r="F36" s="0" t="inlineStr"/>
      <c r="G36" s="0" t="inlineStr"/>
      <c r="H36" s="0" t="inlineStr"/>
      <c r="I36" s="0" t="inlineStr"/>
      <c r="J36" s="0" t="inlineStr">
        <is>
          <t>No</t>
        </is>
      </c>
    </row>
    <row r="37">
      <c r="A37" s="0" t="inlineStr"/>
      <c r="B37" s="0" t="inlineStr"/>
      <c r="C37" s="19" t="inlineStr"/>
      <c r="D37" s="0" t="inlineStr"/>
      <c r="E37" s="0" t="inlineStr"/>
      <c r="F37" s="0" t="inlineStr"/>
      <c r="G37" s="0" t="inlineStr"/>
      <c r="H37" s="0" t="inlineStr"/>
      <c r="I37" s="0" t="inlineStr"/>
      <c r="J37" s="0" t="inlineStr">
        <is>
          <t>No</t>
        </is>
      </c>
    </row>
    <row r="38">
      <c r="A38" s="0" t="inlineStr"/>
      <c r="B38" s="0" t="inlineStr"/>
      <c r="C38" s="19" t="inlineStr"/>
      <c r="D38" s="0" t="inlineStr"/>
      <c r="E38" s="0" t="inlineStr"/>
      <c r="F38" s="0" t="inlineStr"/>
      <c r="G38" s="0" t="inlineStr"/>
      <c r="H38" s="0" t="inlineStr"/>
      <c r="I38" s="0" t="inlineStr"/>
      <c r="J38" s="0" t="inlineStr">
        <is>
          <t>No</t>
        </is>
      </c>
    </row>
    <row r="39">
      <c r="A39" s="0" t="inlineStr"/>
      <c r="B39" s="0" t="inlineStr"/>
      <c r="C39" s="19" t="inlineStr"/>
      <c r="D39" s="0" t="inlineStr"/>
      <c r="E39" s="0" t="inlineStr"/>
      <c r="F39" s="0" t="inlineStr"/>
      <c r="G39" s="0" t="inlineStr"/>
      <c r="H39" s="0" t="inlineStr"/>
      <c r="I39" s="0" t="inlineStr"/>
      <c r="J39" s="0" t="inlineStr">
        <is>
          <t>No</t>
        </is>
      </c>
    </row>
    <row r="40">
      <c r="A40" s="0" t="inlineStr"/>
      <c r="B40" s="0" t="inlineStr"/>
      <c r="C40" s="19" t="inlineStr"/>
      <c r="D40" s="0" t="inlineStr"/>
      <c r="E40" s="0" t="inlineStr"/>
      <c r="F40" s="0" t="inlineStr"/>
      <c r="G40" s="0" t="inlineStr"/>
      <c r="H40" s="0" t="inlineStr"/>
      <c r="I40" s="0" t="inlineStr"/>
      <c r="J40" s="0" t="inlineStr">
        <is>
          <t>No</t>
        </is>
      </c>
    </row>
    <row r="41">
      <c r="A41" s="0" t="inlineStr"/>
      <c r="B41" s="0" t="inlineStr"/>
      <c r="C41" s="19" t="inlineStr"/>
      <c r="D41" s="0" t="inlineStr"/>
      <c r="E41" s="0" t="inlineStr"/>
      <c r="F41" s="0" t="inlineStr"/>
      <c r="G41" s="0" t="inlineStr"/>
      <c r="H41" s="0" t="inlineStr"/>
      <c r="I41" s="0" t="inlineStr"/>
      <c r="J41" s="0" t="inlineStr">
        <is>
          <t>No</t>
        </is>
      </c>
    </row>
    <row r="42">
      <c r="A42" s="0" t="inlineStr"/>
      <c r="B42" s="0" t="inlineStr"/>
      <c r="C42" s="19" t="inlineStr"/>
      <c r="D42" s="0" t="inlineStr"/>
      <c r="E42" s="0" t="inlineStr"/>
      <c r="F42" s="0" t="inlineStr"/>
      <c r="G42" s="0" t="inlineStr"/>
      <c r="H42" s="0" t="inlineStr"/>
      <c r="I42" s="0" t="inlineStr"/>
      <c r="J42" s="0" t="inlineStr">
        <is>
          <t>No</t>
        </is>
      </c>
    </row>
    <row r="43">
      <c r="A43" s="0" t="inlineStr"/>
      <c r="B43" s="0" t="inlineStr"/>
      <c r="C43" s="19" t="inlineStr"/>
      <c r="D43" s="0" t="inlineStr"/>
      <c r="E43" s="0" t="inlineStr"/>
      <c r="F43" s="0" t="inlineStr"/>
      <c r="G43" s="0" t="inlineStr"/>
      <c r="H43" s="0" t="inlineStr"/>
      <c r="I43" s="0" t="inlineStr"/>
      <c r="J43" s="0" t="inlineStr">
        <is>
          <t>No</t>
        </is>
      </c>
    </row>
    <row r="44">
      <c r="A44" s="0" t="inlineStr"/>
      <c r="B44" s="0" t="inlineStr"/>
      <c r="C44" s="19" t="inlineStr"/>
      <c r="D44" s="0" t="inlineStr"/>
      <c r="E44" s="0" t="inlineStr"/>
      <c r="F44" s="0" t="inlineStr"/>
      <c r="G44" s="0" t="inlineStr"/>
      <c r="H44" s="0" t="inlineStr"/>
      <c r="I44" s="0" t="inlineStr"/>
      <c r="J44" s="0" t="inlineStr">
        <is>
          <t>No</t>
        </is>
      </c>
    </row>
    <row r="45">
      <c r="A45" s="0" t="inlineStr"/>
      <c r="B45" s="0" t="inlineStr"/>
      <c r="C45" s="19" t="inlineStr"/>
      <c r="D45" s="0" t="inlineStr"/>
      <c r="E45" s="0" t="inlineStr"/>
      <c r="F45" s="0" t="inlineStr"/>
      <c r="G45" s="0" t="inlineStr"/>
      <c r="H45" s="0" t="inlineStr"/>
      <c r="I45" s="0" t="inlineStr"/>
      <c r="J45" s="0" t="inlineStr">
        <is>
          <t>No</t>
        </is>
      </c>
    </row>
    <row r="46">
      <c r="A46" s="0" t="inlineStr"/>
      <c r="B46" s="0" t="inlineStr"/>
      <c r="C46" s="19" t="inlineStr"/>
      <c r="D46" s="0" t="inlineStr"/>
      <c r="E46" s="0" t="inlineStr"/>
      <c r="F46" s="0" t="inlineStr"/>
      <c r="G46" s="0" t="inlineStr"/>
      <c r="H46" s="0" t="inlineStr"/>
      <c r="I46" s="0" t="inlineStr"/>
      <c r="J46" s="0" t="inlineStr">
        <is>
          <t>No</t>
        </is>
      </c>
    </row>
    <row r="47">
      <c r="A47" s="0" t="inlineStr"/>
      <c r="B47" s="0" t="inlineStr"/>
      <c r="C47" s="19" t="inlineStr"/>
      <c r="D47" s="0" t="inlineStr"/>
      <c r="E47" s="0" t="inlineStr"/>
      <c r="F47" s="0" t="inlineStr"/>
      <c r="G47" s="0" t="inlineStr"/>
      <c r="H47" s="0" t="inlineStr"/>
      <c r="I47" s="0" t="inlineStr"/>
      <c r="J47" s="0" t="inlineStr">
        <is>
          <t>No</t>
        </is>
      </c>
    </row>
    <row r="48">
      <c r="A48" s="0" t="inlineStr"/>
      <c r="B48" s="0" t="inlineStr"/>
      <c r="C48" s="19" t="inlineStr"/>
      <c r="D48" s="0" t="inlineStr"/>
      <c r="E48" s="0" t="inlineStr"/>
      <c r="F48" s="0" t="inlineStr"/>
      <c r="G48" s="0" t="inlineStr"/>
      <c r="H48" s="0" t="inlineStr"/>
      <c r="I48" s="0" t="inlineStr"/>
      <c r="J48" s="0" t="inlineStr">
        <is>
          <t>No</t>
        </is>
      </c>
    </row>
    <row r="49">
      <c r="A49" s="0" t="inlineStr"/>
      <c r="B49" s="0" t="inlineStr"/>
      <c r="C49" s="19" t="inlineStr"/>
      <c r="D49" s="0" t="inlineStr"/>
      <c r="E49" s="0" t="inlineStr"/>
      <c r="F49" s="0" t="inlineStr"/>
      <c r="G49" s="0" t="inlineStr"/>
      <c r="H49" s="0" t="inlineStr"/>
      <c r="I49" s="0" t="inlineStr"/>
      <c r="J49" s="0" t="inlineStr">
        <is>
          <t>No</t>
        </is>
      </c>
    </row>
    <row r="50">
      <c r="A50" s="0" t="inlineStr"/>
      <c r="B50" s="0" t="inlineStr"/>
      <c r="C50" s="19" t="inlineStr"/>
      <c r="D50" s="0" t="inlineStr"/>
      <c r="E50" s="0" t="inlineStr"/>
      <c r="F50" s="0" t="inlineStr"/>
      <c r="G50" s="0" t="inlineStr"/>
      <c r="H50" s="0" t="inlineStr"/>
      <c r="I50" s="0" t="inlineStr"/>
      <c r="J50" s="0" t="inlineStr">
        <is>
          <t>No</t>
        </is>
      </c>
    </row>
    <row r="51">
      <c r="A51" s="0" t="inlineStr"/>
      <c r="B51" s="0" t="inlineStr"/>
      <c r="C51" s="19" t="inlineStr"/>
      <c r="D51" s="0" t="inlineStr"/>
      <c r="E51" s="0" t="inlineStr"/>
      <c r="F51" s="0" t="inlineStr"/>
      <c r="G51" s="0" t="inlineStr"/>
      <c r="H51" s="0" t="inlineStr"/>
      <c r="I51" s="0" t="inlineStr"/>
      <c r="J51" s="0" t="inlineStr">
        <is>
          <t>No</t>
        </is>
      </c>
    </row>
    <row r="52">
      <c r="A52" s="0" t="inlineStr"/>
      <c r="B52" s="0" t="inlineStr"/>
      <c r="C52" s="19" t="inlineStr"/>
      <c r="D52" s="0" t="inlineStr"/>
      <c r="E52" s="0" t="inlineStr"/>
      <c r="F52" s="0" t="inlineStr"/>
      <c r="G52" s="0" t="inlineStr"/>
      <c r="H52" s="0" t="inlineStr"/>
      <c r="I52" s="0" t="inlineStr"/>
      <c r="J52" s="0" t="inlineStr">
        <is>
          <t>No</t>
        </is>
      </c>
    </row>
    <row r="53">
      <c r="A53" s="0" t="inlineStr"/>
      <c r="B53" s="0" t="inlineStr"/>
      <c r="C53" s="19" t="inlineStr"/>
      <c r="D53" s="0" t="inlineStr"/>
      <c r="E53" s="0" t="inlineStr"/>
      <c r="F53" s="0" t="inlineStr"/>
      <c r="G53" s="0" t="inlineStr"/>
      <c r="H53" s="0" t="inlineStr"/>
      <c r="I53" s="0" t="inlineStr"/>
      <c r="J53" s="0" t="inlineStr">
        <is>
          <t>No</t>
        </is>
      </c>
    </row>
    <row r="54">
      <c r="A54" s="0" t="inlineStr"/>
      <c r="B54" s="0" t="inlineStr"/>
      <c r="C54" s="19" t="inlineStr"/>
      <c r="D54" s="0" t="inlineStr"/>
      <c r="E54" s="0" t="inlineStr"/>
      <c r="F54" s="0" t="inlineStr"/>
      <c r="G54" s="0" t="inlineStr"/>
      <c r="H54" s="0" t="inlineStr"/>
      <c r="I54" s="0" t="inlineStr"/>
      <c r="J54" s="0" t="inlineStr">
        <is>
          <t>No</t>
        </is>
      </c>
    </row>
    <row r="55">
      <c r="A55" s="0" t="inlineStr"/>
      <c r="B55" s="0" t="inlineStr"/>
      <c r="C55" s="19" t="inlineStr"/>
      <c r="D55" s="0" t="inlineStr"/>
      <c r="E55" s="0" t="inlineStr"/>
      <c r="F55" s="0" t="inlineStr"/>
      <c r="G55" s="0" t="inlineStr"/>
      <c r="H55" s="0" t="inlineStr"/>
      <c r="I55" s="0" t="inlineStr"/>
      <c r="J55" s="0" t="inlineStr">
        <is>
          <t>No</t>
        </is>
      </c>
    </row>
    <row r="56">
      <c r="A56" s="0" t="inlineStr"/>
      <c r="B56" s="0" t="inlineStr"/>
      <c r="C56" s="19" t="inlineStr"/>
      <c r="D56" s="0" t="inlineStr"/>
      <c r="E56" s="0" t="inlineStr"/>
      <c r="F56" s="0" t="inlineStr"/>
      <c r="G56" s="0" t="inlineStr"/>
      <c r="H56" s="0" t="inlineStr"/>
      <c r="I56" s="0" t="inlineStr"/>
      <c r="J56" s="0" t="inlineStr">
        <is>
          <t>No</t>
        </is>
      </c>
    </row>
    <row r="57">
      <c r="A57" s="0" t="inlineStr"/>
      <c r="B57" s="0" t="inlineStr"/>
      <c r="C57" s="19" t="inlineStr"/>
      <c r="D57" s="0" t="inlineStr"/>
      <c r="E57" s="0" t="inlineStr"/>
      <c r="F57" s="0" t="inlineStr"/>
      <c r="G57" s="0" t="inlineStr"/>
      <c r="H57" s="0" t="inlineStr"/>
      <c r="I57" s="0" t="inlineStr"/>
      <c r="J57" s="0" t="inlineStr">
        <is>
          <t>No</t>
        </is>
      </c>
    </row>
    <row r="58">
      <c r="A58" s="0" t="inlineStr"/>
      <c r="B58" s="0" t="inlineStr"/>
      <c r="C58" s="19" t="inlineStr"/>
      <c r="D58" s="0" t="inlineStr"/>
      <c r="E58" s="0" t="inlineStr"/>
      <c r="F58" s="0" t="inlineStr"/>
      <c r="G58" s="0" t="inlineStr"/>
      <c r="H58" s="0" t="inlineStr"/>
      <c r="I58" s="0" t="inlineStr"/>
      <c r="J58" s="0" t="inlineStr">
        <is>
          <t>No</t>
        </is>
      </c>
    </row>
    <row r="59">
      <c r="A59" s="0" t="inlineStr"/>
      <c r="B59" s="0" t="inlineStr"/>
      <c r="C59" s="19" t="inlineStr"/>
      <c r="D59" s="0" t="inlineStr"/>
      <c r="E59" s="0" t="inlineStr"/>
      <c r="F59" s="0" t="inlineStr"/>
      <c r="G59" s="0" t="inlineStr"/>
      <c r="H59" s="0" t="inlineStr"/>
      <c r="I59" s="0" t="inlineStr"/>
      <c r="J59" s="0" t="inlineStr">
        <is>
          <t>No</t>
        </is>
      </c>
    </row>
    <row r="60">
      <c r="A60" s="0" t="inlineStr"/>
      <c r="B60" s="0" t="inlineStr"/>
      <c r="C60" s="19" t="inlineStr"/>
      <c r="D60" s="0" t="inlineStr"/>
      <c r="E60" s="0" t="inlineStr"/>
      <c r="F60" s="0" t="inlineStr"/>
      <c r="G60" s="0" t="inlineStr"/>
      <c r="H60" s="0" t="inlineStr"/>
      <c r="I60" s="0" t="inlineStr"/>
      <c r="J60" s="0" t="inlineStr">
        <is>
          <t>No</t>
        </is>
      </c>
    </row>
    <row r="61">
      <c r="A61" s="0" t="inlineStr"/>
      <c r="B61" s="0" t="inlineStr"/>
      <c r="C61" s="19" t="inlineStr"/>
      <c r="D61" s="0" t="inlineStr"/>
      <c r="E61" s="0" t="inlineStr"/>
      <c r="F61" s="0" t="inlineStr"/>
      <c r="G61" s="0" t="inlineStr"/>
      <c r="H61" s="0" t="inlineStr"/>
      <c r="I61" s="0" t="inlineStr"/>
      <c r="J61" s="0" t="inlineStr">
        <is>
          <t>No</t>
        </is>
      </c>
    </row>
    <row r="62">
      <c r="A62" s="0" t="inlineStr"/>
      <c r="B62" s="0" t="inlineStr"/>
      <c r="C62" s="19" t="inlineStr"/>
      <c r="D62" s="0" t="inlineStr"/>
      <c r="E62" s="0" t="inlineStr"/>
      <c r="F62" s="0" t="inlineStr"/>
      <c r="G62" s="0" t="inlineStr"/>
      <c r="H62" s="0" t="inlineStr"/>
      <c r="I62" s="0" t="inlineStr"/>
      <c r="J62" s="0" t="inlineStr">
        <is>
          <t>No</t>
        </is>
      </c>
    </row>
    <row r="63">
      <c r="A63" s="0" t="inlineStr"/>
      <c r="B63" s="0" t="inlineStr"/>
      <c r="C63" s="19" t="inlineStr"/>
      <c r="D63" s="0" t="inlineStr"/>
      <c r="E63" s="0" t="inlineStr"/>
      <c r="F63" s="0" t="inlineStr"/>
      <c r="G63" s="0" t="inlineStr"/>
      <c r="H63" s="0" t="inlineStr"/>
      <c r="I63" s="0" t="inlineStr"/>
      <c r="J63" s="0" t="inlineStr">
        <is>
          <t>No</t>
        </is>
      </c>
    </row>
    <row r="64">
      <c r="A64" s="0" t="inlineStr"/>
      <c r="B64" s="0" t="inlineStr"/>
      <c r="C64" s="19" t="inlineStr"/>
      <c r="D64" s="0" t="inlineStr"/>
      <c r="E64" s="0" t="inlineStr"/>
      <c r="F64" s="0" t="inlineStr"/>
      <c r="G64" s="0" t="inlineStr"/>
      <c r="H64" s="0" t="inlineStr"/>
      <c r="I64" s="0" t="inlineStr"/>
      <c r="J64" s="0" t="inlineStr">
        <is>
          <t>No</t>
        </is>
      </c>
    </row>
    <row r="65">
      <c r="A65" s="0" t="inlineStr"/>
      <c r="B65" s="0" t="inlineStr"/>
      <c r="C65" s="19" t="inlineStr"/>
      <c r="D65" s="0" t="inlineStr"/>
      <c r="E65" s="0" t="inlineStr"/>
      <c r="F65" s="0" t="inlineStr"/>
      <c r="G65" s="0" t="inlineStr"/>
      <c r="H65" s="0" t="inlineStr"/>
      <c r="I65" s="0" t="inlineStr"/>
      <c r="J65" s="0" t="inlineStr">
        <is>
          <t>No</t>
        </is>
      </c>
    </row>
    <row r="66">
      <c r="A66" s="0" t="inlineStr"/>
      <c r="B66" s="0" t="inlineStr"/>
      <c r="C66" s="19" t="inlineStr"/>
      <c r="D66" s="0" t="inlineStr"/>
      <c r="E66" s="0" t="inlineStr"/>
      <c r="F66" s="0" t="inlineStr"/>
      <c r="G66" s="0" t="inlineStr"/>
      <c r="H66" s="0" t="inlineStr"/>
      <c r="I66" s="0" t="inlineStr"/>
      <c r="J66" s="0" t="inlineStr">
        <is>
          <t>No</t>
        </is>
      </c>
    </row>
    <row r="67">
      <c r="A67" s="0" t="inlineStr"/>
      <c r="B67" s="0" t="inlineStr"/>
      <c r="C67" s="19" t="inlineStr"/>
      <c r="D67" s="0" t="inlineStr"/>
      <c r="E67" s="0" t="inlineStr"/>
      <c r="F67" s="0" t="inlineStr"/>
      <c r="G67" s="0" t="inlineStr"/>
      <c r="H67" s="0" t="inlineStr"/>
      <c r="I67" s="0" t="inlineStr"/>
      <c r="J67" s="0" t="inlineStr">
        <is>
          <t>No</t>
        </is>
      </c>
    </row>
    <row r="68">
      <c r="A68" s="0" t="inlineStr"/>
      <c r="B68" s="0" t="inlineStr"/>
      <c r="C68" s="19" t="inlineStr"/>
      <c r="D68" s="0" t="inlineStr"/>
      <c r="E68" s="0" t="inlineStr"/>
      <c r="F68" s="0" t="inlineStr"/>
      <c r="G68" s="0" t="inlineStr"/>
      <c r="H68" s="0" t="inlineStr"/>
      <c r="I68" s="0" t="inlineStr"/>
      <c r="J68" s="0" t="inlineStr">
        <is>
          <t>No</t>
        </is>
      </c>
    </row>
    <row r="69">
      <c r="A69" s="0" t="inlineStr"/>
      <c r="B69" s="0" t="inlineStr"/>
      <c r="C69" s="19" t="inlineStr"/>
      <c r="D69" s="0" t="inlineStr"/>
      <c r="E69" s="0" t="inlineStr"/>
      <c r="F69" s="0" t="inlineStr"/>
      <c r="G69" s="0" t="inlineStr"/>
      <c r="H69" s="0" t="inlineStr"/>
      <c r="I69" s="0" t="inlineStr"/>
      <c r="J69" s="0" t="inlineStr">
        <is>
          <t>No</t>
        </is>
      </c>
    </row>
    <row r="70">
      <c r="A70" s="0" t="inlineStr"/>
      <c r="B70" s="0" t="inlineStr"/>
      <c r="C70" s="19" t="inlineStr"/>
      <c r="D70" s="0" t="inlineStr"/>
      <c r="E70" s="0" t="inlineStr"/>
      <c r="F70" s="0" t="inlineStr"/>
      <c r="G70" s="0" t="inlineStr"/>
      <c r="H70" s="0" t="inlineStr"/>
      <c r="I70" s="0" t="inlineStr"/>
      <c r="J70" s="0" t="inlineStr">
        <is>
          <t>No</t>
        </is>
      </c>
    </row>
    <row r="71">
      <c r="A71" s="0" t="inlineStr"/>
      <c r="B71" s="0" t="inlineStr"/>
      <c r="C71" s="19" t="inlineStr"/>
      <c r="D71" s="0" t="inlineStr"/>
      <c r="E71" s="0" t="inlineStr"/>
      <c r="F71" s="0" t="inlineStr"/>
      <c r="G71" s="0" t="inlineStr"/>
      <c r="H71" s="0" t="inlineStr"/>
      <c r="I71" s="0" t="inlineStr"/>
      <c r="J71" s="0" t="inlineStr">
        <is>
          <t>No</t>
        </is>
      </c>
    </row>
    <row r="72">
      <c r="A72" s="0" t="inlineStr"/>
      <c r="B72" s="0" t="inlineStr"/>
      <c r="C72" s="19" t="inlineStr"/>
      <c r="D72" s="0" t="inlineStr"/>
      <c r="E72" s="0" t="inlineStr"/>
      <c r="F72" s="0" t="inlineStr"/>
      <c r="G72" s="0" t="inlineStr"/>
      <c r="H72" s="0" t="inlineStr"/>
      <c r="I72" s="0" t="inlineStr"/>
      <c r="J72" s="0" t="inlineStr">
        <is>
          <t>No</t>
        </is>
      </c>
    </row>
    <row r="73">
      <c r="A73" s="0" t="inlineStr"/>
      <c r="B73" s="0" t="inlineStr"/>
      <c r="C73" s="19" t="inlineStr"/>
      <c r="D73" s="0" t="inlineStr"/>
      <c r="E73" s="0" t="inlineStr"/>
      <c r="F73" s="0" t="inlineStr"/>
      <c r="G73" s="0" t="inlineStr"/>
      <c r="H73" s="0" t="inlineStr"/>
      <c r="I73" s="0" t="inlineStr"/>
      <c r="J73" s="0" t="inlineStr">
        <is>
          <t>No</t>
        </is>
      </c>
    </row>
    <row r="74">
      <c r="A74" s="0" t="inlineStr"/>
      <c r="B74" s="0" t="inlineStr"/>
      <c r="C74" s="19" t="inlineStr"/>
      <c r="D74" s="0" t="inlineStr"/>
      <c r="E74" s="0" t="inlineStr"/>
      <c r="F74" s="0" t="inlineStr"/>
      <c r="G74" s="0" t="inlineStr"/>
      <c r="H74" s="0" t="inlineStr"/>
      <c r="I74" s="0" t="inlineStr"/>
      <c r="J74" s="0" t="inlineStr">
        <is>
          <t>No</t>
        </is>
      </c>
    </row>
    <row r="75">
      <c r="A75" s="0" t="inlineStr"/>
      <c r="B75" s="0" t="inlineStr"/>
      <c r="C75" s="19" t="inlineStr"/>
      <c r="D75" s="0" t="inlineStr"/>
      <c r="E75" s="0" t="inlineStr"/>
      <c r="F75" s="0" t="inlineStr"/>
      <c r="G75" s="0" t="inlineStr"/>
      <c r="H75" s="0" t="inlineStr"/>
      <c r="I75" s="0" t="inlineStr"/>
      <c r="J75" s="0" t="inlineStr">
        <is>
          <t>No</t>
        </is>
      </c>
    </row>
    <row r="76">
      <c r="A76" s="0" t="inlineStr"/>
      <c r="B76" s="0" t="inlineStr"/>
      <c r="C76" s="19" t="inlineStr"/>
      <c r="D76" s="0" t="inlineStr"/>
      <c r="E76" s="0" t="inlineStr"/>
      <c r="F76" s="0" t="inlineStr"/>
      <c r="G76" s="0" t="inlineStr"/>
      <c r="H76" s="0" t="inlineStr"/>
      <c r="I76" s="0" t="inlineStr"/>
      <c r="J76" s="0" t="inlineStr">
        <is>
          <t>No</t>
        </is>
      </c>
    </row>
    <row r="77">
      <c r="A77" s="0" t="inlineStr"/>
      <c r="B77" s="0" t="inlineStr"/>
      <c r="C77" s="19" t="inlineStr"/>
      <c r="D77" s="0" t="inlineStr"/>
      <c r="E77" s="0" t="inlineStr"/>
      <c r="F77" s="0" t="inlineStr"/>
      <c r="G77" s="0" t="inlineStr"/>
      <c r="H77" s="0" t="inlineStr"/>
      <c r="I77" s="0" t="inlineStr"/>
      <c r="J77" s="0" t="inlineStr">
        <is>
          <t>No</t>
        </is>
      </c>
    </row>
    <row r="78">
      <c r="A78" s="0" t="inlineStr"/>
      <c r="B78" s="0" t="inlineStr"/>
      <c r="C78" s="19" t="inlineStr"/>
      <c r="D78" s="0" t="inlineStr"/>
      <c r="E78" s="0" t="inlineStr"/>
      <c r="F78" s="0" t="inlineStr"/>
      <c r="G78" s="0" t="inlineStr"/>
      <c r="H78" s="0" t="inlineStr"/>
      <c r="I78" s="0" t="inlineStr"/>
      <c r="J78" s="0" t="inlineStr">
        <is>
          <t>No</t>
        </is>
      </c>
    </row>
    <row r="79">
      <c r="A79" s="0" t="inlineStr"/>
      <c r="B79" s="0" t="inlineStr"/>
      <c r="C79" s="19" t="inlineStr"/>
      <c r="D79" s="0" t="inlineStr"/>
      <c r="E79" s="0" t="inlineStr"/>
      <c r="F79" s="0" t="inlineStr"/>
      <c r="G79" s="0" t="inlineStr"/>
      <c r="H79" s="0" t="inlineStr"/>
      <c r="I79" s="0" t="inlineStr"/>
      <c r="J79" s="0" t="inlineStr">
        <is>
          <t>No</t>
        </is>
      </c>
    </row>
    <row r="80">
      <c r="A80" s="0" t="inlineStr"/>
      <c r="B80" s="0" t="inlineStr"/>
      <c r="C80" s="19" t="inlineStr"/>
      <c r="D80" s="0" t="inlineStr"/>
      <c r="E80" s="0" t="inlineStr"/>
      <c r="F80" s="0" t="inlineStr"/>
      <c r="G80" s="0" t="inlineStr"/>
      <c r="H80" s="0" t="inlineStr"/>
      <c r="I80" s="0" t="inlineStr"/>
      <c r="J80" s="0" t="inlineStr">
        <is>
          <t>No</t>
        </is>
      </c>
    </row>
    <row r="81">
      <c r="A81" s="0" t="inlineStr"/>
      <c r="B81" s="0" t="inlineStr"/>
      <c r="C81" s="19" t="inlineStr"/>
      <c r="D81" s="0" t="inlineStr"/>
      <c r="E81" s="0" t="inlineStr"/>
      <c r="F81" s="0" t="inlineStr"/>
      <c r="G81" s="0" t="inlineStr"/>
      <c r="H81" s="0" t="inlineStr"/>
      <c r="I81" s="0" t="inlineStr"/>
      <c r="J81" s="0" t="inlineStr">
        <is>
          <t>No</t>
        </is>
      </c>
    </row>
    <row r="82">
      <c r="A82" s="0" t="inlineStr"/>
      <c r="B82" s="0" t="inlineStr"/>
      <c r="C82" s="19" t="inlineStr"/>
      <c r="D82" s="0" t="inlineStr"/>
      <c r="E82" s="0" t="inlineStr"/>
      <c r="F82" s="0" t="inlineStr"/>
      <c r="G82" s="0" t="inlineStr"/>
      <c r="H82" s="0" t="inlineStr"/>
      <c r="I82" s="0" t="inlineStr"/>
      <c r="J82" s="0" t="inlineStr">
        <is>
          <t>No</t>
        </is>
      </c>
    </row>
    <row r="83">
      <c r="A83" s="0" t="inlineStr"/>
      <c r="B83" s="0" t="inlineStr"/>
      <c r="C83" s="19" t="inlineStr"/>
      <c r="D83" s="0" t="inlineStr"/>
      <c r="E83" s="0" t="inlineStr"/>
      <c r="F83" s="0" t="inlineStr"/>
      <c r="G83" s="0" t="inlineStr"/>
      <c r="H83" s="0" t="inlineStr"/>
      <c r="I83" s="0" t="inlineStr"/>
      <c r="J83" s="0" t="inlineStr">
        <is>
          <t>No</t>
        </is>
      </c>
    </row>
    <row r="84">
      <c r="A84" s="0" t="inlineStr"/>
      <c r="B84" s="0" t="inlineStr"/>
      <c r="C84" s="19" t="inlineStr"/>
      <c r="D84" s="0" t="inlineStr"/>
      <c r="E84" s="0" t="inlineStr"/>
      <c r="F84" s="0" t="inlineStr"/>
      <c r="G84" s="0" t="inlineStr"/>
      <c r="H84" s="0" t="inlineStr"/>
      <c r="I84" s="0" t="inlineStr"/>
      <c r="J84" s="0" t="inlineStr">
        <is>
          <t>No</t>
        </is>
      </c>
    </row>
    <row r="85">
      <c r="A85" s="0" t="inlineStr"/>
      <c r="B85" s="0" t="inlineStr"/>
      <c r="C85" s="19" t="inlineStr"/>
      <c r="D85" s="0" t="inlineStr"/>
      <c r="E85" s="0" t="inlineStr"/>
      <c r="F85" s="0" t="inlineStr"/>
      <c r="G85" s="0" t="inlineStr"/>
      <c r="H85" s="0" t="inlineStr"/>
      <c r="I85" s="0" t="inlineStr"/>
      <c r="J85" s="0" t="inlineStr">
        <is>
          <t>No</t>
        </is>
      </c>
    </row>
    <row r="86">
      <c r="A86" s="0" t="inlineStr"/>
      <c r="B86" s="0" t="inlineStr"/>
      <c r="C86" s="19" t="inlineStr"/>
      <c r="D86" s="0" t="inlineStr"/>
      <c r="E86" s="0" t="inlineStr"/>
      <c r="F86" s="0" t="inlineStr"/>
      <c r="G86" s="0" t="inlineStr"/>
      <c r="H86" s="0" t="inlineStr"/>
      <c r="I86" s="0" t="inlineStr"/>
      <c r="J86" s="0" t="inlineStr">
        <is>
          <t>No</t>
        </is>
      </c>
    </row>
    <row r="87">
      <c r="A87" s="0" t="inlineStr"/>
      <c r="B87" s="0" t="inlineStr"/>
      <c r="C87" s="19" t="inlineStr"/>
      <c r="D87" s="0" t="inlineStr"/>
      <c r="E87" s="0" t="inlineStr"/>
      <c r="F87" s="0" t="inlineStr"/>
      <c r="G87" s="0" t="inlineStr"/>
      <c r="H87" s="0" t="inlineStr"/>
      <c r="I87" s="0" t="inlineStr"/>
      <c r="J87" s="0" t="inlineStr">
        <is>
          <t>No</t>
        </is>
      </c>
    </row>
    <row r="88">
      <c r="A88" s="0" t="inlineStr"/>
      <c r="B88" s="0" t="inlineStr"/>
      <c r="C88" s="19" t="inlineStr"/>
      <c r="D88" s="0" t="inlineStr"/>
      <c r="E88" s="0" t="inlineStr"/>
      <c r="F88" s="0" t="inlineStr"/>
      <c r="G88" s="0" t="inlineStr"/>
      <c r="H88" s="0" t="inlineStr"/>
      <c r="I88" s="0" t="inlineStr"/>
      <c r="J88" s="0" t="inlineStr">
        <is>
          <t>No</t>
        </is>
      </c>
    </row>
    <row r="89">
      <c r="A89" s="0" t="inlineStr"/>
      <c r="B89" s="0" t="inlineStr"/>
      <c r="C89" s="19" t="inlineStr"/>
      <c r="D89" s="0" t="inlineStr"/>
      <c r="E89" s="0" t="inlineStr"/>
      <c r="F89" s="0" t="inlineStr"/>
      <c r="G89" s="0" t="inlineStr"/>
      <c r="H89" s="0" t="inlineStr"/>
      <c r="I89" s="0" t="inlineStr"/>
      <c r="J89" s="0" t="inlineStr">
        <is>
          <t>No</t>
        </is>
      </c>
    </row>
    <row r="90">
      <c r="A90" s="0" t="inlineStr"/>
      <c r="B90" s="0" t="inlineStr"/>
      <c r="C90" s="19" t="inlineStr"/>
      <c r="D90" s="0" t="inlineStr"/>
      <c r="E90" s="0" t="inlineStr"/>
      <c r="F90" s="0" t="inlineStr"/>
      <c r="G90" s="0" t="inlineStr"/>
      <c r="H90" s="0" t="inlineStr"/>
      <c r="I90" s="0" t="inlineStr"/>
      <c r="J90" s="0" t="inlineStr">
        <is>
          <t>No</t>
        </is>
      </c>
    </row>
    <row r="91">
      <c r="A91" s="0" t="inlineStr"/>
      <c r="B91" s="0" t="inlineStr"/>
      <c r="C91" s="19" t="inlineStr"/>
      <c r="D91" s="0" t="inlineStr"/>
      <c r="E91" s="0" t="inlineStr"/>
      <c r="F91" s="0" t="inlineStr"/>
      <c r="G91" s="0" t="inlineStr"/>
      <c r="H91" s="0" t="inlineStr"/>
      <c r="I91" s="0" t="inlineStr"/>
      <c r="J91" s="0" t="inlineStr">
        <is>
          <t>No</t>
        </is>
      </c>
    </row>
    <row r="92">
      <c r="A92" s="0" t="inlineStr"/>
      <c r="B92" s="0" t="inlineStr"/>
      <c r="C92" s="19" t="inlineStr"/>
      <c r="D92" s="0" t="inlineStr"/>
      <c r="E92" s="0" t="inlineStr"/>
      <c r="F92" s="0" t="inlineStr"/>
      <c r="G92" s="0" t="inlineStr"/>
      <c r="H92" s="0" t="inlineStr"/>
      <c r="I92" s="0" t="inlineStr"/>
      <c r="J92" s="0" t="inlineStr">
        <is>
          <t>No</t>
        </is>
      </c>
    </row>
    <row r="93">
      <c r="A93" s="0" t="inlineStr"/>
      <c r="B93" s="0" t="inlineStr"/>
      <c r="C93" s="19" t="inlineStr"/>
      <c r="D93" s="0" t="inlineStr"/>
      <c r="E93" s="0" t="inlineStr"/>
      <c r="F93" s="0" t="inlineStr"/>
      <c r="G93" s="0" t="inlineStr"/>
      <c r="H93" s="0" t="inlineStr"/>
      <c r="I93" s="0" t="inlineStr"/>
      <c r="J93" s="0" t="inlineStr">
        <is>
          <t>No</t>
        </is>
      </c>
    </row>
    <row r="94">
      <c r="A94" s="0" t="inlineStr"/>
      <c r="B94" s="0" t="inlineStr"/>
      <c r="C94" s="19" t="inlineStr"/>
      <c r="D94" s="0" t="inlineStr"/>
      <c r="E94" s="0" t="inlineStr"/>
      <c r="F94" s="0" t="inlineStr"/>
      <c r="G94" s="0" t="inlineStr"/>
      <c r="H94" s="0" t="inlineStr"/>
      <c r="I94" s="0" t="inlineStr"/>
      <c r="J94" s="0" t="inlineStr">
        <is>
          <t>No</t>
        </is>
      </c>
    </row>
    <row r="95">
      <c r="A95" s="0" t="inlineStr"/>
      <c r="B95" s="0" t="inlineStr"/>
      <c r="C95" s="19" t="inlineStr"/>
      <c r="D95" s="0" t="inlineStr"/>
      <c r="E95" s="0" t="inlineStr"/>
      <c r="F95" s="0" t="inlineStr"/>
      <c r="G95" s="0" t="inlineStr"/>
      <c r="H95" s="0" t="inlineStr"/>
      <c r="I95" s="0" t="inlineStr"/>
      <c r="J95" s="0" t="inlineStr">
        <is>
          <t>No</t>
        </is>
      </c>
    </row>
    <row r="96">
      <c r="A96" s="0" t="inlineStr"/>
      <c r="B96" s="0" t="inlineStr"/>
      <c r="C96" s="19" t="inlineStr"/>
      <c r="D96" s="0" t="inlineStr"/>
      <c r="E96" s="0" t="inlineStr"/>
      <c r="F96" s="0" t="inlineStr"/>
      <c r="G96" s="0" t="inlineStr"/>
      <c r="H96" s="0" t="inlineStr"/>
      <c r="I96" s="0" t="inlineStr"/>
      <c r="J96" s="0" t="inlineStr">
        <is>
          <t>No</t>
        </is>
      </c>
    </row>
    <row r="97">
      <c r="A97" s="0" t="inlineStr"/>
      <c r="B97" s="0" t="inlineStr"/>
      <c r="C97" s="19" t="inlineStr"/>
      <c r="D97" s="0" t="inlineStr"/>
      <c r="E97" s="0" t="inlineStr"/>
      <c r="F97" s="0" t="inlineStr"/>
      <c r="G97" s="0" t="inlineStr"/>
      <c r="H97" s="0" t="inlineStr"/>
      <c r="I97" s="0" t="inlineStr"/>
      <c r="J97" s="0" t="inlineStr">
        <is>
          <t>No</t>
        </is>
      </c>
    </row>
    <row r="98">
      <c r="A98" s="0" t="inlineStr"/>
      <c r="B98" s="0" t="inlineStr"/>
      <c r="C98" s="19" t="inlineStr"/>
      <c r="D98" s="0" t="inlineStr"/>
      <c r="E98" s="0" t="inlineStr"/>
      <c r="F98" s="0" t="inlineStr"/>
      <c r="G98" s="0" t="inlineStr"/>
      <c r="H98" s="0" t="inlineStr"/>
      <c r="I98" s="0" t="inlineStr"/>
      <c r="J98" s="0" t="inlineStr">
        <is>
          <t>No</t>
        </is>
      </c>
    </row>
    <row r="99">
      <c r="A99" s="0" t="inlineStr"/>
      <c r="B99" s="0" t="inlineStr"/>
      <c r="C99" s="19" t="inlineStr"/>
      <c r="D99" s="0" t="inlineStr"/>
      <c r="E99" s="0" t="inlineStr"/>
      <c r="F99" s="0" t="inlineStr"/>
      <c r="G99" s="0" t="inlineStr"/>
      <c r="H99" s="0" t="inlineStr"/>
      <c r="I99" s="0" t="inlineStr"/>
      <c r="J99" s="0" t="inlineStr">
        <is>
          <t>No</t>
        </is>
      </c>
    </row>
    <row r="100">
      <c r="A100" s="0" t="inlineStr"/>
      <c r="B100" s="0" t="inlineStr"/>
      <c r="C100" s="19" t="inlineStr"/>
      <c r="D100" s="0" t="inlineStr"/>
      <c r="E100" s="0" t="inlineStr"/>
      <c r="F100" s="0" t="inlineStr"/>
      <c r="G100" s="0" t="inlineStr"/>
      <c r="H100" s="0" t="inlineStr"/>
      <c r="I100" s="0" t="inlineStr"/>
      <c r="J100" s="0" t="inlineStr">
        <is>
          <t>No</t>
        </is>
      </c>
    </row>
    <row r="101">
      <c r="A101" s="0" t="inlineStr"/>
      <c r="B101" s="0" t="inlineStr"/>
      <c r="C101" s="19" t="inlineStr"/>
      <c r="D101" s="0" t="inlineStr"/>
      <c r="E101" s="0" t="inlineStr"/>
      <c r="F101" s="0" t="inlineStr"/>
      <c r="G101" s="0" t="inlineStr"/>
      <c r="H101" s="0" t="inlineStr"/>
      <c r="I101" s="0" t="inlineStr"/>
      <c r="J101" s="0" t="inlineStr">
        <is>
          <t>No</t>
        </is>
      </c>
    </row>
    <row r="102">
      <c r="A102" s="0" t="inlineStr"/>
      <c r="B102" s="0" t="inlineStr"/>
      <c r="C102" s="19" t="inlineStr"/>
      <c r="D102" s="0" t="inlineStr"/>
      <c r="E102" s="0" t="inlineStr"/>
      <c r="F102" s="0" t="inlineStr"/>
      <c r="G102" s="0" t="inlineStr"/>
      <c r="H102" s="0" t="inlineStr"/>
      <c r="I102" s="0" t="inlineStr"/>
      <c r="J102" s="0" t="inlineStr">
        <is>
          <t>No</t>
        </is>
      </c>
    </row>
    <row r="103">
      <c r="A103" s="0" t="inlineStr"/>
      <c r="B103" s="0" t="inlineStr"/>
      <c r="C103" s="19" t="inlineStr"/>
      <c r="D103" s="0" t="inlineStr"/>
      <c r="E103" s="0" t="inlineStr"/>
      <c r="F103" s="0" t="inlineStr"/>
      <c r="G103" s="0" t="inlineStr"/>
      <c r="H103" s="0" t="inlineStr"/>
      <c r="I103" s="0" t="inlineStr"/>
      <c r="J103" s="0" t="inlineStr">
        <is>
          <t>No</t>
        </is>
      </c>
    </row>
    <row r="104">
      <c r="A104" s="0" t="inlineStr"/>
      <c r="B104" s="0" t="inlineStr"/>
      <c r="C104" s="19" t="inlineStr"/>
      <c r="D104" s="0" t="inlineStr"/>
      <c r="E104" s="0" t="inlineStr"/>
      <c r="F104" s="0" t="inlineStr"/>
      <c r="G104" s="0" t="inlineStr"/>
      <c r="H104" s="0" t="inlineStr"/>
      <c r="I104" s="0" t="inlineStr"/>
      <c r="J104" s="0" t="inlineStr">
        <is>
          <t>No</t>
        </is>
      </c>
    </row>
    <row r="105">
      <c r="A105" s="0" t="inlineStr"/>
      <c r="B105" s="0" t="inlineStr"/>
      <c r="C105" s="19" t="inlineStr"/>
      <c r="D105" s="0" t="inlineStr"/>
      <c r="E105" s="0" t="inlineStr"/>
      <c r="F105" s="0" t="inlineStr"/>
      <c r="G105" s="0" t="inlineStr"/>
      <c r="H105" s="0" t="inlineStr"/>
      <c r="I105" s="0" t="inlineStr"/>
      <c r="J105" s="0" t="inlineStr">
        <is>
          <t>No</t>
        </is>
      </c>
    </row>
    <row r="106">
      <c r="A106" s="0" t="inlineStr"/>
      <c r="B106" s="0" t="inlineStr"/>
      <c r="C106" s="19" t="inlineStr"/>
      <c r="D106" s="0" t="inlineStr"/>
      <c r="E106" s="0" t="inlineStr"/>
      <c r="F106" s="0" t="inlineStr"/>
      <c r="G106" s="0" t="inlineStr"/>
      <c r="H106" s="0" t="inlineStr"/>
      <c r="I106" s="0" t="inlineStr"/>
      <c r="J106" s="0" t="inlineStr">
        <is>
          <t>No</t>
        </is>
      </c>
    </row>
    <row r="107">
      <c r="A107" s="0" t="inlineStr"/>
      <c r="B107" s="0" t="inlineStr"/>
      <c r="C107" s="19" t="inlineStr"/>
      <c r="D107" s="0" t="inlineStr"/>
      <c r="E107" s="0" t="inlineStr"/>
      <c r="F107" s="0" t="inlineStr"/>
      <c r="G107" s="0" t="inlineStr"/>
      <c r="H107" s="0" t="inlineStr"/>
      <c r="I107" s="0" t="inlineStr"/>
      <c r="J107" s="0" t="inlineStr">
        <is>
          <t>No</t>
        </is>
      </c>
    </row>
    <row r="108">
      <c r="A108" s="0" t="inlineStr"/>
      <c r="B108" s="0" t="inlineStr"/>
      <c r="C108" s="19" t="inlineStr"/>
      <c r="D108" s="0" t="inlineStr"/>
      <c r="E108" s="0" t="inlineStr"/>
      <c r="F108" s="0" t="inlineStr"/>
      <c r="G108" s="0" t="inlineStr"/>
      <c r="H108" s="0" t="inlineStr"/>
      <c r="I108" s="0" t="inlineStr"/>
      <c r="J108" s="0" t="inlineStr">
        <is>
          <t>No</t>
        </is>
      </c>
    </row>
    <row r="109">
      <c r="A109" s="0" t="inlineStr"/>
      <c r="B109" s="0" t="inlineStr"/>
      <c r="C109" s="19" t="inlineStr"/>
      <c r="D109" s="0" t="inlineStr"/>
      <c r="E109" s="0" t="inlineStr"/>
      <c r="F109" s="0" t="inlineStr"/>
      <c r="G109" s="0" t="inlineStr"/>
      <c r="H109" s="0" t="inlineStr"/>
      <c r="I109" s="0" t="inlineStr"/>
      <c r="J109" s="0" t="inlineStr">
        <is>
          <t>No</t>
        </is>
      </c>
    </row>
    <row r="110">
      <c r="A110" s="0" t="inlineStr"/>
      <c r="B110" s="0" t="inlineStr"/>
      <c r="C110" s="19" t="inlineStr"/>
      <c r="D110" s="0" t="inlineStr"/>
      <c r="E110" s="0" t="inlineStr"/>
      <c r="F110" s="0" t="inlineStr"/>
      <c r="G110" s="0" t="inlineStr"/>
      <c r="H110" s="0" t="inlineStr"/>
      <c r="I110" s="0" t="inlineStr"/>
      <c r="J110" s="0" t="inlineStr">
        <is>
          <t>No</t>
        </is>
      </c>
    </row>
    <row r="111">
      <c r="A111" s="0" t="inlineStr"/>
      <c r="B111" s="0" t="inlineStr"/>
      <c r="C111" s="19" t="inlineStr"/>
      <c r="D111" s="0" t="inlineStr"/>
      <c r="E111" s="0" t="inlineStr"/>
      <c r="F111" s="0" t="inlineStr"/>
      <c r="G111" s="0" t="inlineStr"/>
      <c r="H111" s="0" t="inlineStr"/>
      <c r="I111" s="0" t="inlineStr"/>
      <c r="J111" s="0" t="inlineStr">
        <is>
          <t>No</t>
        </is>
      </c>
    </row>
    <row r="112">
      <c r="A112" s="0" t="inlineStr"/>
      <c r="B112" s="0" t="inlineStr"/>
      <c r="C112" s="19" t="inlineStr"/>
      <c r="D112" s="0" t="inlineStr"/>
      <c r="E112" s="0" t="inlineStr"/>
      <c r="F112" s="0" t="inlineStr"/>
      <c r="G112" s="0" t="inlineStr"/>
      <c r="H112" s="0" t="inlineStr"/>
      <c r="I112" s="0" t="inlineStr"/>
      <c r="J112" s="0" t="inlineStr">
        <is>
          <t>No</t>
        </is>
      </c>
    </row>
    <row r="113">
      <c r="A113" s="0" t="inlineStr"/>
      <c r="B113" s="0" t="inlineStr"/>
      <c r="C113" s="19" t="inlineStr"/>
      <c r="D113" s="0" t="inlineStr"/>
      <c r="E113" s="0" t="inlineStr"/>
      <c r="F113" s="0" t="inlineStr"/>
      <c r="G113" s="0" t="inlineStr"/>
      <c r="H113" s="0" t="inlineStr"/>
      <c r="I113" s="0" t="inlineStr"/>
      <c r="J113" s="0" t="inlineStr">
        <is>
          <t>No</t>
        </is>
      </c>
    </row>
    <row r="114">
      <c r="A114" s="0" t="inlineStr"/>
      <c r="B114" s="0" t="inlineStr"/>
      <c r="C114" s="19" t="inlineStr"/>
      <c r="D114" s="0" t="inlineStr"/>
      <c r="E114" s="0" t="inlineStr"/>
      <c r="F114" s="0" t="inlineStr"/>
      <c r="G114" s="0" t="inlineStr"/>
      <c r="H114" s="0" t="inlineStr"/>
      <c r="I114" s="0" t="inlineStr"/>
      <c r="J114" s="0" t="inlineStr">
        <is>
          <t>No</t>
        </is>
      </c>
    </row>
    <row r="115">
      <c r="A115" s="0" t="inlineStr"/>
      <c r="B115" s="0" t="inlineStr"/>
      <c r="C115" s="19" t="inlineStr"/>
      <c r="D115" s="0" t="inlineStr"/>
      <c r="E115" s="0" t="inlineStr"/>
      <c r="F115" s="0" t="inlineStr"/>
      <c r="G115" s="0" t="inlineStr"/>
      <c r="H115" s="0" t="inlineStr"/>
      <c r="I115" s="0" t="inlineStr"/>
      <c r="J115" s="0" t="inlineStr">
        <is>
          <t>No</t>
        </is>
      </c>
    </row>
    <row r="116">
      <c r="A116" s="0" t="inlineStr"/>
      <c r="B116" s="0" t="inlineStr"/>
      <c r="C116" s="19" t="inlineStr"/>
      <c r="D116" s="0" t="inlineStr"/>
      <c r="E116" s="0" t="inlineStr"/>
      <c r="F116" s="0" t="inlineStr"/>
      <c r="G116" s="0" t="inlineStr"/>
      <c r="H116" s="0" t="inlineStr"/>
      <c r="I116" s="0" t="inlineStr"/>
      <c r="J116" s="0" t="inlineStr">
        <is>
          <t>No</t>
        </is>
      </c>
    </row>
    <row r="117">
      <c r="A117" s="0" t="inlineStr"/>
      <c r="B117" s="0" t="inlineStr"/>
      <c r="C117" s="19" t="inlineStr"/>
      <c r="D117" s="0" t="inlineStr"/>
      <c r="E117" s="0" t="inlineStr"/>
      <c r="F117" s="0" t="inlineStr"/>
      <c r="G117" s="0" t="inlineStr"/>
      <c r="H117" s="0" t="inlineStr"/>
      <c r="I117" s="0" t="inlineStr"/>
      <c r="J117" s="0" t="inlineStr">
        <is>
          <t>No</t>
        </is>
      </c>
    </row>
    <row r="118">
      <c r="A118" s="0" t="inlineStr"/>
      <c r="B118" s="0" t="inlineStr"/>
      <c r="C118" s="19" t="inlineStr"/>
      <c r="D118" s="0" t="inlineStr"/>
      <c r="E118" s="0" t="inlineStr"/>
      <c r="F118" s="0" t="inlineStr"/>
      <c r="G118" s="0" t="inlineStr"/>
      <c r="H118" s="0" t="inlineStr"/>
      <c r="I118" s="0" t="inlineStr"/>
      <c r="J118" s="0" t="inlineStr">
        <is>
          <t>No</t>
        </is>
      </c>
    </row>
    <row r="119">
      <c r="A119" s="0" t="inlineStr"/>
      <c r="B119" s="0" t="inlineStr"/>
      <c r="C119" s="19" t="inlineStr"/>
      <c r="D119" s="0" t="inlineStr"/>
      <c r="E119" s="0" t="inlineStr"/>
      <c r="F119" s="0" t="inlineStr"/>
      <c r="G119" s="0" t="inlineStr"/>
      <c r="H119" s="0" t="inlineStr"/>
      <c r="I119" s="0" t="inlineStr"/>
      <c r="J119" s="0" t="inlineStr">
        <is>
          <t>No</t>
        </is>
      </c>
    </row>
    <row r="120">
      <c r="A120" s="0" t="inlineStr"/>
      <c r="B120" s="0" t="inlineStr"/>
      <c r="C120" s="19" t="inlineStr"/>
      <c r="D120" s="0" t="inlineStr"/>
      <c r="E120" s="0" t="inlineStr"/>
      <c r="F120" s="0" t="inlineStr"/>
      <c r="G120" s="0" t="inlineStr"/>
      <c r="H120" s="0" t="inlineStr"/>
      <c r="I120" s="0" t="inlineStr"/>
      <c r="J120" s="0" t="inlineStr">
        <is>
          <t>No</t>
        </is>
      </c>
    </row>
    <row r="121">
      <c r="A121" s="0" t="inlineStr"/>
      <c r="B121" s="0" t="inlineStr"/>
      <c r="C121" s="19" t="inlineStr"/>
      <c r="D121" s="0" t="inlineStr"/>
      <c r="E121" s="0" t="inlineStr"/>
      <c r="F121" s="0" t="inlineStr"/>
      <c r="G121" s="0" t="inlineStr"/>
      <c r="H121" s="0" t="inlineStr"/>
      <c r="I121" s="0" t="inlineStr"/>
      <c r="J121" s="0" t="inlineStr">
        <is>
          <t>No</t>
        </is>
      </c>
    </row>
    <row r="122">
      <c r="A122" s="0" t="inlineStr"/>
      <c r="B122" s="0" t="inlineStr"/>
      <c r="C122" s="19" t="inlineStr"/>
      <c r="D122" s="0" t="inlineStr"/>
      <c r="E122" s="0" t="inlineStr"/>
      <c r="F122" s="0" t="inlineStr"/>
      <c r="G122" s="0" t="inlineStr"/>
      <c r="H122" s="0" t="inlineStr"/>
      <c r="I122" s="0" t="inlineStr"/>
      <c r="J122" s="0" t="inlineStr">
        <is>
          <t>No</t>
        </is>
      </c>
    </row>
    <row r="123">
      <c r="A123" s="0" t="inlineStr"/>
      <c r="B123" s="0" t="inlineStr"/>
      <c r="C123" s="19" t="inlineStr"/>
      <c r="D123" s="0" t="inlineStr"/>
      <c r="E123" s="0" t="inlineStr"/>
      <c r="F123" s="0" t="inlineStr"/>
      <c r="G123" s="0" t="inlineStr"/>
      <c r="H123" s="0" t="inlineStr"/>
      <c r="I123" s="0" t="inlineStr"/>
      <c r="J123" s="0" t="inlineStr">
        <is>
          <t>No</t>
        </is>
      </c>
    </row>
    <row r="124">
      <c r="A124" s="0" t="inlineStr"/>
      <c r="B124" s="0" t="inlineStr"/>
      <c r="C124" s="19" t="inlineStr"/>
      <c r="D124" s="0" t="inlineStr"/>
      <c r="E124" s="0" t="inlineStr"/>
      <c r="F124" s="0" t="inlineStr"/>
      <c r="G124" s="0" t="inlineStr"/>
      <c r="H124" s="0" t="inlineStr"/>
      <c r="I124" s="0" t="inlineStr"/>
      <c r="J124" s="0" t="inlineStr">
        <is>
          <t>No</t>
        </is>
      </c>
    </row>
    <row r="125">
      <c r="A125" s="0" t="inlineStr"/>
      <c r="B125" s="0" t="inlineStr"/>
      <c r="C125" s="19" t="inlineStr"/>
      <c r="D125" s="0" t="inlineStr"/>
      <c r="E125" s="0" t="inlineStr"/>
      <c r="F125" s="0" t="inlineStr"/>
      <c r="G125" s="0" t="inlineStr"/>
      <c r="H125" s="0" t="inlineStr"/>
      <c r="I125" s="0" t="inlineStr"/>
      <c r="J125" s="0" t="inlineStr">
        <is>
          <t>No</t>
        </is>
      </c>
    </row>
    <row r="126">
      <c r="A126" s="0" t="inlineStr"/>
      <c r="B126" s="0" t="inlineStr"/>
      <c r="C126" s="19" t="inlineStr"/>
      <c r="D126" s="0" t="inlineStr"/>
      <c r="E126" s="0" t="inlineStr"/>
      <c r="F126" s="0" t="inlineStr"/>
      <c r="G126" s="0" t="inlineStr"/>
      <c r="H126" s="0" t="inlineStr"/>
      <c r="I126" s="0" t="inlineStr"/>
      <c r="J126" s="0" t="inlineStr">
        <is>
          <t>No</t>
        </is>
      </c>
    </row>
    <row r="127">
      <c r="A127" s="0" t="inlineStr"/>
      <c r="B127" s="0" t="inlineStr"/>
      <c r="C127" s="19" t="inlineStr"/>
      <c r="D127" s="0" t="inlineStr"/>
      <c r="E127" s="0" t="inlineStr"/>
      <c r="F127" s="0" t="inlineStr"/>
      <c r="G127" s="0" t="inlineStr"/>
      <c r="H127" s="0" t="inlineStr"/>
      <c r="I127" s="0" t="inlineStr"/>
      <c r="J127" s="0" t="inlineStr">
        <is>
          <t>No</t>
        </is>
      </c>
    </row>
    <row r="128">
      <c r="A128" s="0" t="inlineStr"/>
      <c r="B128" s="0" t="inlineStr"/>
      <c r="C128" s="19" t="inlineStr"/>
      <c r="D128" s="0" t="inlineStr"/>
      <c r="E128" s="0" t="inlineStr"/>
      <c r="F128" s="0" t="inlineStr"/>
      <c r="G128" s="0" t="inlineStr"/>
      <c r="H128" s="0" t="inlineStr"/>
      <c r="I128" s="0" t="inlineStr"/>
      <c r="J128" s="0" t="inlineStr">
        <is>
          <t>No</t>
        </is>
      </c>
    </row>
    <row r="129">
      <c r="A129" s="0" t="inlineStr"/>
      <c r="B129" s="0" t="inlineStr"/>
      <c r="C129" s="19" t="inlineStr"/>
      <c r="D129" s="0" t="inlineStr"/>
      <c r="E129" s="0" t="inlineStr"/>
      <c r="F129" s="0" t="inlineStr"/>
      <c r="G129" s="0" t="inlineStr"/>
      <c r="H129" s="0" t="inlineStr"/>
      <c r="I129" s="0" t="inlineStr"/>
      <c r="J129" s="0" t="inlineStr">
        <is>
          <t>No</t>
        </is>
      </c>
    </row>
    <row r="130">
      <c r="A130" s="0" t="inlineStr"/>
      <c r="B130" s="0" t="inlineStr"/>
      <c r="C130" s="19" t="inlineStr"/>
      <c r="D130" s="0" t="inlineStr"/>
      <c r="E130" s="0" t="inlineStr"/>
      <c r="F130" s="0" t="inlineStr"/>
      <c r="G130" s="0" t="inlineStr"/>
      <c r="H130" s="0" t="inlineStr"/>
      <c r="I130" s="0" t="inlineStr"/>
      <c r="J130" s="0" t="inlineStr">
        <is>
          <t>No</t>
        </is>
      </c>
    </row>
    <row r="131">
      <c r="A131" s="0" t="inlineStr"/>
      <c r="B131" s="0" t="inlineStr"/>
      <c r="C131" s="19" t="inlineStr"/>
      <c r="D131" s="0" t="inlineStr"/>
      <c r="E131" s="0" t="inlineStr"/>
      <c r="F131" s="0" t="inlineStr"/>
      <c r="G131" s="0" t="inlineStr"/>
      <c r="H131" s="0" t="inlineStr"/>
      <c r="I131" s="0" t="inlineStr"/>
      <c r="J131" s="0" t="inlineStr">
        <is>
          <t>No</t>
        </is>
      </c>
    </row>
    <row r="132">
      <c r="A132" s="0" t="inlineStr"/>
      <c r="B132" s="0" t="inlineStr"/>
      <c r="C132" s="19" t="inlineStr"/>
      <c r="D132" s="0" t="inlineStr"/>
      <c r="E132" s="0" t="inlineStr"/>
      <c r="F132" s="0" t="inlineStr"/>
      <c r="G132" s="0" t="inlineStr"/>
      <c r="H132" s="0" t="inlineStr"/>
      <c r="I132" s="0" t="inlineStr"/>
      <c r="J132" s="0" t="inlineStr">
        <is>
          <t>No</t>
        </is>
      </c>
    </row>
    <row r="133">
      <c r="A133" s="0" t="inlineStr"/>
      <c r="B133" s="0" t="inlineStr"/>
      <c r="C133" s="19" t="inlineStr"/>
      <c r="D133" s="0" t="inlineStr"/>
      <c r="E133" s="0" t="inlineStr"/>
      <c r="F133" s="0" t="inlineStr"/>
      <c r="G133" s="0" t="inlineStr"/>
      <c r="H133" s="0" t="inlineStr"/>
      <c r="I133" s="0" t="inlineStr"/>
      <c r="J133" s="0" t="inlineStr">
        <is>
          <t>No</t>
        </is>
      </c>
    </row>
    <row r="134">
      <c r="A134" s="0" t="inlineStr"/>
      <c r="B134" s="0" t="inlineStr"/>
      <c r="C134" s="19" t="inlineStr"/>
      <c r="D134" s="0" t="inlineStr"/>
      <c r="E134" s="0" t="inlineStr"/>
      <c r="F134" s="0" t="inlineStr"/>
      <c r="G134" s="0" t="inlineStr"/>
      <c r="H134" s="0" t="inlineStr"/>
      <c r="I134" s="0" t="inlineStr"/>
      <c r="J134" s="0" t="inlineStr">
        <is>
          <t>No</t>
        </is>
      </c>
    </row>
    <row r="135">
      <c r="A135" s="0" t="inlineStr"/>
      <c r="B135" s="0" t="inlineStr"/>
      <c r="C135" s="19" t="inlineStr"/>
      <c r="D135" s="0" t="inlineStr"/>
      <c r="E135" s="0" t="inlineStr"/>
      <c r="F135" s="0" t="inlineStr"/>
      <c r="G135" s="0" t="inlineStr"/>
      <c r="H135" s="0" t="inlineStr"/>
      <c r="I135" s="0" t="inlineStr"/>
      <c r="J135" s="0" t="inlineStr">
        <is>
          <t>No</t>
        </is>
      </c>
    </row>
    <row r="136">
      <c r="A136" s="0" t="inlineStr"/>
      <c r="B136" s="0" t="inlineStr"/>
      <c r="C136" s="19" t="inlineStr"/>
      <c r="D136" s="0" t="inlineStr"/>
      <c r="E136" s="0" t="inlineStr"/>
      <c r="F136" s="0" t="inlineStr"/>
      <c r="G136" s="0" t="inlineStr"/>
      <c r="H136" s="0" t="inlineStr"/>
      <c r="I136" s="0" t="inlineStr"/>
      <c r="J136" s="0" t="inlineStr">
        <is>
          <t>No</t>
        </is>
      </c>
    </row>
    <row r="137">
      <c r="A137" s="0" t="inlineStr"/>
      <c r="B137" s="0" t="inlineStr"/>
      <c r="C137" s="19" t="inlineStr"/>
      <c r="D137" s="0" t="inlineStr"/>
      <c r="E137" s="0" t="inlineStr"/>
      <c r="F137" s="0" t="inlineStr"/>
      <c r="G137" s="0" t="inlineStr"/>
      <c r="H137" s="0" t="inlineStr"/>
      <c r="I137" s="0" t="inlineStr"/>
      <c r="J137" s="0" t="inlineStr">
        <is>
          <t>No</t>
        </is>
      </c>
    </row>
    <row r="138">
      <c r="A138" s="0" t="inlineStr"/>
      <c r="B138" s="0" t="inlineStr"/>
      <c r="C138" s="19" t="inlineStr"/>
      <c r="D138" s="0" t="inlineStr"/>
      <c r="E138" s="0" t="inlineStr"/>
      <c r="F138" s="0" t="inlineStr"/>
      <c r="G138" s="0" t="inlineStr"/>
      <c r="H138" s="0" t="inlineStr"/>
      <c r="I138" s="0" t="inlineStr"/>
      <c r="J138" s="0" t="inlineStr">
        <is>
          <t>No</t>
        </is>
      </c>
    </row>
    <row r="139">
      <c r="A139" s="0" t="inlineStr"/>
      <c r="B139" s="0" t="inlineStr"/>
      <c r="C139" s="19" t="inlineStr"/>
      <c r="D139" s="0" t="inlineStr"/>
      <c r="E139" s="0" t="inlineStr"/>
      <c r="F139" s="0" t="inlineStr"/>
      <c r="G139" s="0" t="inlineStr"/>
      <c r="H139" s="0" t="inlineStr"/>
      <c r="I139" s="0" t="inlineStr"/>
      <c r="J139" s="0" t="inlineStr">
        <is>
          <t>No</t>
        </is>
      </c>
    </row>
    <row r="140">
      <c r="A140" s="0" t="inlineStr"/>
      <c r="B140" s="0" t="inlineStr"/>
      <c r="C140" s="19" t="inlineStr"/>
      <c r="D140" s="0" t="inlineStr"/>
      <c r="E140" s="0" t="inlineStr"/>
      <c r="F140" s="0" t="inlineStr"/>
      <c r="G140" s="0" t="inlineStr"/>
      <c r="H140" s="0" t="inlineStr"/>
      <c r="I140" s="0" t="inlineStr"/>
      <c r="J140" s="0" t="inlineStr">
        <is>
          <t>No</t>
        </is>
      </c>
    </row>
    <row r="141">
      <c r="A141" s="0" t="inlineStr"/>
      <c r="B141" s="0" t="inlineStr"/>
      <c r="C141" s="19" t="inlineStr"/>
      <c r="D141" s="0" t="inlineStr"/>
      <c r="E141" s="0" t="inlineStr"/>
      <c r="F141" s="0" t="inlineStr"/>
      <c r="G141" s="0" t="inlineStr"/>
      <c r="H141" s="0" t="inlineStr"/>
      <c r="I141" s="0" t="inlineStr"/>
      <c r="J141" s="0" t="inlineStr">
        <is>
          <t>No</t>
        </is>
      </c>
    </row>
    <row r="142">
      <c r="A142" s="0" t="inlineStr"/>
      <c r="B142" s="0" t="inlineStr"/>
      <c r="C142" s="19" t="inlineStr"/>
      <c r="D142" s="0" t="inlineStr"/>
      <c r="E142" s="0" t="inlineStr"/>
      <c r="F142" s="0" t="inlineStr"/>
      <c r="G142" s="0" t="inlineStr"/>
      <c r="H142" s="0" t="inlineStr"/>
      <c r="I142" s="0" t="inlineStr"/>
      <c r="J142" s="0" t="inlineStr">
        <is>
          <t>No</t>
        </is>
      </c>
    </row>
    <row r="143">
      <c r="A143" s="0" t="inlineStr"/>
      <c r="B143" s="0" t="inlineStr"/>
      <c r="C143" s="19" t="inlineStr"/>
      <c r="D143" s="0" t="inlineStr"/>
      <c r="E143" s="0" t="inlineStr"/>
      <c r="F143" s="0" t="inlineStr"/>
      <c r="G143" s="0" t="inlineStr"/>
      <c r="H143" s="0" t="inlineStr"/>
      <c r="I143" s="0" t="inlineStr"/>
      <c r="J143" s="0" t="inlineStr">
        <is>
          <t>No</t>
        </is>
      </c>
    </row>
    <row r="144">
      <c r="A144" s="0" t="inlineStr"/>
      <c r="B144" s="0" t="inlineStr"/>
      <c r="C144" s="19" t="inlineStr"/>
      <c r="D144" s="0" t="inlineStr"/>
      <c r="E144" s="0" t="inlineStr"/>
      <c r="F144" s="0" t="inlineStr"/>
      <c r="G144" s="0" t="inlineStr"/>
      <c r="H144" s="0" t="inlineStr"/>
      <c r="I144" s="0" t="inlineStr"/>
      <c r="J144" s="0" t="inlineStr">
        <is>
          <t>No</t>
        </is>
      </c>
    </row>
    <row r="145">
      <c r="A145" s="0" t="inlineStr"/>
      <c r="B145" s="0" t="inlineStr"/>
      <c r="C145" s="19" t="inlineStr"/>
      <c r="D145" s="0" t="inlineStr"/>
      <c r="E145" s="0" t="inlineStr"/>
      <c r="F145" s="0" t="inlineStr"/>
      <c r="G145" s="0" t="inlineStr"/>
      <c r="H145" s="0" t="inlineStr"/>
      <c r="I145" s="0" t="inlineStr"/>
      <c r="J145" s="0" t="inlineStr">
        <is>
          <t>No</t>
        </is>
      </c>
    </row>
    <row r="146">
      <c r="A146" s="0" t="inlineStr"/>
      <c r="B146" s="0" t="inlineStr"/>
      <c r="C146" s="19" t="inlineStr"/>
      <c r="D146" s="0" t="inlineStr"/>
      <c r="E146" s="0" t="inlineStr"/>
      <c r="F146" s="0" t="inlineStr"/>
      <c r="G146" s="0" t="inlineStr"/>
      <c r="H146" s="0" t="inlineStr"/>
      <c r="I146" s="0" t="inlineStr"/>
      <c r="J146" s="0" t="inlineStr">
        <is>
          <t>No</t>
        </is>
      </c>
    </row>
    <row r="147">
      <c r="A147" s="0" t="inlineStr"/>
      <c r="B147" s="0" t="inlineStr"/>
      <c r="C147" s="19" t="inlineStr"/>
      <c r="D147" s="0" t="inlineStr"/>
      <c r="E147" s="0" t="inlineStr"/>
      <c r="F147" s="0" t="inlineStr"/>
      <c r="G147" s="0" t="inlineStr"/>
      <c r="H147" s="0" t="inlineStr"/>
      <c r="I147" s="0" t="inlineStr"/>
      <c r="J147" s="0" t="inlineStr">
        <is>
          <t>No</t>
        </is>
      </c>
    </row>
    <row r="148">
      <c r="A148" s="0" t="inlineStr"/>
      <c r="B148" s="0" t="inlineStr"/>
      <c r="C148" s="19" t="inlineStr"/>
      <c r="D148" s="0" t="inlineStr"/>
      <c r="E148" s="0" t="inlineStr"/>
      <c r="F148" s="0" t="inlineStr"/>
      <c r="G148" s="0" t="inlineStr"/>
      <c r="H148" s="0" t="inlineStr"/>
      <c r="I148" s="0" t="inlineStr"/>
      <c r="J148" s="0" t="inlineStr">
        <is>
          <t>No</t>
        </is>
      </c>
    </row>
    <row r="149">
      <c r="A149" s="0" t="inlineStr"/>
      <c r="B149" s="0" t="inlineStr"/>
      <c r="C149" s="19" t="inlineStr"/>
      <c r="D149" s="0" t="inlineStr"/>
      <c r="E149" s="0" t="inlineStr"/>
      <c r="F149" s="0" t="inlineStr"/>
      <c r="G149" s="0" t="inlineStr"/>
      <c r="H149" s="0" t="inlineStr"/>
      <c r="I149" s="0" t="inlineStr"/>
      <c r="J149" s="0" t="inlineStr">
        <is>
          <t>No</t>
        </is>
      </c>
    </row>
    <row r="150">
      <c r="A150" s="0" t="inlineStr"/>
      <c r="B150" s="0" t="inlineStr"/>
      <c r="C150" s="19" t="inlineStr"/>
      <c r="D150" s="0" t="inlineStr"/>
      <c r="E150" s="0" t="inlineStr"/>
      <c r="F150" s="0" t="inlineStr"/>
      <c r="G150" s="0" t="inlineStr"/>
      <c r="H150" s="0" t="inlineStr"/>
      <c r="I150" s="0" t="inlineStr"/>
      <c r="J150" s="0" t="inlineStr">
        <is>
          <t>No</t>
        </is>
      </c>
    </row>
    <row r="151">
      <c r="A151" s="0" t="inlineStr"/>
      <c r="B151" s="0" t="inlineStr"/>
      <c r="C151" s="19" t="inlineStr"/>
      <c r="D151" s="0" t="inlineStr"/>
      <c r="E151" s="0" t="inlineStr"/>
      <c r="F151" s="0" t="inlineStr"/>
      <c r="G151" s="0" t="inlineStr"/>
      <c r="H151" s="0" t="inlineStr"/>
      <c r="I151" s="0" t="inlineStr"/>
      <c r="J151" s="0" t="inlineStr">
        <is>
          <t>No</t>
        </is>
      </c>
    </row>
    <row r="152">
      <c r="A152" s="0" t="inlineStr"/>
      <c r="B152" s="0" t="inlineStr"/>
      <c r="C152" s="19" t="inlineStr"/>
      <c r="D152" s="0" t="inlineStr"/>
      <c r="E152" s="0" t="inlineStr"/>
      <c r="F152" s="0" t="inlineStr"/>
      <c r="G152" s="0" t="inlineStr"/>
      <c r="H152" s="0" t="inlineStr"/>
      <c r="I152" s="0" t="inlineStr"/>
      <c r="J152" s="0" t="inlineStr">
        <is>
          <t>No</t>
        </is>
      </c>
    </row>
    <row r="153">
      <c r="A153" s="0" t="inlineStr"/>
      <c r="B153" s="0" t="inlineStr"/>
      <c r="C153" s="19" t="inlineStr"/>
      <c r="D153" s="0" t="inlineStr"/>
      <c r="E153" s="0" t="inlineStr"/>
      <c r="F153" s="0" t="inlineStr"/>
      <c r="G153" s="0" t="inlineStr"/>
      <c r="H153" s="0" t="inlineStr"/>
      <c r="I153" s="0" t="inlineStr"/>
      <c r="J153" s="0" t="inlineStr">
        <is>
          <t>No</t>
        </is>
      </c>
    </row>
    <row r="154">
      <c r="A154" s="0" t="inlineStr"/>
      <c r="B154" s="0" t="inlineStr"/>
      <c r="C154" s="19" t="inlineStr"/>
      <c r="D154" s="0" t="inlineStr"/>
      <c r="E154" s="0" t="inlineStr"/>
      <c r="F154" s="0" t="inlineStr"/>
      <c r="G154" s="0" t="inlineStr"/>
      <c r="H154" s="0" t="inlineStr"/>
      <c r="I154" s="0" t="inlineStr"/>
      <c r="J154" s="0" t="inlineStr">
        <is>
          <t>No</t>
        </is>
      </c>
    </row>
    <row r="155">
      <c r="A155" s="0" t="inlineStr"/>
      <c r="B155" s="0" t="inlineStr"/>
      <c r="C155" s="19" t="inlineStr"/>
      <c r="D155" s="0" t="inlineStr"/>
      <c r="E155" s="0" t="inlineStr"/>
      <c r="F155" s="0" t="inlineStr"/>
      <c r="G155" s="0" t="inlineStr"/>
      <c r="H155" s="0" t="inlineStr"/>
      <c r="I155" s="0" t="inlineStr"/>
      <c r="J155" s="0" t="inlineStr">
        <is>
          <t>No</t>
        </is>
      </c>
    </row>
    <row r="156">
      <c r="A156" s="0" t="inlineStr"/>
      <c r="B156" s="0" t="inlineStr"/>
      <c r="C156" s="19" t="inlineStr"/>
      <c r="D156" s="0" t="inlineStr"/>
      <c r="E156" s="0" t="inlineStr"/>
      <c r="F156" s="0" t="inlineStr"/>
      <c r="G156" s="0" t="inlineStr"/>
      <c r="H156" s="0" t="inlineStr"/>
      <c r="I156" s="0" t="inlineStr"/>
      <c r="J156" s="0" t="inlineStr">
        <is>
          <t>No</t>
        </is>
      </c>
    </row>
    <row r="157">
      <c r="A157" s="0" t="inlineStr"/>
      <c r="B157" s="0" t="inlineStr"/>
      <c r="C157" s="19" t="inlineStr"/>
      <c r="D157" s="0" t="inlineStr"/>
      <c r="E157" s="0" t="inlineStr"/>
      <c r="F157" s="0" t="inlineStr"/>
      <c r="G157" s="0" t="inlineStr"/>
      <c r="H157" s="0" t="inlineStr"/>
      <c r="I157" s="0" t="inlineStr"/>
      <c r="J157" s="0" t="inlineStr">
        <is>
          <t>No</t>
        </is>
      </c>
    </row>
    <row r="158">
      <c r="A158" s="0" t="inlineStr"/>
      <c r="B158" s="0" t="inlineStr"/>
      <c r="C158" s="19" t="inlineStr"/>
      <c r="D158" s="0" t="inlineStr"/>
      <c r="E158" s="0" t="inlineStr"/>
      <c r="F158" s="0" t="inlineStr"/>
      <c r="G158" s="0" t="inlineStr"/>
      <c r="H158" s="0" t="inlineStr"/>
      <c r="I158" s="0" t="inlineStr"/>
      <c r="J158" s="0" t="inlineStr">
        <is>
          <t>No</t>
        </is>
      </c>
    </row>
    <row r="159">
      <c r="A159" s="0" t="inlineStr"/>
      <c r="B159" s="0" t="inlineStr"/>
      <c r="C159" s="19" t="inlineStr"/>
      <c r="D159" s="0" t="inlineStr"/>
      <c r="E159" s="0" t="inlineStr"/>
      <c r="F159" s="0" t="inlineStr"/>
      <c r="G159" s="0" t="inlineStr"/>
      <c r="H159" s="0" t="inlineStr"/>
      <c r="I159" s="0" t="inlineStr"/>
      <c r="J159" s="0" t="inlineStr">
        <is>
          <t>No</t>
        </is>
      </c>
    </row>
    <row r="160">
      <c r="A160" s="0" t="inlineStr"/>
      <c r="B160" s="0" t="inlineStr"/>
      <c r="C160" s="19" t="inlineStr"/>
      <c r="D160" s="0" t="inlineStr"/>
      <c r="E160" s="0" t="inlineStr"/>
      <c r="F160" s="0" t="inlineStr"/>
      <c r="G160" s="0" t="inlineStr"/>
      <c r="H160" s="0" t="inlineStr"/>
      <c r="I160" s="0" t="inlineStr"/>
      <c r="J160" s="0" t="inlineStr">
        <is>
          <t>No</t>
        </is>
      </c>
    </row>
    <row r="161">
      <c r="A161" s="0" t="inlineStr"/>
      <c r="B161" s="0" t="inlineStr"/>
      <c r="C161" s="19" t="inlineStr"/>
      <c r="D161" s="0" t="inlineStr"/>
      <c r="E161" s="0" t="inlineStr"/>
      <c r="F161" s="0" t="inlineStr"/>
      <c r="G161" s="0" t="inlineStr"/>
      <c r="H161" s="0" t="inlineStr"/>
      <c r="I161" s="0" t="inlineStr"/>
      <c r="J161" s="0" t="inlineStr">
        <is>
          <t>No</t>
        </is>
      </c>
    </row>
    <row r="162">
      <c r="A162" s="0" t="inlineStr"/>
      <c r="B162" s="0" t="inlineStr"/>
      <c r="C162" s="19" t="inlineStr"/>
      <c r="D162" s="0" t="inlineStr"/>
      <c r="E162" s="0" t="inlineStr"/>
      <c r="F162" s="0" t="inlineStr"/>
      <c r="G162" s="0" t="inlineStr"/>
      <c r="H162" s="0" t="inlineStr"/>
      <c r="I162" s="0" t="inlineStr"/>
      <c r="J162" s="0" t="inlineStr">
        <is>
          <t>No</t>
        </is>
      </c>
    </row>
    <row r="163">
      <c r="A163" s="0" t="inlineStr"/>
      <c r="B163" s="0" t="inlineStr"/>
      <c r="C163" s="19" t="inlineStr"/>
      <c r="D163" s="0" t="inlineStr"/>
      <c r="E163" s="0" t="inlineStr"/>
      <c r="F163" s="0" t="inlineStr"/>
      <c r="G163" s="0" t="inlineStr"/>
      <c r="H163" s="0" t="inlineStr"/>
      <c r="I163" s="0" t="inlineStr"/>
      <c r="J163" s="0" t="inlineStr">
        <is>
          <t>No</t>
        </is>
      </c>
    </row>
    <row r="164">
      <c r="A164" s="0" t="inlineStr"/>
      <c r="B164" s="0" t="inlineStr"/>
      <c r="C164" s="19" t="inlineStr"/>
      <c r="D164" s="0" t="inlineStr"/>
      <c r="E164" s="0" t="inlineStr"/>
      <c r="F164" s="0" t="inlineStr"/>
      <c r="G164" s="0" t="inlineStr"/>
      <c r="H164" s="0" t="inlineStr"/>
      <c r="I164" s="0" t="inlineStr"/>
      <c r="J164" s="0" t="inlineStr">
        <is>
          <t>No</t>
        </is>
      </c>
    </row>
    <row r="165">
      <c r="A165" s="0" t="inlineStr"/>
      <c r="B165" s="0" t="inlineStr"/>
      <c r="C165" s="19" t="inlineStr"/>
      <c r="D165" s="0" t="inlineStr"/>
      <c r="E165" s="0" t="inlineStr"/>
      <c r="F165" s="0" t="inlineStr"/>
      <c r="G165" s="0" t="inlineStr"/>
      <c r="H165" s="0" t="inlineStr"/>
      <c r="I165" s="0" t="inlineStr"/>
      <c r="J165" s="0" t="inlineStr">
        <is>
          <t>No</t>
        </is>
      </c>
    </row>
    <row r="166">
      <c r="A166" s="0" t="inlineStr"/>
      <c r="B166" s="0" t="inlineStr"/>
      <c r="C166" s="19" t="inlineStr"/>
      <c r="D166" s="0" t="inlineStr"/>
      <c r="E166" s="0" t="inlineStr"/>
      <c r="F166" s="0" t="inlineStr"/>
      <c r="G166" s="0" t="inlineStr"/>
      <c r="H166" s="0" t="inlineStr"/>
      <c r="I166" s="0" t="inlineStr"/>
      <c r="J166" s="0" t="inlineStr">
        <is>
          <t>No</t>
        </is>
      </c>
    </row>
    <row r="167">
      <c r="A167" s="0" t="inlineStr"/>
      <c r="B167" s="0" t="inlineStr"/>
      <c r="C167" s="19" t="inlineStr"/>
      <c r="D167" s="0" t="inlineStr"/>
      <c r="E167" s="0" t="inlineStr"/>
      <c r="F167" s="0" t="inlineStr"/>
      <c r="G167" s="0" t="inlineStr"/>
      <c r="H167" s="0" t="inlineStr"/>
      <c r="I167" s="0" t="inlineStr"/>
      <c r="J167" s="0" t="inlineStr">
        <is>
          <t>No</t>
        </is>
      </c>
    </row>
    <row r="168">
      <c r="A168" s="0" t="inlineStr"/>
      <c r="B168" s="0" t="inlineStr"/>
      <c r="C168" s="19" t="inlineStr"/>
      <c r="D168" s="0" t="inlineStr"/>
      <c r="E168" s="0" t="inlineStr"/>
      <c r="F168" s="0" t="inlineStr"/>
      <c r="G168" s="0" t="inlineStr"/>
      <c r="H168" s="0" t="inlineStr"/>
      <c r="I168" s="0" t="inlineStr"/>
      <c r="J168" s="0" t="inlineStr">
        <is>
          <t>No</t>
        </is>
      </c>
    </row>
    <row r="169">
      <c r="A169" s="0" t="inlineStr"/>
      <c r="B169" s="0" t="inlineStr"/>
      <c r="C169" s="19" t="inlineStr"/>
      <c r="D169" s="0" t="inlineStr"/>
      <c r="E169" s="0" t="inlineStr"/>
      <c r="F169" s="0" t="inlineStr"/>
      <c r="G169" s="0" t="inlineStr"/>
      <c r="H169" s="0" t="inlineStr"/>
      <c r="I169" s="0" t="inlineStr"/>
      <c r="J169" s="0" t="inlineStr">
        <is>
          <t>No</t>
        </is>
      </c>
    </row>
    <row r="170">
      <c r="A170" s="0" t="inlineStr"/>
      <c r="B170" s="0" t="inlineStr"/>
      <c r="C170" s="19" t="inlineStr"/>
      <c r="D170" s="0" t="inlineStr"/>
      <c r="E170" s="0" t="inlineStr"/>
      <c r="F170" s="0" t="inlineStr"/>
      <c r="G170" s="0" t="inlineStr"/>
      <c r="H170" s="0" t="inlineStr"/>
      <c r="I170" s="0" t="inlineStr"/>
      <c r="J170" s="0" t="inlineStr">
        <is>
          <t>No</t>
        </is>
      </c>
    </row>
    <row r="171">
      <c r="A171" s="0" t="inlineStr"/>
      <c r="B171" s="0" t="inlineStr"/>
      <c r="C171" s="19" t="inlineStr"/>
      <c r="D171" s="0" t="inlineStr"/>
      <c r="E171" s="0" t="inlineStr"/>
      <c r="F171" s="0" t="inlineStr"/>
      <c r="G171" s="0" t="inlineStr"/>
      <c r="H171" s="0" t="inlineStr"/>
      <c r="I171" s="0" t="inlineStr"/>
      <c r="J171" s="0" t="inlineStr">
        <is>
          <t>No</t>
        </is>
      </c>
    </row>
    <row r="172">
      <c r="A172" s="0" t="inlineStr"/>
      <c r="B172" s="0" t="inlineStr"/>
      <c r="C172" s="19" t="inlineStr"/>
      <c r="D172" s="0" t="inlineStr"/>
      <c r="E172" s="0" t="inlineStr"/>
      <c r="F172" s="0" t="inlineStr"/>
      <c r="G172" s="0" t="inlineStr"/>
      <c r="H172" s="0" t="inlineStr"/>
      <c r="I172" s="0" t="inlineStr"/>
      <c r="J172" s="0" t="inlineStr">
        <is>
          <t>No</t>
        </is>
      </c>
    </row>
    <row r="173">
      <c r="A173" s="0" t="inlineStr"/>
      <c r="B173" s="0" t="inlineStr"/>
      <c r="C173" s="19" t="inlineStr"/>
      <c r="D173" s="0" t="inlineStr"/>
      <c r="E173" s="0" t="inlineStr"/>
      <c r="F173" s="0" t="inlineStr"/>
      <c r="G173" s="0" t="inlineStr"/>
      <c r="H173" s="0" t="inlineStr"/>
      <c r="I173" s="0" t="inlineStr"/>
      <c r="J173" s="0" t="inlineStr">
        <is>
          <t>No</t>
        </is>
      </c>
    </row>
    <row r="174">
      <c r="A174" s="0" t="inlineStr"/>
      <c r="B174" s="0" t="inlineStr"/>
      <c r="C174" s="19" t="inlineStr"/>
      <c r="D174" s="0" t="inlineStr"/>
      <c r="E174" s="0" t="inlineStr"/>
      <c r="F174" s="0" t="inlineStr"/>
      <c r="G174" s="0" t="inlineStr"/>
      <c r="H174" s="0" t="inlineStr"/>
      <c r="I174" s="0" t="inlineStr"/>
      <c r="J174" s="0" t="inlineStr">
        <is>
          <t>No</t>
        </is>
      </c>
    </row>
    <row r="175">
      <c r="A175" s="0" t="inlineStr"/>
      <c r="B175" s="0" t="inlineStr"/>
      <c r="C175" s="19" t="inlineStr"/>
      <c r="D175" s="0" t="inlineStr"/>
      <c r="E175" s="0" t="inlineStr"/>
      <c r="F175" s="0" t="inlineStr"/>
      <c r="G175" s="0" t="inlineStr"/>
      <c r="H175" s="0" t="inlineStr"/>
      <c r="I175" s="0" t="inlineStr"/>
      <c r="J175" s="0" t="inlineStr">
        <is>
          <t>No</t>
        </is>
      </c>
    </row>
    <row r="176">
      <c r="A176" s="0" t="inlineStr"/>
      <c r="B176" s="0" t="inlineStr"/>
      <c r="C176" s="19" t="inlineStr"/>
      <c r="D176" s="0" t="inlineStr"/>
      <c r="E176" s="0" t="inlineStr"/>
      <c r="F176" s="0" t="inlineStr"/>
      <c r="G176" s="0" t="inlineStr"/>
      <c r="H176" s="0" t="inlineStr"/>
      <c r="I176" s="0" t="inlineStr"/>
      <c r="J176" s="0" t="inlineStr">
        <is>
          <t>No</t>
        </is>
      </c>
    </row>
    <row r="177">
      <c r="A177" s="0" t="inlineStr"/>
      <c r="B177" s="0" t="inlineStr"/>
      <c r="C177" s="19" t="inlineStr"/>
      <c r="D177" s="0" t="inlineStr"/>
      <c r="E177" s="0" t="inlineStr"/>
      <c r="F177" s="0" t="inlineStr"/>
      <c r="G177" s="0" t="inlineStr"/>
      <c r="H177" s="0" t="inlineStr"/>
      <c r="I177" s="0" t="inlineStr"/>
      <c r="J177" s="0" t="inlineStr">
        <is>
          <t>No</t>
        </is>
      </c>
    </row>
    <row r="178">
      <c r="A178" s="0" t="inlineStr"/>
      <c r="B178" s="0" t="inlineStr"/>
      <c r="C178" s="19" t="inlineStr"/>
      <c r="D178" s="0" t="inlineStr"/>
      <c r="E178" s="0" t="inlineStr"/>
      <c r="F178" s="0" t="inlineStr"/>
      <c r="G178" s="0" t="inlineStr"/>
      <c r="H178" s="0" t="inlineStr"/>
      <c r="I178" s="0" t="inlineStr"/>
      <c r="J178" s="0" t="inlineStr">
        <is>
          <t>No</t>
        </is>
      </c>
    </row>
    <row r="179">
      <c r="A179" s="0" t="inlineStr"/>
      <c r="B179" s="0" t="inlineStr"/>
      <c r="C179" s="19" t="inlineStr"/>
      <c r="D179" s="0" t="inlineStr"/>
      <c r="E179" s="0" t="inlineStr"/>
      <c r="F179" s="0" t="inlineStr"/>
      <c r="G179" s="0" t="inlineStr"/>
      <c r="H179" s="0" t="inlineStr"/>
      <c r="I179" s="0" t="inlineStr"/>
      <c r="J179" s="0" t="inlineStr">
        <is>
          <t>No</t>
        </is>
      </c>
    </row>
    <row r="180">
      <c r="A180" s="0" t="inlineStr"/>
      <c r="B180" s="0" t="inlineStr"/>
      <c r="C180" s="19" t="inlineStr"/>
      <c r="D180" s="0" t="inlineStr"/>
      <c r="E180" s="0" t="inlineStr"/>
      <c r="F180" s="0" t="inlineStr"/>
      <c r="G180" s="0" t="inlineStr"/>
      <c r="H180" s="0" t="inlineStr"/>
      <c r="I180" s="0" t="inlineStr"/>
      <c r="J180" s="0" t="inlineStr">
        <is>
          <t>No</t>
        </is>
      </c>
    </row>
    <row r="181">
      <c r="A181" s="0" t="inlineStr"/>
      <c r="B181" s="0" t="inlineStr"/>
      <c r="C181" s="19" t="inlineStr"/>
      <c r="D181" s="0" t="inlineStr"/>
      <c r="E181" s="0" t="inlineStr"/>
      <c r="F181" s="0" t="inlineStr"/>
      <c r="G181" s="0" t="inlineStr"/>
      <c r="H181" s="0" t="inlineStr"/>
      <c r="I181" s="0" t="inlineStr"/>
      <c r="J181" s="0" t="inlineStr">
        <is>
          <t>No</t>
        </is>
      </c>
    </row>
    <row r="182">
      <c r="A182" s="0" t="inlineStr"/>
      <c r="B182" s="0" t="inlineStr"/>
      <c r="C182" s="19" t="inlineStr"/>
      <c r="D182" s="0" t="inlineStr"/>
      <c r="E182" s="0" t="inlineStr"/>
      <c r="F182" s="0" t="inlineStr"/>
      <c r="G182" s="0" t="inlineStr"/>
      <c r="H182" s="0" t="inlineStr"/>
      <c r="I182" s="0" t="inlineStr"/>
      <c r="J182" s="0" t="inlineStr">
        <is>
          <t>No</t>
        </is>
      </c>
    </row>
    <row r="183">
      <c r="A183" s="0" t="inlineStr"/>
      <c r="B183" s="0" t="inlineStr"/>
      <c r="C183" s="19" t="inlineStr"/>
      <c r="D183" s="0" t="inlineStr"/>
      <c r="E183" s="0" t="inlineStr"/>
      <c r="F183" s="0" t="inlineStr"/>
      <c r="G183" s="0" t="inlineStr"/>
      <c r="H183" s="0" t="inlineStr"/>
      <c r="I183" s="0" t="inlineStr"/>
      <c r="J183" s="0" t="inlineStr">
        <is>
          <t>No</t>
        </is>
      </c>
    </row>
    <row r="184">
      <c r="A184" s="0" t="inlineStr"/>
      <c r="B184" s="0" t="inlineStr"/>
      <c r="C184" s="19" t="inlineStr"/>
      <c r="D184" s="0" t="inlineStr"/>
      <c r="E184" s="0" t="inlineStr"/>
      <c r="F184" s="0" t="inlineStr"/>
      <c r="G184" s="0" t="inlineStr"/>
      <c r="H184" s="0" t="inlineStr"/>
      <c r="I184" s="0" t="inlineStr"/>
      <c r="J184" s="0" t="inlineStr">
        <is>
          <t>No</t>
        </is>
      </c>
    </row>
    <row r="185">
      <c r="A185" s="0" t="inlineStr"/>
      <c r="B185" s="0" t="inlineStr"/>
      <c r="C185" s="19" t="inlineStr"/>
      <c r="D185" s="0" t="inlineStr"/>
      <c r="E185" s="0" t="inlineStr"/>
      <c r="F185" s="0" t="inlineStr"/>
      <c r="G185" s="0" t="inlineStr"/>
      <c r="H185" s="0" t="inlineStr"/>
      <c r="I185" s="0" t="inlineStr"/>
      <c r="J185" s="0" t="inlineStr">
        <is>
          <t>No</t>
        </is>
      </c>
    </row>
    <row r="186">
      <c r="A186" s="0" t="inlineStr"/>
      <c r="B186" s="0" t="inlineStr"/>
      <c r="C186" s="19" t="inlineStr"/>
      <c r="D186" s="0" t="inlineStr"/>
      <c r="E186" s="0" t="inlineStr"/>
      <c r="F186" s="0" t="inlineStr"/>
      <c r="G186" s="0" t="inlineStr"/>
      <c r="H186" s="0" t="inlineStr"/>
      <c r="I186" s="0" t="inlineStr"/>
      <c r="J186" s="0" t="inlineStr">
        <is>
          <t>No</t>
        </is>
      </c>
    </row>
    <row r="187">
      <c r="A187" s="0" t="inlineStr"/>
      <c r="B187" s="0" t="inlineStr"/>
      <c r="C187" s="19" t="inlineStr"/>
      <c r="D187" s="0" t="inlineStr"/>
      <c r="E187" s="0" t="inlineStr"/>
      <c r="F187" s="0" t="inlineStr"/>
      <c r="G187" s="0" t="inlineStr"/>
      <c r="H187" s="0" t="inlineStr"/>
      <c r="I187" s="0" t="inlineStr"/>
      <c r="J187" s="0" t="inlineStr">
        <is>
          <t>No</t>
        </is>
      </c>
    </row>
    <row r="188">
      <c r="A188" s="0" t="inlineStr"/>
      <c r="B188" s="0" t="inlineStr"/>
      <c r="C188" s="19" t="inlineStr"/>
      <c r="D188" s="0" t="inlineStr"/>
      <c r="E188" s="0" t="inlineStr"/>
      <c r="F188" s="0" t="inlineStr"/>
      <c r="G188" s="0" t="inlineStr"/>
      <c r="H188" s="0" t="inlineStr"/>
      <c r="I188" s="0" t="inlineStr"/>
      <c r="J188" s="0" t="inlineStr">
        <is>
          <t>No</t>
        </is>
      </c>
    </row>
    <row r="189">
      <c r="A189" s="0" t="inlineStr"/>
      <c r="B189" s="0" t="inlineStr"/>
      <c r="C189" s="19" t="inlineStr"/>
      <c r="D189" s="0" t="inlineStr"/>
      <c r="E189" s="0" t="inlineStr"/>
      <c r="F189" s="0" t="inlineStr"/>
      <c r="G189" s="0" t="inlineStr"/>
      <c r="H189" s="0" t="inlineStr"/>
      <c r="I189" s="0" t="inlineStr"/>
      <c r="J189" s="0" t="inlineStr">
        <is>
          <t>No</t>
        </is>
      </c>
    </row>
    <row r="190">
      <c r="A190" s="0" t="inlineStr"/>
      <c r="B190" s="0" t="inlineStr"/>
      <c r="C190" s="19" t="inlineStr"/>
      <c r="D190" s="0" t="inlineStr"/>
      <c r="E190" s="0" t="inlineStr"/>
      <c r="F190" s="0" t="inlineStr"/>
      <c r="G190" s="0" t="inlineStr"/>
      <c r="H190" s="0" t="inlineStr"/>
      <c r="I190" s="0" t="inlineStr"/>
      <c r="J190" s="0" t="inlineStr">
        <is>
          <t>No</t>
        </is>
      </c>
    </row>
    <row r="191">
      <c r="A191" s="0" t="inlineStr"/>
      <c r="B191" s="0" t="inlineStr"/>
      <c r="C191" s="19" t="inlineStr"/>
      <c r="D191" s="0" t="inlineStr"/>
      <c r="E191" s="0" t="inlineStr"/>
      <c r="F191" s="0" t="inlineStr"/>
      <c r="G191" s="0" t="inlineStr"/>
      <c r="H191" s="0" t="inlineStr"/>
      <c r="I191" s="0" t="inlineStr"/>
      <c r="J191" s="0" t="inlineStr">
        <is>
          <t>No</t>
        </is>
      </c>
    </row>
    <row r="192">
      <c r="A192" s="0" t="inlineStr"/>
      <c r="B192" s="0" t="inlineStr"/>
      <c r="C192" s="19" t="inlineStr"/>
      <c r="D192" s="0" t="inlineStr"/>
      <c r="E192" s="0" t="inlineStr"/>
      <c r="F192" s="0" t="inlineStr"/>
      <c r="G192" s="0" t="inlineStr"/>
      <c r="H192" s="0" t="inlineStr"/>
      <c r="I192" s="0" t="inlineStr"/>
      <c r="J192" s="0" t="inlineStr">
        <is>
          <t>No</t>
        </is>
      </c>
    </row>
    <row r="193">
      <c r="A193" s="0" t="inlineStr"/>
      <c r="B193" s="0" t="inlineStr"/>
      <c r="C193" s="19" t="inlineStr"/>
      <c r="D193" s="0" t="inlineStr"/>
      <c r="E193" s="0" t="inlineStr"/>
      <c r="F193" s="0" t="inlineStr"/>
      <c r="G193" s="0" t="inlineStr"/>
      <c r="H193" s="0" t="inlineStr"/>
      <c r="I193" s="0" t="inlineStr"/>
      <c r="J193" s="0" t="inlineStr">
        <is>
          <t>No</t>
        </is>
      </c>
    </row>
    <row r="194">
      <c r="A194" s="0" t="inlineStr"/>
      <c r="B194" s="0" t="inlineStr"/>
      <c r="C194" s="19" t="inlineStr"/>
      <c r="D194" s="0" t="inlineStr"/>
      <c r="E194" s="0" t="inlineStr"/>
      <c r="F194" s="0" t="inlineStr"/>
      <c r="G194" s="0" t="inlineStr"/>
      <c r="H194" s="0" t="inlineStr"/>
      <c r="I194" s="0" t="inlineStr"/>
      <c r="J194" s="0" t="inlineStr">
        <is>
          <t>No</t>
        </is>
      </c>
    </row>
    <row r="195">
      <c r="A195" s="0" t="inlineStr"/>
      <c r="B195" s="0" t="inlineStr"/>
      <c r="C195" s="19" t="inlineStr"/>
      <c r="D195" s="0" t="inlineStr"/>
      <c r="E195" s="0" t="inlineStr"/>
      <c r="F195" s="0" t="inlineStr"/>
      <c r="G195" s="0" t="inlineStr"/>
      <c r="H195" s="0" t="inlineStr"/>
      <c r="I195" s="0" t="inlineStr"/>
      <c r="J195" s="0" t="inlineStr">
        <is>
          <t>No</t>
        </is>
      </c>
    </row>
    <row r="196">
      <c r="A196" s="0" t="inlineStr"/>
      <c r="B196" s="0" t="inlineStr"/>
      <c r="C196" s="19" t="inlineStr"/>
      <c r="D196" s="0" t="inlineStr"/>
      <c r="E196" s="0" t="inlineStr"/>
      <c r="F196" s="0" t="inlineStr"/>
      <c r="G196" s="0" t="inlineStr"/>
      <c r="H196" s="0" t="inlineStr"/>
      <c r="I196" s="0" t="inlineStr"/>
      <c r="J196" s="0" t="inlineStr">
        <is>
          <t>No</t>
        </is>
      </c>
    </row>
    <row r="197">
      <c r="A197" s="0" t="inlineStr"/>
      <c r="B197" s="0" t="inlineStr"/>
      <c r="C197" s="19" t="inlineStr"/>
      <c r="D197" s="0" t="inlineStr"/>
      <c r="E197" s="0" t="inlineStr"/>
      <c r="F197" s="0" t="inlineStr"/>
      <c r="G197" s="0" t="inlineStr"/>
      <c r="H197" s="0" t="inlineStr"/>
      <c r="I197" s="0" t="inlineStr"/>
      <c r="J197" s="0" t="inlineStr">
        <is>
          <t>No</t>
        </is>
      </c>
    </row>
    <row r="198">
      <c r="A198" s="0" t="inlineStr"/>
      <c r="B198" s="0" t="inlineStr"/>
      <c r="C198" s="19" t="inlineStr"/>
      <c r="D198" s="0" t="inlineStr"/>
      <c r="E198" s="0" t="inlineStr"/>
      <c r="F198" s="0" t="inlineStr"/>
      <c r="G198" s="0" t="inlineStr"/>
      <c r="H198" s="0" t="inlineStr"/>
      <c r="I198" s="0" t="inlineStr"/>
      <c r="J198" s="0" t="inlineStr">
        <is>
          <t>No</t>
        </is>
      </c>
    </row>
    <row r="199">
      <c r="A199" s="0" t="inlineStr"/>
      <c r="B199" s="0" t="inlineStr"/>
      <c r="C199" s="19" t="inlineStr"/>
      <c r="D199" s="0" t="inlineStr"/>
      <c r="E199" s="0" t="inlineStr"/>
      <c r="F199" s="0" t="inlineStr"/>
      <c r="G199" s="0" t="inlineStr"/>
      <c r="H199" s="0" t="inlineStr"/>
      <c r="I199" s="0" t="inlineStr"/>
      <c r="J199" s="0" t="inlineStr">
        <is>
          <t>No</t>
        </is>
      </c>
    </row>
    <row r="200">
      <c r="A200" s="0" t="inlineStr"/>
      <c r="B200" s="0" t="inlineStr"/>
      <c r="C200" s="19" t="inlineStr"/>
      <c r="D200" s="0" t="inlineStr"/>
      <c r="E200" s="0" t="inlineStr"/>
      <c r="F200" s="0" t="inlineStr"/>
      <c r="G200" s="0" t="inlineStr"/>
      <c r="H200" s="0" t="inlineStr"/>
      <c r="I200" s="0" t="inlineStr"/>
      <c r="J200" s="0" t="inlineStr">
        <is>
          <t>No</t>
        </is>
      </c>
    </row>
    <row r="201">
      <c r="A201" s="0" t="inlineStr"/>
      <c r="B201" s="0" t="inlineStr"/>
      <c r="C201" s="19" t="inlineStr"/>
      <c r="D201" s="0" t="inlineStr"/>
      <c r="E201" s="0" t="inlineStr"/>
      <c r="F201" s="0" t="inlineStr"/>
      <c r="G201" s="0" t="inlineStr"/>
      <c r="H201" s="0" t="inlineStr"/>
      <c r="I201" s="0" t="inlineStr"/>
      <c r="J201" s="0" t="inlineStr">
        <is>
          <t>No</t>
        </is>
      </c>
    </row>
    <row r="202">
      <c r="A202" s="0" t="inlineStr"/>
      <c r="B202" s="0" t="inlineStr"/>
      <c r="C202" s="19" t="inlineStr"/>
      <c r="D202" s="0" t="inlineStr"/>
      <c r="E202" s="0" t="inlineStr"/>
      <c r="F202" s="0" t="inlineStr"/>
      <c r="G202" s="0" t="inlineStr"/>
      <c r="H202" s="0" t="inlineStr"/>
      <c r="I202" s="0" t="inlineStr"/>
      <c r="J202" s="0" t="inlineStr">
        <is>
          <t>No</t>
        </is>
      </c>
    </row>
    <row r="203">
      <c r="A203" s="0" t="inlineStr"/>
      <c r="B203" s="0" t="inlineStr"/>
      <c r="C203" s="19" t="inlineStr"/>
      <c r="D203" s="0" t="inlineStr"/>
      <c r="E203" s="0" t="inlineStr"/>
      <c r="F203" s="0" t="inlineStr"/>
      <c r="G203" s="0" t="inlineStr"/>
      <c r="H203" s="0" t="inlineStr"/>
      <c r="I203" s="0" t="inlineStr"/>
      <c r="J203" s="0" t="inlineStr">
        <is>
          <t>No</t>
        </is>
      </c>
    </row>
    <row r="204">
      <c r="A204" s="0" t="inlineStr"/>
      <c r="B204" s="0" t="inlineStr"/>
      <c r="C204" s="19" t="inlineStr"/>
      <c r="D204" s="0" t="inlineStr"/>
      <c r="E204" s="0" t="inlineStr"/>
      <c r="F204" s="0" t="inlineStr"/>
      <c r="G204" s="0" t="inlineStr"/>
      <c r="H204" s="0" t="inlineStr"/>
      <c r="I204" s="0" t="inlineStr"/>
      <c r="J204" s="0" t="inlineStr">
        <is>
          <t>No</t>
        </is>
      </c>
    </row>
    <row r="205">
      <c r="A205" s="0" t="inlineStr"/>
      <c r="B205" s="0" t="inlineStr"/>
      <c r="C205" s="19" t="inlineStr"/>
      <c r="D205" s="0" t="inlineStr"/>
      <c r="E205" s="0" t="inlineStr"/>
      <c r="F205" s="0" t="inlineStr"/>
      <c r="G205" s="0" t="inlineStr"/>
      <c r="H205" s="0" t="inlineStr"/>
      <c r="I205" s="0" t="inlineStr"/>
      <c r="J205" s="0" t="inlineStr">
        <is>
          <t>No</t>
        </is>
      </c>
    </row>
    <row r="206">
      <c r="A206" s="0" t="inlineStr"/>
      <c r="B206" s="0" t="inlineStr"/>
      <c r="C206" s="19" t="inlineStr"/>
      <c r="D206" s="0" t="inlineStr"/>
      <c r="E206" s="0" t="inlineStr"/>
      <c r="F206" s="0" t="inlineStr"/>
      <c r="G206" s="0" t="inlineStr"/>
      <c r="H206" s="0" t="inlineStr"/>
      <c r="I206" s="0" t="inlineStr"/>
      <c r="J206" s="0" t="inlineStr">
        <is>
          <t>No</t>
        </is>
      </c>
    </row>
    <row r="207">
      <c r="A207" s="0" t="inlineStr"/>
      <c r="B207" s="0" t="inlineStr"/>
      <c r="C207" s="19" t="inlineStr"/>
      <c r="D207" s="0" t="inlineStr"/>
      <c r="E207" s="0" t="inlineStr"/>
      <c r="F207" s="0" t="inlineStr"/>
      <c r="G207" s="0" t="inlineStr"/>
      <c r="H207" s="0" t="inlineStr"/>
      <c r="I207" s="0" t="inlineStr"/>
      <c r="J207" s="0" t="inlineStr">
        <is>
          <t>No</t>
        </is>
      </c>
    </row>
    <row r="208">
      <c r="A208" s="0" t="inlineStr"/>
      <c r="B208" s="0" t="inlineStr"/>
      <c r="C208" s="19" t="inlineStr"/>
      <c r="D208" s="0" t="inlineStr"/>
      <c r="E208" s="0" t="inlineStr"/>
      <c r="F208" s="0" t="inlineStr"/>
      <c r="G208" s="0" t="inlineStr"/>
      <c r="H208" s="0" t="inlineStr"/>
      <c r="I208" s="0" t="inlineStr"/>
      <c r="J208" s="0" t="inlineStr">
        <is>
          <t>No</t>
        </is>
      </c>
    </row>
    <row r="209">
      <c r="A209" s="0" t="inlineStr"/>
      <c r="B209" s="0" t="inlineStr"/>
      <c r="C209" s="19" t="inlineStr"/>
      <c r="D209" s="0" t="inlineStr"/>
      <c r="E209" s="0" t="inlineStr"/>
      <c r="F209" s="0" t="inlineStr"/>
      <c r="G209" s="0" t="inlineStr"/>
      <c r="H209" s="0" t="inlineStr"/>
      <c r="I209" s="0" t="inlineStr"/>
      <c r="J209" s="0" t="inlineStr">
        <is>
          <t>No</t>
        </is>
      </c>
    </row>
    <row r="210">
      <c r="A210" s="0" t="inlineStr"/>
      <c r="B210" s="0" t="inlineStr"/>
      <c r="C210" s="19" t="inlineStr"/>
      <c r="D210" s="0" t="inlineStr"/>
      <c r="E210" s="0" t="inlineStr"/>
      <c r="F210" s="0" t="inlineStr"/>
      <c r="G210" s="0" t="inlineStr"/>
      <c r="H210" s="0" t="inlineStr"/>
      <c r="I210" s="0" t="inlineStr"/>
      <c r="J210" s="0" t="inlineStr">
        <is>
          <t>No</t>
        </is>
      </c>
    </row>
    <row r="211">
      <c r="A211" s="0" t="inlineStr"/>
      <c r="B211" s="0" t="inlineStr"/>
      <c r="C211" s="19" t="inlineStr"/>
      <c r="D211" s="0" t="inlineStr"/>
      <c r="E211" s="0" t="inlineStr"/>
      <c r="F211" s="0" t="inlineStr"/>
      <c r="G211" s="0" t="inlineStr"/>
      <c r="H211" s="0" t="inlineStr"/>
      <c r="I211" s="0" t="inlineStr"/>
      <c r="J211" s="0" t="inlineStr">
        <is>
          <t>No</t>
        </is>
      </c>
    </row>
    <row r="212">
      <c r="A212" s="0" t="inlineStr"/>
      <c r="B212" s="0" t="inlineStr"/>
      <c r="C212" s="19" t="inlineStr"/>
      <c r="D212" s="0" t="inlineStr"/>
      <c r="E212" s="0" t="inlineStr"/>
      <c r="F212" s="0" t="inlineStr"/>
      <c r="G212" s="0" t="inlineStr"/>
      <c r="H212" s="0" t="inlineStr"/>
      <c r="I212" s="0" t="inlineStr"/>
      <c r="J212" s="0" t="inlineStr">
        <is>
          <t>No</t>
        </is>
      </c>
    </row>
    <row r="213">
      <c r="A213" s="0" t="inlineStr"/>
      <c r="B213" s="0" t="inlineStr"/>
      <c r="C213" s="19" t="inlineStr"/>
      <c r="D213" s="0" t="inlineStr"/>
      <c r="E213" s="0" t="inlineStr"/>
      <c r="F213" s="0" t="inlineStr"/>
      <c r="G213" s="0" t="inlineStr"/>
      <c r="H213" s="0" t="inlineStr"/>
      <c r="I213" s="0" t="inlineStr"/>
      <c r="J213" s="0" t="inlineStr">
        <is>
          <t>No</t>
        </is>
      </c>
    </row>
    <row r="214">
      <c r="A214" s="0" t="inlineStr"/>
      <c r="B214" s="0" t="inlineStr"/>
      <c r="C214" s="19" t="inlineStr"/>
      <c r="D214" s="0" t="inlineStr"/>
      <c r="E214" s="0" t="inlineStr"/>
      <c r="F214" s="0" t="inlineStr"/>
      <c r="G214" s="0" t="inlineStr"/>
      <c r="H214" s="0" t="inlineStr"/>
      <c r="I214" s="0" t="inlineStr"/>
      <c r="J214" s="0" t="inlineStr">
        <is>
          <t>No</t>
        </is>
      </c>
    </row>
    <row r="215">
      <c r="A215" s="0" t="inlineStr"/>
      <c r="B215" s="0" t="inlineStr"/>
      <c r="C215" s="19" t="inlineStr"/>
      <c r="D215" s="0" t="inlineStr"/>
      <c r="E215" s="0" t="inlineStr"/>
      <c r="F215" s="0" t="inlineStr"/>
      <c r="G215" s="0" t="inlineStr"/>
      <c r="H215" s="0" t="inlineStr"/>
      <c r="I215" s="0" t="inlineStr"/>
      <c r="J215" s="0" t="inlineStr">
        <is>
          <t>No</t>
        </is>
      </c>
    </row>
    <row r="216">
      <c r="A216" s="0" t="inlineStr"/>
      <c r="B216" s="0" t="inlineStr"/>
      <c r="C216" s="19" t="inlineStr"/>
      <c r="D216" s="0" t="inlineStr"/>
      <c r="E216" s="0" t="inlineStr"/>
      <c r="F216" s="0" t="inlineStr"/>
      <c r="G216" s="0" t="inlineStr"/>
      <c r="H216" s="0" t="inlineStr"/>
      <c r="I216" s="0" t="inlineStr"/>
      <c r="J216" s="0" t="inlineStr">
        <is>
          <t>No</t>
        </is>
      </c>
    </row>
    <row r="217">
      <c r="A217" s="0" t="inlineStr"/>
      <c r="B217" s="0" t="inlineStr"/>
      <c r="C217" s="19" t="inlineStr"/>
      <c r="D217" s="0" t="inlineStr"/>
      <c r="E217" s="0" t="inlineStr"/>
      <c r="F217" s="0" t="inlineStr"/>
      <c r="G217" s="0" t="inlineStr"/>
      <c r="H217" s="0" t="inlineStr"/>
      <c r="I217" s="0" t="inlineStr"/>
      <c r="J217" s="0" t="inlineStr">
        <is>
          <t>No</t>
        </is>
      </c>
    </row>
    <row r="218">
      <c r="A218" s="0" t="inlineStr"/>
      <c r="B218" s="0" t="inlineStr"/>
      <c r="C218" s="19" t="inlineStr"/>
      <c r="D218" s="0" t="inlineStr"/>
      <c r="E218" s="0" t="inlineStr"/>
      <c r="F218" s="0" t="inlineStr"/>
      <c r="G218" s="0" t="inlineStr"/>
      <c r="H218" s="0" t="inlineStr"/>
      <c r="I218" s="0" t="inlineStr"/>
      <c r="J218" s="0" t="inlineStr">
        <is>
          <t>No</t>
        </is>
      </c>
    </row>
    <row r="219">
      <c r="A219" s="0" t="inlineStr"/>
      <c r="B219" s="0" t="inlineStr"/>
      <c r="C219" s="19" t="inlineStr"/>
      <c r="D219" s="0" t="inlineStr"/>
      <c r="E219" s="0" t="inlineStr"/>
      <c r="F219" s="0" t="inlineStr"/>
      <c r="G219" s="0" t="inlineStr"/>
      <c r="H219" s="0" t="inlineStr"/>
      <c r="I219" s="0" t="inlineStr"/>
      <c r="J219" s="0" t="inlineStr">
        <is>
          <t>No</t>
        </is>
      </c>
    </row>
    <row r="220">
      <c r="A220" s="0" t="inlineStr"/>
      <c r="B220" s="0" t="inlineStr"/>
      <c r="C220" s="19" t="inlineStr"/>
      <c r="D220" s="0" t="inlineStr"/>
      <c r="E220" s="0" t="inlineStr"/>
      <c r="F220" s="0" t="inlineStr"/>
      <c r="G220" s="0" t="inlineStr"/>
      <c r="H220" s="0" t="inlineStr"/>
      <c r="I220" s="0" t="inlineStr"/>
      <c r="J220" s="0" t="inlineStr">
        <is>
          <t>No</t>
        </is>
      </c>
    </row>
    <row r="221">
      <c r="A221" s="0" t="inlineStr"/>
      <c r="B221" s="0" t="inlineStr"/>
      <c r="C221" s="19" t="inlineStr"/>
      <c r="D221" s="0" t="inlineStr"/>
      <c r="E221" s="0" t="inlineStr"/>
      <c r="F221" s="0" t="inlineStr"/>
      <c r="G221" s="0" t="inlineStr"/>
      <c r="H221" s="0" t="inlineStr"/>
      <c r="I221" s="0" t="inlineStr"/>
      <c r="J221" s="0" t="inlineStr">
        <is>
          <t>No</t>
        </is>
      </c>
    </row>
    <row r="222">
      <c r="A222" s="0" t="inlineStr"/>
      <c r="B222" s="0" t="inlineStr"/>
      <c r="C222" s="19" t="inlineStr"/>
      <c r="D222" s="0" t="inlineStr"/>
      <c r="E222" s="0" t="inlineStr"/>
      <c r="F222" s="0" t="inlineStr"/>
      <c r="G222" s="0" t="inlineStr"/>
      <c r="H222" s="0" t="inlineStr"/>
      <c r="I222" s="0" t="inlineStr"/>
      <c r="J222" s="0" t="inlineStr">
        <is>
          <t>No</t>
        </is>
      </c>
    </row>
    <row r="223">
      <c r="A223" s="0" t="inlineStr"/>
      <c r="B223" s="0" t="inlineStr"/>
      <c r="C223" s="19" t="inlineStr"/>
      <c r="D223" s="0" t="inlineStr"/>
      <c r="E223" s="0" t="inlineStr"/>
      <c r="F223" s="0" t="inlineStr"/>
      <c r="G223" s="0" t="inlineStr"/>
      <c r="H223" s="0" t="inlineStr"/>
      <c r="I223" s="0" t="inlineStr"/>
      <c r="J223" s="0" t="inlineStr">
        <is>
          <t>No</t>
        </is>
      </c>
    </row>
    <row r="224">
      <c r="A224" s="0" t="inlineStr"/>
      <c r="B224" s="0" t="inlineStr"/>
      <c r="C224" s="19" t="inlineStr"/>
      <c r="D224" s="0" t="inlineStr"/>
      <c r="E224" s="0" t="inlineStr"/>
      <c r="F224" s="0" t="inlineStr"/>
      <c r="G224" s="0" t="inlineStr"/>
      <c r="H224" s="0" t="inlineStr"/>
      <c r="I224" s="0" t="inlineStr"/>
      <c r="J224" s="0" t="inlineStr">
        <is>
          <t>No</t>
        </is>
      </c>
    </row>
    <row r="225">
      <c r="A225" s="0" t="inlineStr"/>
      <c r="B225" s="0" t="inlineStr"/>
      <c r="C225" s="19" t="inlineStr"/>
      <c r="D225" s="0" t="inlineStr"/>
      <c r="E225" s="0" t="inlineStr"/>
      <c r="F225" s="0" t="inlineStr"/>
      <c r="G225" s="0" t="inlineStr"/>
      <c r="H225" s="0" t="inlineStr"/>
      <c r="I225" s="0" t="inlineStr"/>
      <c r="J225" s="0" t="inlineStr">
        <is>
          <t>No</t>
        </is>
      </c>
    </row>
    <row r="226">
      <c r="A226" s="0" t="inlineStr"/>
      <c r="B226" s="0" t="inlineStr"/>
      <c r="C226" s="19" t="inlineStr"/>
      <c r="D226" s="0" t="inlineStr"/>
      <c r="E226" s="0" t="inlineStr"/>
      <c r="F226" s="0" t="inlineStr"/>
      <c r="G226" s="0" t="inlineStr"/>
      <c r="H226" s="0" t="inlineStr"/>
      <c r="I226" s="0" t="inlineStr"/>
      <c r="J226" s="0" t="inlineStr">
        <is>
          <t>No</t>
        </is>
      </c>
    </row>
    <row r="227">
      <c r="A227" s="0" t="inlineStr"/>
      <c r="B227" s="0" t="inlineStr"/>
      <c r="C227" s="19" t="inlineStr"/>
      <c r="D227" s="0" t="inlineStr"/>
      <c r="E227" s="0" t="inlineStr"/>
      <c r="F227" s="0" t="inlineStr"/>
      <c r="G227" s="0" t="inlineStr"/>
      <c r="H227" s="0" t="inlineStr"/>
      <c r="I227" s="0" t="inlineStr"/>
      <c r="J227" s="0" t="inlineStr">
        <is>
          <t>No</t>
        </is>
      </c>
    </row>
    <row r="228">
      <c r="A228" s="0" t="inlineStr"/>
      <c r="B228" s="0" t="inlineStr"/>
      <c r="C228" s="19" t="inlineStr"/>
      <c r="D228" s="0" t="inlineStr"/>
      <c r="E228" s="0" t="inlineStr"/>
      <c r="F228" s="0" t="inlineStr"/>
      <c r="G228" s="0" t="inlineStr"/>
      <c r="H228" s="0" t="inlineStr"/>
      <c r="I228" s="0" t="inlineStr"/>
      <c r="J228" s="0" t="inlineStr">
        <is>
          <t>No</t>
        </is>
      </c>
    </row>
    <row r="229">
      <c r="A229" s="0" t="inlineStr"/>
      <c r="B229" s="0" t="inlineStr"/>
      <c r="C229" s="19" t="inlineStr"/>
      <c r="D229" s="0" t="inlineStr"/>
      <c r="E229" s="0" t="inlineStr"/>
      <c r="F229" s="0" t="inlineStr"/>
      <c r="G229" s="0" t="inlineStr"/>
      <c r="H229" s="0" t="inlineStr"/>
      <c r="I229" s="0" t="inlineStr"/>
      <c r="J229" s="0" t="inlineStr">
        <is>
          <t>No</t>
        </is>
      </c>
    </row>
    <row r="230">
      <c r="A230" s="0" t="inlineStr"/>
      <c r="B230" s="0" t="inlineStr"/>
      <c r="C230" s="19" t="inlineStr"/>
      <c r="D230" s="0" t="inlineStr"/>
      <c r="E230" s="0" t="inlineStr"/>
      <c r="F230" s="0" t="inlineStr"/>
      <c r="G230" s="0" t="inlineStr"/>
      <c r="H230" s="0" t="inlineStr"/>
      <c r="I230" s="0" t="inlineStr"/>
      <c r="J230" s="0" t="inlineStr">
        <is>
          <t>No</t>
        </is>
      </c>
    </row>
    <row r="231">
      <c r="A231" s="0" t="inlineStr"/>
      <c r="B231" s="0" t="inlineStr"/>
      <c r="C231" s="19" t="inlineStr"/>
      <c r="D231" s="0" t="inlineStr"/>
      <c r="E231" s="0" t="inlineStr"/>
      <c r="F231" s="0" t="inlineStr"/>
      <c r="G231" s="0" t="inlineStr"/>
      <c r="H231" s="0" t="inlineStr"/>
      <c r="I231" s="0" t="inlineStr"/>
      <c r="J231" s="0" t="inlineStr">
        <is>
          <t>No</t>
        </is>
      </c>
    </row>
    <row r="232">
      <c r="A232" s="0" t="inlineStr"/>
      <c r="B232" s="0" t="inlineStr"/>
      <c r="C232" s="19" t="inlineStr"/>
      <c r="D232" s="0" t="inlineStr"/>
      <c r="E232" s="0" t="inlineStr"/>
      <c r="F232" s="0" t="inlineStr"/>
      <c r="G232" s="0" t="inlineStr"/>
      <c r="H232" s="0" t="inlineStr"/>
      <c r="I232" s="0" t="inlineStr"/>
      <c r="J232" s="0" t="inlineStr">
        <is>
          <t>No</t>
        </is>
      </c>
    </row>
    <row r="233">
      <c r="A233" s="0" t="inlineStr"/>
      <c r="B233" s="0" t="inlineStr"/>
      <c r="C233" s="19" t="inlineStr"/>
      <c r="D233" s="0" t="inlineStr"/>
      <c r="E233" s="0" t="inlineStr"/>
      <c r="F233" s="0" t="inlineStr"/>
      <c r="G233" s="0" t="inlineStr"/>
      <c r="H233" s="0" t="inlineStr"/>
      <c r="I233" s="0" t="inlineStr"/>
      <c r="J233" s="0" t="inlineStr">
        <is>
          <t>No</t>
        </is>
      </c>
    </row>
    <row r="234">
      <c r="A234" s="0" t="inlineStr"/>
      <c r="B234" s="0" t="inlineStr"/>
      <c r="C234" s="19" t="inlineStr"/>
      <c r="D234" s="0" t="inlineStr"/>
      <c r="E234" s="0" t="inlineStr"/>
      <c r="F234" s="0" t="inlineStr"/>
      <c r="G234" s="0" t="inlineStr"/>
      <c r="H234" s="0" t="inlineStr"/>
      <c r="I234" s="0" t="inlineStr"/>
      <c r="J234" s="0" t="inlineStr">
        <is>
          <t>No</t>
        </is>
      </c>
    </row>
    <row r="235">
      <c r="A235" s="0" t="inlineStr"/>
      <c r="B235" s="0" t="inlineStr"/>
      <c r="C235" s="19" t="inlineStr"/>
      <c r="D235" s="0" t="inlineStr"/>
      <c r="E235" s="0" t="inlineStr"/>
      <c r="F235" s="0" t="inlineStr"/>
      <c r="G235" s="0" t="inlineStr"/>
      <c r="H235" s="0" t="inlineStr"/>
      <c r="I235" s="0" t="inlineStr"/>
      <c r="J235" s="0" t="inlineStr">
        <is>
          <t>No</t>
        </is>
      </c>
    </row>
    <row r="236">
      <c r="A236" s="0" t="inlineStr"/>
      <c r="B236" s="0" t="inlineStr"/>
      <c r="C236" s="19" t="inlineStr"/>
      <c r="D236" s="0" t="inlineStr"/>
      <c r="E236" s="0" t="inlineStr"/>
      <c r="F236" s="0" t="inlineStr"/>
      <c r="G236" s="0" t="inlineStr"/>
      <c r="H236" s="0" t="inlineStr"/>
      <c r="I236" s="0" t="inlineStr"/>
      <c r="J236" s="0" t="inlineStr">
        <is>
          <t>No</t>
        </is>
      </c>
    </row>
    <row r="237">
      <c r="A237" s="0" t="inlineStr"/>
      <c r="B237" s="0" t="inlineStr"/>
      <c r="C237" s="19" t="inlineStr"/>
      <c r="D237" s="0" t="inlineStr"/>
      <c r="E237" s="0" t="inlineStr"/>
      <c r="F237" s="0" t="inlineStr"/>
      <c r="G237" s="0" t="inlineStr"/>
      <c r="H237" s="0" t="inlineStr"/>
      <c r="I237" s="0" t="inlineStr"/>
      <c r="J237" s="0" t="inlineStr">
        <is>
          <t>No</t>
        </is>
      </c>
    </row>
    <row r="238">
      <c r="A238" s="0" t="inlineStr"/>
      <c r="B238" s="0" t="inlineStr"/>
      <c r="C238" s="19" t="inlineStr"/>
      <c r="D238" s="0" t="inlineStr"/>
      <c r="E238" s="0" t="inlineStr"/>
      <c r="F238" s="0" t="inlineStr"/>
      <c r="G238" s="0" t="inlineStr"/>
      <c r="H238" s="0" t="inlineStr"/>
      <c r="I238" s="0" t="inlineStr"/>
      <c r="J238" s="0" t="inlineStr">
        <is>
          <t>No</t>
        </is>
      </c>
    </row>
    <row r="239">
      <c r="A239" s="0" t="inlineStr"/>
      <c r="B239" s="0" t="inlineStr"/>
      <c r="C239" s="19" t="inlineStr"/>
      <c r="D239" s="0" t="inlineStr"/>
      <c r="E239" s="0" t="inlineStr"/>
      <c r="F239" s="0" t="inlineStr"/>
      <c r="G239" s="0" t="inlineStr"/>
      <c r="H239" s="0" t="inlineStr"/>
      <c r="I239" s="0" t="inlineStr"/>
      <c r="J239" s="0" t="inlineStr">
        <is>
          <t>No</t>
        </is>
      </c>
    </row>
    <row r="240">
      <c r="A240" s="0" t="inlineStr"/>
      <c r="B240" s="0" t="inlineStr"/>
      <c r="C240" s="19" t="inlineStr"/>
      <c r="D240" s="0" t="inlineStr"/>
      <c r="E240" s="0" t="inlineStr"/>
      <c r="F240" s="0" t="inlineStr"/>
      <c r="G240" s="0" t="inlineStr"/>
      <c r="H240" s="0" t="inlineStr"/>
      <c r="I240" s="0" t="inlineStr"/>
      <c r="J240" s="0" t="inlineStr">
        <is>
          <t>No</t>
        </is>
      </c>
    </row>
    <row r="241">
      <c r="A241" s="0" t="inlineStr"/>
      <c r="B241" s="0" t="inlineStr"/>
      <c r="C241" s="19" t="inlineStr"/>
      <c r="D241" s="0" t="inlineStr"/>
      <c r="E241" s="0" t="inlineStr"/>
      <c r="F241" s="0" t="inlineStr"/>
      <c r="G241" s="0" t="inlineStr"/>
      <c r="H241" s="0" t="inlineStr"/>
      <c r="I241" s="0" t="inlineStr"/>
      <c r="J241" s="0" t="inlineStr">
        <is>
          <t>No</t>
        </is>
      </c>
    </row>
    <row r="242">
      <c r="A242" s="0" t="inlineStr"/>
      <c r="B242" s="0" t="inlineStr"/>
      <c r="C242" s="19" t="inlineStr"/>
      <c r="D242" s="0" t="inlineStr"/>
      <c r="E242" s="0" t="inlineStr"/>
      <c r="F242" s="0" t="inlineStr"/>
      <c r="G242" s="0" t="inlineStr"/>
      <c r="H242" s="0" t="inlineStr"/>
      <c r="I242" s="0" t="inlineStr"/>
      <c r="J242" s="0" t="inlineStr">
        <is>
          <t>No</t>
        </is>
      </c>
    </row>
    <row r="243">
      <c r="A243" s="0" t="inlineStr"/>
      <c r="B243" s="0" t="inlineStr"/>
      <c r="C243" s="19" t="inlineStr"/>
      <c r="D243" s="0" t="inlineStr"/>
      <c r="E243" s="0" t="inlineStr"/>
      <c r="F243" s="0" t="inlineStr"/>
      <c r="G243" s="0" t="inlineStr"/>
      <c r="H243" s="0" t="inlineStr"/>
      <c r="I243" s="0" t="inlineStr"/>
      <c r="J243" s="0" t="inlineStr">
        <is>
          <t>No</t>
        </is>
      </c>
    </row>
    <row r="244">
      <c r="A244" s="0" t="inlineStr"/>
      <c r="B244" s="0" t="inlineStr"/>
      <c r="C244" s="19" t="inlineStr"/>
      <c r="D244" s="0" t="inlineStr"/>
      <c r="E244" s="0" t="inlineStr"/>
      <c r="F244" s="0" t="inlineStr"/>
      <c r="G244" s="0" t="inlineStr"/>
      <c r="H244" s="0" t="inlineStr"/>
      <c r="I244" s="0" t="inlineStr"/>
      <c r="J244" s="0" t="inlineStr">
        <is>
          <t>No</t>
        </is>
      </c>
    </row>
    <row r="245">
      <c r="A245" s="0" t="inlineStr"/>
      <c r="B245" s="0" t="inlineStr"/>
      <c r="C245" s="19" t="inlineStr"/>
      <c r="D245" s="0" t="inlineStr"/>
      <c r="E245" s="0" t="inlineStr"/>
      <c r="F245" s="0" t="inlineStr"/>
      <c r="G245" s="0" t="inlineStr"/>
      <c r="H245" s="0" t="inlineStr"/>
      <c r="I245" s="0" t="inlineStr"/>
      <c r="J245" s="0" t="inlineStr">
        <is>
          <t>No</t>
        </is>
      </c>
    </row>
    <row r="246">
      <c r="A246" s="0" t="inlineStr"/>
      <c r="B246" s="0" t="inlineStr"/>
      <c r="C246" s="19" t="inlineStr"/>
      <c r="D246" s="0" t="inlineStr"/>
      <c r="E246" s="0" t="inlineStr"/>
      <c r="F246" s="0" t="inlineStr"/>
      <c r="G246" s="0" t="inlineStr"/>
      <c r="H246" s="0" t="inlineStr"/>
      <c r="I246" s="0" t="inlineStr"/>
      <c r="J246" s="0" t="inlineStr">
        <is>
          <t>No</t>
        </is>
      </c>
    </row>
    <row r="247">
      <c r="A247" s="0" t="inlineStr"/>
      <c r="B247" s="0" t="inlineStr"/>
      <c r="C247" s="19" t="inlineStr"/>
      <c r="D247" s="0" t="inlineStr"/>
      <c r="E247" s="0" t="inlineStr"/>
      <c r="F247" s="0" t="inlineStr"/>
      <c r="G247" s="0" t="inlineStr"/>
      <c r="H247" s="0" t="inlineStr"/>
      <c r="I247" s="0" t="inlineStr"/>
      <c r="J247" s="0" t="inlineStr">
        <is>
          <t>No</t>
        </is>
      </c>
    </row>
    <row r="248">
      <c r="A248" s="0" t="inlineStr"/>
      <c r="B248" s="0" t="inlineStr"/>
      <c r="C248" s="19" t="inlineStr"/>
      <c r="D248" s="0" t="inlineStr"/>
      <c r="E248" s="0" t="inlineStr"/>
      <c r="F248" s="0" t="inlineStr"/>
      <c r="G248" s="0" t="inlineStr"/>
      <c r="H248" s="0" t="inlineStr"/>
      <c r="I248" s="0" t="inlineStr"/>
      <c r="J248" s="0" t="inlineStr">
        <is>
          <t>No</t>
        </is>
      </c>
    </row>
    <row r="249">
      <c r="A249" s="0" t="inlineStr"/>
      <c r="B249" s="0" t="inlineStr"/>
      <c r="C249" s="19" t="inlineStr"/>
      <c r="D249" s="0" t="inlineStr"/>
      <c r="E249" s="0" t="inlineStr"/>
      <c r="F249" s="0" t="inlineStr"/>
      <c r="G249" s="0" t="inlineStr"/>
      <c r="H249" s="0" t="inlineStr"/>
      <c r="I249" s="0" t="inlineStr"/>
      <c r="J249" s="0" t="inlineStr">
        <is>
          <t>No</t>
        </is>
      </c>
    </row>
    <row r="250">
      <c r="A250" s="0" t="inlineStr"/>
      <c r="B250" s="0" t="inlineStr"/>
      <c r="C250" s="19" t="inlineStr"/>
      <c r="D250" s="0" t="inlineStr"/>
      <c r="E250" s="0" t="inlineStr"/>
      <c r="F250" s="0" t="inlineStr"/>
      <c r="G250" s="0" t="inlineStr"/>
      <c r="H250" s="0" t="inlineStr"/>
      <c r="I250" s="0" t="inlineStr"/>
      <c r="J250" s="0" t="inlineStr">
        <is>
          <t>No</t>
        </is>
      </c>
    </row>
    <row r="251">
      <c r="A251" s="0" t="inlineStr"/>
      <c r="B251" s="0" t="inlineStr"/>
      <c r="C251" s="19" t="inlineStr"/>
      <c r="D251" s="0" t="inlineStr"/>
      <c r="E251" s="0" t="inlineStr"/>
      <c r="F251" s="0" t="inlineStr"/>
      <c r="G251" s="0" t="inlineStr"/>
      <c r="H251" s="0" t="inlineStr"/>
      <c r="I251" s="0" t="inlineStr"/>
      <c r="J251" s="0" t="inlineStr">
        <is>
          <t>No</t>
        </is>
      </c>
    </row>
    <row r="252">
      <c r="A252" s="0" t="inlineStr"/>
      <c r="B252" s="0" t="inlineStr"/>
      <c r="C252" s="19" t="inlineStr"/>
      <c r="D252" s="0" t="inlineStr"/>
      <c r="E252" s="0" t="inlineStr"/>
      <c r="F252" s="0" t="inlineStr"/>
      <c r="G252" s="0" t="inlineStr"/>
      <c r="H252" s="0" t="inlineStr"/>
      <c r="I252" s="0" t="inlineStr"/>
      <c r="J252" s="0" t="inlineStr">
        <is>
          <t>No</t>
        </is>
      </c>
    </row>
    <row r="253">
      <c r="A253" s="0" t="inlineStr"/>
      <c r="B253" s="0" t="inlineStr"/>
      <c r="C253" s="19" t="inlineStr"/>
      <c r="D253" s="0" t="inlineStr"/>
      <c r="E253" s="0" t="inlineStr"/>
      <c r="F253" s="0" t="inlineStr"/>
      <c r="G253" s="0" t="inlineStr"/>
      <c r="H253" s="0" t="inlineStr"/>
      <c r="I253" s="0" t="inlineStr"/>
      <c r="J253" s="0" t="inlineStr">
        <is>
          <t>No</t>
        </is>
      </c>
    </row>
    <row r="254">
      <c r="A254" s="0" t="inlineStr"/>
      <c r="B254" s="0" t="inlineStr"/>
      <c r="C254" s="19" t="inlineStr"/>
      <c r="D254" s="0" t="inlineStr"/>
      <c r="E254" s="0" t="inlineStr"/>
      <c r="F254" s="0" t="inlineStr"/>
      <c r="G254" s="0" t="inlineStr"/>
      <c r="H254" s="0" t="inlineStr"/>
      <c r="I254" s="0" t="inlineStr"/>
      <c r="J254" s="0" t="inlineStr">
        <is>
          <t>No</t>
        </is>
      </c>
    </row>
    <row r="255">
      <c r="A255" s="0" t="inlineStr"/>
      <c r="B255" s="0" t="inlineStr"/>
      <c r="C255" s="19" t="inlineStr"/>
      <c r="D255" s="0" t="inlineStr"/>
      <c r="E255" s="0" t="inlineStr"/>
      <c r="F255" s="0" t="inlineStr"/>
      <c r="G255" s="0" t="inlineStr"/>
      <c r="H255" s="0" t="inlineStr"/>
      <c r="I255" s="0" t="inlineStr"/>
      <c r="J255" s="0" t="inlineStr">
        <is>
          <t>No</t>
        </is>
      </c>
    </row>
    <row r="256">
      <c r="A256" s="0" t="inlineStr"/>
      <c r="B256" s="0" t="inlineStr"/>
      <c r="C256" s="19" t="inlineStr"/>
      <c r="D256" s="0" t="inlineStr"/>
      <c r="E256" s="0" t="inlineStr"/>
      <c r="F256" s="0" t="inlineStr"/>
      <c r="G256" s="0" t="inlineStr"/>
      <c r="H256" s="0" t="inlineStr"/>
      <c r="I256" s="0" t="inlineStr"/>
      <c r="J256" s="0" t="inlineStr">
        <is>
          <t>No</t>
        </is>
      </c>
    </row>
    <row r="257">
      <c r="A257" s="0" t="inlineStr"/>
      <c r="B257" s="0" t="inlineStr"/>
      <c r="C257" s="19" t="inlineStr"/>
      <c r="D257" s="0" t="inlineStr"/>
      <c r="E257" s="0" t="inlineStr"/>
      <c r="F257" s="0" t="inlineStr"/>
      <c r="G257" s="0" t="inlineStr"/>
      <c r="H257" s="0" t="inlineStr"/>
      <c r="I257" s="0" t="inlineStr"/>
      <c r="J257" s="0" t="inlineStr">
        <is>
          <t>No</t>
        </is>
      </c>
    </row>
    <row r="258">
      <c r="A258" s="0" t="inlineStr"/>
      <c r="B258" s="0" t="inlineStr"/>
      <c r="C258" s="19" t="inlineStr"/>
      <c r="D258" s="0" t="inlineStr"/>
      <c r="E258" s="0" t="inlineStr"/>
      <c r="F258" s="0" t="inlineStr"/>
      <c r="G258" s="0" t="inlineStr"/>
      <c r="H258" s="0" t="inlineStr"/>
      <c r="I258" s="0" t="inlineStr"/>
      <c r="J258" s="0" t="inlineStr">
        <is>
          <t>No</t>
        </is>
      </c>
    </row>
    <row r="259">
      <c r="A259" s="0" t="inlineStr"/>
      <c r="B259" s="0" t="inlineStr"/>
      <c r="C259" s="19" t="inlineStr"/>
      <c r="D259" s="0" t="inlineStr"/>
      <c r="E259" s="0" t="inlineStr"/>
      <c r="F259" s="0" t="inlineStr"/>
      <c r="G259" s="0" t="inlineStr"/>
      <c r="H259" s="0" t="inlineStr"/>
      <c r="I259" s="0" t="inlineStr"/>
      <c r="J259" s="0" t="inlineStr">
        <is>
          <t>No</t>
        </is>
      </c>
    </row>
    <row r="260">
      <c r="A260" s="0" t="inlineStr"/>
      <c r="B260" s="0" t="inlineStr"/>
      <c r="C260" s="19" t="inlineStr"/>
      <c r="D260" s="0" t="inlineStr"/>
      <c r="E260" s="0" t="inlineStr"/>
      <c r="F260" s="0" t="inlineStr"/>
      <c r="G260" s="0" t="inlineStr"/>
      <c r="H260" s="0" t="inlineStr"/>
      <c r="I260" s="0" t="inlineStr"/>
      <c r="J260" s="0" t="inlineStr">
        <is>
          <t>No</t>
        </is>
      </c>
    </row>
    <row r="261">
      <c r="A261" s="0" t="inlineStr"/>
      <c r="B261" s="0" t="inlineStr"/>
      <c r="C261" s="19" t="inlineStr"/>
      <c r="D261" s="0" t="inlineStr"/>
      <c r="E261" s="0" t="inlineStr"/>
      <c r="F261" s="0" t="inlineStr"/>
      <c r="G261" s="0" t="inlineStr"/>
      <c r="H261" s="0" t="inlineStr"/>
      <c r="I261" s="0" t="inlineStr"/>
      <c r="J261" s="0" t="inlineStr">
        <is>
          <t>No</t>
        </is>
      </c>
    </row>
    <row r="262">
      <c r="A262" s="0" t="inlineStr"/>
      <c r="B262" s="0" t="inlineStr"/>
      <c r="C262" s="19" t="inlineStr"/>
      <c r="D262" s="0" t="inlineStr"/>
      <c r="E262" s="0" t="inlineStr"/>
      <c r="F262" s="0" t="inlineStr"/>
      <c r="G262" s="0" t="inlineStr"/>
      <c r="H262" s="0" t="inlineStr"/>
      <c r="I262" s="0" t="inlineStr"/>
      <c r="J262" s="0" t="inlineStr">
        <is>
          <t>No</t>
        </is>
      </c>
    </row>
    <row r="263">
      <c r="A263" s="0" t="inlineStr"/>
      <c r="B263" s="0" t="inlineStr"/>
      <c r="C263" s="19" t="inlineStr"/>
      <c r="D263" s="0" t="inlineStr"/>
      <c r="E263" s="0" t="inlineStr"/>
      <c r="F263" s="0" t="inlineStr"/>
      <c r="G263" s="0" t="inlineStr"/>
      <c r="H263" s="0" t="inlineStr"/>
      <c r="I263" s="0" t="inlineStr"/>
      <c r="J263" s="0" t="inlineStr">
        <is>
          <t>No</t>
        </is>
      </c>
    </row>
    <row r="264">
      <c r="A264" s="0" t="inlineStr"/>
      <c r="B264" s="0" t="inlineStr"/>
      <c r="C264" s="19" t="inlineStr"/>
      <c r="D264" s="0" t="inlineStr"/>
      <c r="E264" s="0" t="inlineStr"/>
      <c r="F264" s="0" t="inlineStr"/>
      <c r="G264" s="0" t="inlineStr"/>
      <c r="H264" s="0" t="inlineStr"/>
      <c r="I264" s="0" t="inlineStr"/>
      <c r="J264" s="0" t="inlineStr">
        <is>
          <t>No</t>
        </is>
      </c>
    </row>
    <row r="265">
      <c r="A265" s="0" t="inlineStr"/>
      <c r="B265" s="0" t="inlineStr"/>
      <c r="C265" s="19" t="inlineStr"/>
      <c r="D265" s="0" t="inlineStr"/>
      <c r="E265" s="0" t="inlineStr"/>
      <c r="F265" s="0" t="inlineStr"/>
      <c r="G265" s="0" t="inlineStr"/>
      <c r="H265" s="0" t="inlineStr"/>
      <c r="I265" s="0" t="inlineStr"/>
      <c r="J265" s="0" t="inlineStr">
        <is>
          <t>No</t>
        </is>
      </c>
    </row>
    <row r="266">
      <c r="A266" s="0" t="inlineStr"/>
      <c r="B266" s="0" t="inlineStr"/>
      <c r="C266" s="19" t="inlineStr"/>
      <c r="D266" s="0" t="inlineStr"/>
      <c r="E266" s="0" t="inlineStr"/>
      <c r="F266" s="0" t="inlineStr"/>
      <c r="G266" s="0" t="inlineStr"/>
      <c r="H266" s="0" t="inlineStr"/>
      <c r="I266" s="0" t="inlineStr"/>
      <c r="J266" s="0" t="inlineStr">
        <is>
          <t>No</t>
        </is>
      </c>
    </row>
    <row r="267">
      <c r="A267" s="0" t="inlineStr"/>
      <c r="B267" s="0" t="inlineStr"/>
      <c r="C267" s="19" t="inlineStr"/>
      <c r="D267" s="0" t="inlineStr"/>
      <c r="E267" s="0" t="inlineStr"/>
      <c r="F267" s="0" t="inlineStr"/>
      <c r="G267" s="0" t="inlineStr"/>
      <c r="H267" s="0" t="inlineStr"/>
      <c r="I267" s="0" t="inlineStr"/>
      <c r="J267" s="0" t="inlineStr">
        <is>
          <t>No</t>
        </is>
      </c>
    </row>
    <row r="268">
      <c r="A268" s="0" t="inlineStr"/>
      <c r="B268" s="0" t="inlineStr"/>
      <c r="C268" s="19" t="inlineStr"/>
      <c r="D268" s="0" t="inlineStr"/>
      <c r="E268" s="0" t="inlineStr"/>
      <c r="F268" s="0" t="inlineStr"/>
      <c r="G268" s="0" t="inlineStr"/>
      <c r="H268" s="0" t="inlineStr"/>
      <c r="I268" s="0" t="inlineStr"/>
      <c r="J268" s="0" t="inlineStr">
        <is>
          <t>No</t>
        </is>
      </c>
    </row>
    <row r="269">
      <c r="A269" s="0" t="inlineStr"/>
      <c r="B269" s="0" t="inlineStr"/>
      <c r="C269" s="19" t="inlineStr"/>
      <c r="D269" s="0" t="inlineStr"/>
      <c r="E269" s="0" t="inlineStr"/>
      <c r="F269" s="0" t="inlineStr"/>
      <c r="G269" s="0" t="inlineStr"/>
      <c r="H269" s="0" t="inlineStr"/>
      <c r="I269" s="0" t="inlineStr"/>
      <c r="J269" s="0" t="inlineStr">
        <is>
          <t>No</t>
        </is>
      </c>
    </row>
    <row r="270">
      <c r="A270" s="0" t="inlineStr"/>
      <c r="B270" s="0" t="inlineStr"/>
      <c r="C270" s="19" t="inlineStr"/>
      <c r="D270" s="0" t="inlineStr"/>
      <c r="E270" s="0" t="inlineStr"/>
      <c r="F270" s="0" t="inlineStr"/>
      <c r="G270" s="0" t="inlineStr"/>
      <c r="H270" s="0" t="inlineStr"/>
      <c r="I270" s="0" t="inlineStr"/>
      <c r="J270" s="0" t="inlineStr">
        <is>
          <t>No</t>
        </is>
      </c>
    </row>
    <row r="271">
      <c r="A271" s="0" t="inlineStr"/>
      <c r="B271" s="0" t="inlineStr"/>
      <c r="C271" s="19" t="inlineStr"/>
      <c r="D271" s="0" t="inlineStr"/>
      <c r="E271" s="0" t="inlineStr"/>
      <c r="F271" s="0" t="inlineStr"/>
      <c r="G271" s="0" t="inlineStr"/>
      <c r="H271" s="0" t="inlineStr"/>
      <c r="I271" s="0" t="inlineStr"/>
      <c r="J271" s="0" t="inlineStr">
        <is>
          <t>No</t>
        </is>
      </c>
    </row>
    <row r="272">
      <c r="A272" s="0" t="inlineStr"/>
      <c r="B272" s="0" t="inlineStr"/>
      <c r="C272" s="19" t="inlineStr"/>
      <c r="D272" s="0" t="inlineStr"/>
      <c r="E272" s="0" t="inlineStr"/>
      <c r="F272" s="0" t="inlineStr"/>
      <c r="G272" s="0" t="inlineStr"/>
      <c r="H272" s="0" t="inlineStr"/>
      <c r="I272" s="0" t="inlineStr"/>
      <c r="J272" s="0" t="inlineStr">
        <is>
          <t>No</t>
        </is>
      </c>
    </row>
    <row r="273">
      <c r="A273" s="0" t="inlineStr"/>
      <c r="B273" s="0" t="inlineStr"/>
      <c r="C273" s="19" t="inlineStr"/>
      <c r="D273" s="0" t="inlineStr"/>
      <c r="E273" s="0" t="inlineStr"/>
      <c r="F273" s="0" t="inlineStr"/>
      <c r="G273" s="0" t="inlineStr"/>
      <c r="H273" s="0" t="inlineStr"/>
      <c r="I273" s="0" t="inlineStr"/>
      <c r="J273" s="0" t="inlineStr">
        <is>
          <t>No</t>
        </is>
      </c>
    </row>
    <row r="274">
      <c r="A274" s="0" t="inlineStr"/>
      <c r="B274" s="0" t="inlineStr"/>
      <c r="C274" s="19" t="inlineStr"/>
      <c r="D274" s="0" t="inlineStr"/>
      <c r="E274" s="0" t="inlineStr"/>
      <c r="F274" s="0" t="inlineStr"/>
      <c r="G274" s="0" t="inlineStr"/>
      <c r="H274" s="0" t="inlineStr"/>
      <c r="I274" s="0" t="inlineStr"/>
      <c r="J274" s="0" t="inlineStr">
        <is>
          <t>No</t>
        </is>
      </c>
    </row>
    <row r="275">
      <c r="A275" s="0" t="inlineStr"/>
      <c r="B275" s="0" t="inlineStr"/>
      <c r="C275" s="19" t="inlineStr"/>
      <c r="D275" s="0" t="inlineStr"/>
      <c r="E275" s="0" t="inlineStr"/>
      <c r="F275" s="0" t="inlineStr"/>
      <c r="G275" s="0" t="inlineStr"/>
      <c r="H275" s="0" t="inlineStr"/>
      <c r="I275" s="0" t="inlineStr"/>
      <c r="J275" s="0" t="inlineStr">
        <is>
          <t>No</t>
        </is>
      </c>
    </row>
    <row r="276">
      <c r="A276" s="0" t="inlineStr"/>
      <c r="B276" s="0" t="inlineStr"/>
      <c r="C276" s="19" t="inlineStr"/>
      <c r="D276" s="0" t="inlineStr"/>
      <c r="E276" s="0" t="inlineStr"/>
      <c r="F276" s="0" t="inlineStr"/>
      <c r="G276" s="0" t="inlineStr"/>
      <c r="H276" s="0" t="inlineStr"/>
      <c r="I276" s="0" t="inlineStr"/>
      <c r="J276" s="0" t="inlineStr">
        <is>
          <t>No</t>
        </is>
      </c>
    </row>
    <row r="277">
      <c r="A277" s="0" t="inlineStr"/>
      <c r="B277" s="0" t="inlineStr"/>
      <c r="C277" s="19" t="inlineStr"/>
      <c r="D277" s="0" t="inlineStr"/>
      <c r="E277" s="0" t="inlineStr"/>
      <c r="F277" s="0" t="inlineStr"/>
      <c r="G277" s="0" t="inlineStr"/>
      <c r="H277" s="0" t="inlineStr"/>
      <c r="I277" s="0" t="inlineStr"/>
      <c r="J277" s="0" t="inlineStr">
        <is>
          <t>No</t>
        </is>
      </c>
    </row>
    <row r="278">
      <c r="A278" s="0" t="inlineStr"/>
      <c r="B278" s="0" t="inlineStr"/>
      <c r="C278" s="19" t="inlineStr"/>
      <c r="D278" s="0" t="inlineStr"/>
      <c r="E278" s="0" t="inlineStr"/>
      <c r="F278" s="0" t="inlineStr"/>
      <c r="G278" s="0" t="inlineStr"/>
      <c r="H278" s="0" t="inlineStr"/>
      <c r="I278" s="0" t="inlineStr"/>
      <c r="J278" s="0" t="inlineStr">
        <is>
          <t>No</t>
        </is>
      </c>
    </row>
    <row r="279">
      <c r="A279" s="0" t="inlineStr"/>
      <c r="B279" s="0" t="inlineStr"/>
      <c r="C279" s="19" t="inlineStr"/>
      <c r="D279" s="0" t="inlineStr"/>
      <c r="E279" s="0" t="inlineStr"/>
      <c r="F279" s="0" t="inlineStr"/>
      <c r="G279" s="0" t="inlineStr"/>
      <c r="H279" s="0" t="inlineStr"/>
      <c r="I279" s="0" t="inlineStr"/>
      <c r="J279" s="0" t="inlineStr">
        <is>
          <t>No</t>
        </is>
      </c>
    </row>
    <row r="280">
      <c r="A280" s="0" t="inlineStr"/>
      <c r="B280" s="0" t="inlineStr"/>
      <c r="C280" s="19" t="inlineStr"/>
      <c r="D280" s="0" t="inlineStr"/>
      <c r="E280" s="0" t="inlineStr"/>
      <c r="F280" s="0" t="inlineStr"/>
      <c r="G280" s="0" t="inlineStr"/>
      <c r="H280" s="0" t="inlineStr"/>
      <c r="I280" s="0" t="inlineStr"/>
      <c r="J280" s="0" t="inlineStr">
        <is>
          <t>No</t>
        </is>
      </c>
    </row>
    <row r="281">
      <c r="A281" s="0" t="inlineStr"/>
      <c r="B281" s="0" t="inlineStr"/>
      <c r="C281" s="19" t="inlineStr"/>
      <c r="D281" s="0" t="inlineStr"/>
      <c r="E281" s="0" t="inlineStr"/>
      <c r="F281" s="0" t="inlineStr"/>
      <c r="G281" s="0" t="inlineStr"/>
      <c r="H281" s="0" t="inlineStr"/>
      <c r="I281" s="0" t="inlineStr"/>
      <c r="J281" s="0" t="inlineStr">
        <is>
          <t>No</t>
        </is>
      </c>
    </row>
    <row r="282">
      <c r="A282" s="0" t="inlineStr"/>
      <c r="B282" s="0" t="inlineStr"/>
      <c r="C282" s="19" t="inlineStr"/>
      <c r="D282" s="0" t="inlineStr"/>
      <c r="E282" s="0" t="inlineStr"/>
      <c r="F282" s="0" t="inlineStr"/>
      <c r="G282" s="0" t="inlineStr"/>
      <c r="H282" s="0" t="inlineStr"/>
      <c r="I282" s="0" t="inlineStr"/>
      <c r="J282" s="0" t="inlineStr">
        <is>
          <t>No</t>
        </is>
      </c>
    </row>
    <row r="283">
      <c r="A283" s="0" t="inlineStr"/>
      <c r="B283" s="0" t="inlineStr"/>
      <c r="C283" s="19" t="inlineStr"/>
      <c r="D283" s="0" t="inlineStr"/>
      <c r="E283" s="0" t="inlineStr"/>
      <c r="F283" s="0" t="inlineStr"/>
      <c r="G283" s="0" t="inlineStr"/>
      <c r="H283" s="0" t="inlineStr"/>
      <c r="I283" s="0" t="inlineStr"/>
      <c r="J283" s="0" t="inlineStr">
        <is>
          <t>No</t>
        </is>
      </c>
    </row>
    <row r="284">
      <c r="A284" s="0" t="inlineStr"/>
      <c r="B284" s="0" t="inlineStr"/>
      <c r="C284" s="19" t="inlineStr"/>
      <c r="D284" s="0" t="inlineStr"/>
      <c r="E284" s="0" t="inlineStr"/>
      <c r="F284" s="0" t="inlineStr"/>
      <c r="G284" s="0" t="inlineStr"/>
      <c r="H284" s="0" t="inlineStr"/>
      <c r="I284" s="0" t="inlineStr"/>
      <c r="J284" s="0" t="inlineStr">
        <is>
          <t>No</t>
        </is>
      </c>
    </row>
    <row r="285">
      <c r="A285" s="0" t="inlineStr"/>
      <c r="B285" s="0" t="inlineStr"/>
      <c r="C285" s="19" t="inlineStr"/>
      <c r="D285" s="0" t="inlineStr"/>
      <c r="E285" s="0" t="inlineStr"/>
      <c r="F285" s="0" t="inlineStr"/>
      <c r="G285" s="0" t="inlineStr"/>
      <c r="H285" s="0" t="inlineStr"/>
      <c r="I285" s="0" t="inlineStr"/>
      <c r="J285" s="0" t="inlineStr">
        <is>
          <t>No</t>
        </is>
      </c>
    </row>
    <row r="286">
      <c r="A286" s="0" t="inlineStr"/>
      <c r="B286" s="0" t="inlineStr"/>
      <c r="C286" s="19" t="inlineStr"/>
      <c r="D286" s="0" t="inlineStr"/>
      <c r="E286" s="0" t="inlineStr"/>
      <c r="F286" s="0" t="inlineStr"/>
      <c r="G286" s="0" t="inlineStr"/>
      <c r="H286" s="0" t="inlineStr"/>
      <c r="I286" s="0" t="inlineStr"/>
      <c r="J286" s="0" t="inlineStr">
        <is>
          <t>No</t>
        </is>
      </c>
    </row>
    <row r="287">
      <c r="A287" s="0" t="inlineStr"/>
      <c r="B287" s="0" t="inlineStr"/>
      <c r="C287" s="19" t="inlineStr"/>
      <c r="D287" s="0" t="inlineStr"/>
      <c r="E287" s="0" t="inlineStr"/>
      <c r="F287" s="0" t="inlineStr"/>
      <c r="G287" s="0" t="inlineStr"/>
      <c r="H287" s="0" t="inlineStr"/>
      <c r="I287" s="0" t="inlineStr"/>
      <c r="J287" s="0" t="inlineStr">
        <is>
          <t>No</t>
        </is>
      </c>
    </row>
    <row r="288">
      <c r="A288" s="0" t="inlineStr"/>
      <c r="B288" s="0" t="inlineStr"/>
      <c r="C288" s="19" t="inlineStr"/>
      <c r="D288" s="0" t="inlineStr"/>
      <c r="E288" s="0" t="inlineStr"/>
      <c r="F288" s="0" t="inlineStr"/>
      <c r="G288" s="0" t="inlineStr"/>
      <c r="H288" s="0" t="inlineStr"/>
      <c r="I288" s="0" t="inlineStr"/>
      <c r="J288" s="0" t="inlineStr">
        <is>
          <t>No</t>
        </is>
      </c>
    </row>
    <row r="289">
      <c r="A289" s="0" t="inlineStr"/>
      <c r="B289" s="0" t="inlineStr"/>
      <c r="C289" s="19" t="inlineStr"/>
      <c r="D289" s="0" t="inlineStr"/>
      <c r="E289" s="0" t="inlineStr"/>
      <c r="F289" s="0" t="inlineStr"/>
      <c r="G289" s="0" t="inlineStr"/>
      <c r="H289" s="0" t="inlineStr"/>
      <c r="I289" s="0" t="inlineStr"/>
      <c r="J289" s="0" t="inlineStr">
        <is>
          <t>No</t>
        </is>
      </c>
    </row>
    <row r="290">
      <c r="A290" s="0" t="inlineStr"/>
      <c r="B290" s="0" t="inlineStr"/>
      <c r="C290" s="19" t="inlineStr"/>
      <c r="D290" s="0" t="inlineStr"/>
      <c r="E290" s="0" t="inlineStr"/>
      <c r="F290" s="0" t="inlineStr"/>
      <c r="G290" s="0" t="inlineStr"/>
      <c r="H290" s="0" t="inlineStr"/>
      <c r="I290" s="0" t="inlineStr"/>
      <c r="J290" s="0" t="inlineStr">
        <is>
          <t>No</t>
        </is>
      </c>
    </row>
    <row r="291">
      <c r="A291" s="0" t="inlineStr"/>
      <c r="B291" s="0" t="inlineStr"/>
      <c r="C291" s="19" t="inlineStr"/>
      <c r="D291" s="0" t="inlineStr"/>
      <c r="E291" s="0" t="inlineStr"/>
      <c r="F291" s="0" t="inlineStr"/>
      <c r="G291" s="0" t="inlineStr"/>
      <c r="H291" s="0" t="inlineStr"/>
      <c r="I291" s="0" t="inlineStr"/>
      <c r="J291" s="0" t="inlineStr">
        <is>
          <t>No</t>
        </is>
      </c>
    </row>
    <row r="292">
      <c r="A292" s="0" t="inlineStr"/>
      <c r="B292" s="0" t="inlineStr"/>
      <c r="C292" s="19" t="inlineStr"/>
      <c r="D292" s="0" t="inlineStr"/>
      <c r="E292" s="0" t="inlineStr"/>
      <c r="F292" s="0" t="inlineStr"/>
      <c r="G292" s="0" t="inlineStr"/>
      <c r="H292" s="0" t="inlineStr"/>
      <c r="I292" s="0" t="inlineStr"/>
      <c r="J292" s="0" t="inlineStr">
        <is>
          <t>No</t>
        </is>
      </c>
    </row>
    <row r="293">
      <c r="A293" s="0" t="inlineStr"/>
      <c r="B293" s="0" t="inlineStr"/>
      <c r="C293" s="19" t="inlineStr"/>
      <c r="D293" s="0" t="inlineStr"/>
      <c r="E293" s="0" t="inlineStr"/>
      <c r="F293" s="0" t="inlineStr"/>
      <c r="G293" s="0" t="inlineStr"/>
      <c r="H293" s="0" t="inlineStr"/>
      <c r="I293" s="0" t="inlineStr"/>
      <c r="J293" s="0" t="inlineStr">
        <is>
          <t>No</t>
        </is>
      </c>
    </row>
    <row r="294">
      <c r="A294" s="0" t="inlineStr"/>
      <c r="B294" s="0" t="inlineStr"/>
      <c r="C294" s="19" t="inlineStr"/>
      <c r="D294" s="0" t="inlineStr"/>
      <c r="E294" s="0" t="inlineStr"/>
      <c r="F294" s="0" t="inlineStr"/>
      <c r="G294" s="0" t="inlineStr"/>
      <c r="H294" s="0" t="inlineStr"/>
      <c r="I294" s="0" t="inlineStr"/>
      <c r="J294" s="0" t="inlineStr">
        <is>
          <t>No</t>
        </is>
      </c>
    </row>
    <row r="295">
      <c r="A295" s="0" t="inlineStr"/>
      <c r="B295" s="0" t="inlineStr"/>
      <c r="C295" s="19" t="inlineStr"/>
      <c r="D295" s="0" t="inlineStr"/>
      <c r="E295" s="0" t="inlineStr"/>
      <c r="F295" s="0" t="inlineStr"/>
      <c r="G295" s="0" t="inlineStr"/>
      <c r="H295" s="0" t="inlineStr"/>
      <c r="I295" s="0" t="inlineStr"/>
      <c r="J295" s="0" t="inlineStr">
        <is>
          <t>No</t>
        </is>
      </c>
    </row>
    <row r="296">
      <c r="A296" s="0" t="inlineStr"/>
      <c r="B296" s="0" t="inlineStr"/>
      <c r="C296" s="19" t="inlineStr"/>
      <c r="D296" s="0" t="inlineStr"/>
      <c r="E296" s="0" t="inlineStr"/>
      <c r="F296" s="0" t="inlineStr"/>
      <c r="G296" s="0" t="inlineStr"/>
      <c r="H296" s="0" t="inlineStr"/>
      <c r="I296" s="0" t="inlineStr"/>
      <c r="J296" s="0" t="inlineStr">
        <is>
          <t>No</t>
        </is>
      </c>
    </row>
    <row r="297">
      <c r="A297" s="0" t="inlineStr"/>
      <c r="B297" s="0" t="inlineStr"/>
      <c r="C297" s="19" t="inlineStr"/>
      <c r="D297" s="0" t="inlineStr"/>
      <c r="E297" s="0" t="inlineStr"/>
      <c r="F297" s="0" t="inlineStr"/>
      <c r="G297" s="0" t="inlineStr"/>
      <c r="H297" s="0" t="inlineStr"/>
      <c r="I297" s="0" t="inlineStr"/>
      <c r="J297" s="0" t="inlineStr">
        <is>
          <t>No</t>
        </is>
      </c>
    </row>
    <row r="298">
      <c r="A298" s="0" t="inlineStr"/>
      <c r="B298" s="0" t="inlineStr"/>
      <c r="C298" s="19" t="inlineStr"/>
      <c r="D298" s="0" t="inlineStr"/>
      <c r="E298" s="0" t="inlineStr"/>
      <c r="F298" s="0" t="inlineStr"/>
      <c r="G298" s="0" t="inlineStr"/>
      <c r="H298" s="0" t="inlineStr"/>
      <c r="I298" s="0" t="inlineStr"/>
      <c r="J298" s="0" t="inlineStr">
        <is>
          <t>No</t>
        </is>
      </c>
    </row>
    <row r="299">
      <c r="A299" s="0" t="inlineStr"/>
      <c r="B299" s="0" t="inlineStr"/>
      <c r="C299" s="19" t="inlineStr"/>
      <c r="D299" s="0" t="inlineStr"/>
      <c r="E299" s="0" t="inlineStr"/>
      <c r="F299" s="0" t="inlineStr"/>
      <c r="G299" s="0" t="inlineStr"/>
      <c r="H299" s="0" t="inlineStr"/>
      <c r="I299" s="0" t="inlineStr"/>
      <c r="J299" s="0" t="inlineStr">
        <is>
          <t>No</t>
        </is>
      </c>
    </row>
    <row r="300">
      <c r="A300" s="0" t="inlineStr"/>
      <c r="B300" s="0" t="inlineStr"/>
      <c r="C300" s="19" t="inlineStr"/>
      <c r="D300" s="0" t="inlineStr"/>
      <c r="E300" s="0" t="inlineStr"/>
      <c r="F300" s="0" t="inlineStr"/>
      <c r="G300" s="0" t="inlineStr"/>
      <c r="H300" s="0" t="inlineStr"/>
      <c r="I300" s="0" t="inlineStr"/>
      <c r="J300" s="0" t="inlineStr">
        <is>
          <t>No</t>
        </is>
      </c>
    </row>
    <row r="301">
      <c r="A301" s="0" t="inlineStr"/>
      <c r="B301" s="0" t="inlineStr"/>
      <c r="C301" s="19" t="inlineStr"/>
      <c r="D301" s="0" t="inlineStr"/>
      <c r="E301" s="0" t="inlineStr"/>
      <c r="F301" s="0" t="inlineStr"/>
      <c r="G301" s="0" t="inlineStr"/>
      <c r="H301" s="0" t="inlineStr"/>
      <c r="I301" s="0" t="inlineStr"/>
      <c r="J301" s="0" t="inlineStr">
        <is>
          <t>No</t>
        </is>
      </c>
    </row>
    <row r="302">
      <c r="A302" s="0" t="inlineStr"/>
      <c r="B302" s="0" t="inlineStr"/>
      <c r="C302" s="19" t="inlineStr"/>
      <c r="D302" s="0" t="inlineStr"/>
      <c r="E302" s="0" t="inlineStr"/>
      <c r="F302" s="0" t="inlineStr"/>
      <c r="G302" s="0" t="inlineStr"/>
      <c r="H302" s="0" t="inlineStr"/>
      <c r="I302" s="0" t="inlineStr"/>
      <c r="J302" s="0" t="inlineStr">
        <is>
          <t>No</t>
        </is>
      </c>
    </row>
    <row r="303">
      <c r="A303" s="0" t="inlineStr"/>
      <c r="B303" s="0" t="inlineStr"/>
      <c r="C303" s="19" t="inlineStr"/>
      <c r="D303" s="0" t="inlineStr"/>
      <c r="E303" s="0" t="inlineStr"/>
      <c r="F303" s="0" t="inlineStr"/>
      <c r="G303" s="0" t="inlineStr"/>
      <c r="H303" s="0" t="inlineStr"/>
      <c r="I303" s="0" t="inlineStr"/>
      <c r="J303" s="0" t="inlineStr">
        <is>
          <t>No</t>
        </is>
      </c>
    </row>
    <row r="304">
      <c r="A304" s="0" t="inlineStr"/>
      <c r="B304" s="0" t="inlineStr"/>
      <c r="C304" s="19" t="inlineStr"/>
      <c r="D304" s="0" t="inlineStr"/>
      <c r="E304" s="0" t="inlineStr"/>
      <c r="F304" s="0" t="inlineStr"/>
      <c r="G304" s="0" t="inlineStr"/>
      <c r="H304" s="0" t="inlineStr"/>
      <c r="I304" s="0" t="inlineStr"/>
      <c r="J304" s="0" t="inlineStr">
        <is>
          <t>No</t>
        </is>
      </c>
    </row>
    <row r="305">
      <c r="A305" s="0" t="inlineStr"/>
      <c r="B305" s="0" t="inlineStr"/>
      <c r="C305" s="19" t="inlineStr"/>
      <c r="D305" s="0" t="inlineStr"/>
      <c r="E305" s="0" t="inlineStr"/>
      <c r="F305" s="0" t="inlineStr"/>
      <c r="G305" s="0" t="inlineStr"/>
      <c r="H305" s="0" t="inlineStr"/>
      <c r="I305" s="0" t="inlineStr"/>
      <c r="J305" s="0" t="inlineStr">
        <is>
          <t>No</t>
        </is>
      </c>
    </row>
    <row r="306">
      <c r="A306" s="0" t="inlineStr"/>
      <c r="B306" s="0" t="inlineStr"/>
      <c r="C306" s="19" t="inlineStr"/>
      <c r="D306" s="0" t="inlineStr"/>
      <c r="E306" s="0" t="inlineStr"/>
      <c r="F306" s="0" t="inlineStr"/>
      <c r="G306" s="0" t="inlineStr"/>
      <c r="H306" s="0" t="inlineStr"/>
      <c r="I306" s="0" t="inlineStr"/>
      <c r="J306" s="0" t="inlineStr">
        <is>
          <t>No</t>
        </is>
      </c>
    </row>
    <row r="307">
      <c r="A307" s="0" t="inlineStr"/>
      <c r="B307" s="0" t="inlineStr"/>
      <c r="C307" s="19" t="inlineStr"/>
      <c r="D307" s="0" t="inlineStr"/>
      <c r="E307" s="0" t="inlineStr"/>
      <c r="F307" s="0" t="inlineStr"/>
      <c r="G307" s="0" t="inlineStr"/>
      <c r="H307" s="0" t="inlineStr"/>
      <c r="I307" s="0" t="inlineStr"/>
      <c r="J307" s="0" t="inlineStr">
        <is>
          <t>No</t>
        </is>
      </c>
    </row>
    <row r="308">
      <c r="A308" s="0" t="inlineStr"/>
      <c r="B308" s="0" t="inlineStr"/>
      <c r="C308" s="19" t="inlineStr"/>
      <c r="D308" s="0" t="inlineStr"/>
      <c r="E308" s="0" t="inlineStr"/>
      <c r="F308" s="0" t="inlineStr"/>
      <c r="G308" s="0" t="inlineStr"/>
      <c r="H308" s="0" t="inlineStr"/>
      <c r="I308" s="0" t="inlineStr"/>
      <c r="J308" s="0" t="inlineStr">
        <is>
          <t>No</t>
        </is>
      </c>
    </row>
    <row r="309">
      <c r="A309" s="0" t="inlineStr"/>
      <c r="B309" s="0" t="inlineStr"/>
      <c r="C309" s="19" t="inlineStr"/>
      <c r="D309" s="0" t="inlineStr"/>
      <c r="E309" s="0" t="inlineStr"/>
      <c r="F309" s="0" t="inlineStr"/>
      <c r="G309" s="0" t="inlineStr"/>
      <c r="H309" s="0" t="inlineStr"/>
      <c r="I309" s="0" t="inlineStr"/>
      <c r="J309" s="0" t="inlineStr">
        <is>
          <t>No</t>
        </is>
      </c>
    </row>
    <row r="310">
      <c r="A310" s="0" t="inlineStr"/>
      <c r="B310" s="0" t="inlineStr"/>
      <c r="C310" s="19" t="inlineStr"/>
      <c r="D310" s="0" t="inlineStr"/>
      <c r="E310" s="0" t="inlineStr"/>
      <c r="F310" s="0" t="inlineStr"/>
      <c r="G310" s="0" t="inlineStr"/>
      <c r="H310" s="0" t="inlineStr"/>
      <c r="I310" s="0" t="inlineStr"/>
      <c r="J310" s="0" t="inlineStr">
        <is>
          <t>No</t>
        </is>
      </c>
    </row>
    <row r="311">
      <c r="A311" s="0" t="inlineStr"/>
      <c r="B311" s="0" t="inlineStr"/>
      <c r="C311" s="19" t="inlineStr"/>
      <c r="D311" s="0" t="inlineStr"/>
      <c r="E311" s="0" t="inlineStr"/>
      <c r="F311" s="0" t="inlineStr"/>
      <c r="G311" s="0" t="inlineStr"/>
      <c r="H311" s="0" t="inlineStr"/>
      <c r="I311" s="0" t="inlineStr"/>
      <c r="J311" s="0" t="inlineStr">
        <is>
          <t>No</t>
        </is>
      </c>
    </row>
    <row r="312">
      <c r="A312" s="0" t="inlineStr"/>
      <c r="B312" s="0" t="inlineStr"/>
      <c r="C312" s="19" t="inlineStr"/>
      <c r="D312" s="0" t="inlineStr"/>
      <c r="E312" s="0" t="inlineStr"/>
      <c r="F312" s="0" t="inlineStr"/>
      <c r="G312" s="0" t="inlineStr"/>
      <c r="H312" s="0" t="inlineStr"/>
      <c r="I312" s="0" t="inlineStr"/>
      <c r="J312" s="0" t="inlineStr">
        <is>
          <t>No</t>
        </is>
      </c>
    </row>
    <row r="313">
      <c r="A313" s="0" t="inlineStr"/>
      <c r="B313" s="0" t="inlineStr"/>
      <c r="C313" s="19" t="inlineStr"/>
      <c r="D313" s="0" t="inlineStr"/>
      <c r="E313" s="0" t="inlineStr"/>
      <c r="F313" s="0" t="inlineStr"/>
      <c r="G313" s="0" t="inlineStr"/>
      <c r="H313" s="0" t="inlineStr"/>
      <c r="I313" s="0" t="inlineStr"/>
      <c r="J313" s="0" t="inlineStr">
        <is>
          <t>No</t>
        </is>
      </c>
    </row>
    <row r="314">
      <c r="A314" s="0" t="inlineStr"/>
      <c r="B314" s="0" t="inlineStr"/>
      <c r="C314" s="19" t="inlineStr"/>
      <c r="D314" s="0" t="inlineStr"/>
      <c r="E314" s="0" t="inlineStr"/>
      <c r="F314" s="0" t="inlineStr"/>
      <c r="G314" s="0" t="inlineStr"/>
      <c r="H314" s="0" t="inlineStr"/>
      <c r="I314" s="0" t="inlineStr"/>
      <c r="J314" s="0" t="inlineStr">
        <is>
          <t>No</t>
        </is>
      </c>
    </row>
    <row r="315">
      <c r="A315" s="0" t="inlineStr"/>
      <c r="B315" s="0" t="inlineStr"/>
      <c r="C315" s="19" t="inlineStr"/>
      <c r="D315" s="0" t="inlineStr"/>
      <c r="E315" s="0" t="inlineStr"/>
      <c r="F315" s="0" t="inlineStr"/>
      <c r="G315" s="0" t="inlineStr"/>
      <c r="H315" s="0" t="inlineStr"/>
      <c r="I315" s="0" t="inlineStr"/>
      <c r="J315" s="0" t="inlineStr">
        <is>
          <t>No</t>
        </is>
      </c>
    </row>
    <row r="316">
      <c r="A316" s="0" t="inlineStr"/>
      <c r="B316" s="0" t="inlineStr"/>
      <c r="C316" s="19" t="inlineStr"/>
      <c r="D316" s="0" t="inlineStr"/>
      <c r="E316" s="0" t="inlineStr"/>
      <c r="F316" s="0" t="inlineStr"/>
      <c r="G316" s="0" t="inlineStr"/>
      <c r="H316" s="0" t="inlineStr"/>
      <c r="I316" s="0" t="inlineStr"/>
      <c r="J316" s="0" t="inlineStr">
        <is>
          <t>No</t>
        </is>
      </c>
    </row>
    <row r="317">
      <c r="A317" s="0" t="inlineStr"/>
      <c r="B317" s="0" t="inlineStr"/>
      <c r="C317" s="19" t="inlineStr"/>
      <c r="D317" s="0" t="inlineStr"/>
      <c r="E317" s="0" t="inlineStr"/>
      <c r="F317" s="0" t="inlineStr"/>
      <c r="G317" s="0" t="inlineStr"/>
      <c r="H317" s="0" t="inlineStr"/>
      <c r="I317" s="0" t="inlineStr"/>
      <c r="J317" s="0" t="inlineStr">
        <is>
          <t>No</t>
        </is>
      </c>
    </row>
    <row r="318">
      <c r="A318" s="0" t="inlineStr"/>
      <c r="B318" s="0" t="inlineStr"/>
      <c r="C318" s="19" t="inlineStr"/>
      <c r="D318" s="0" t="inlineStr"/>
      <c r="E318" s="0" t="inlineStr"/>
      <c r="F318" s="0" t="inlineStr"/>
      <c r="G318" s="0" t="inlineStr"/>
      <c r="H318" s="0" t="inlineStr"/>
      <c r="I318" s="0" t="inlineStr"/>
      <c r="J318" s="0" t="inlineStr">
        <is>
          <t>No</t>
        </is>
      </c>
    </row>
    <row r="319">
      <c r="A319" s="0" t="inlineStr"/>
      <c r="B319" s="0" t="inlineStr"/>
      <c r="C319" s="19" t="inlineStr"/>
      <c r="D319" s="0" t="inlineStr"/>
      <c r="E319" s="0" t="inlineStr"/>
      <c r="F319" s="0" t="inlineStr"/>
      <c r="G319" s="0" t="inlineStr"/>
      <c r="H319" s="0" t="inlineStr"/>
      <c r="I319" s="0" t="inlineStr"/>
      <c r="J319" s="0" t="inlineStr">
        <is>
          <t>No</t>
        </is>
      </c>
    </row>
    <row r="320">
      <c r="A320" s="0" t="inlineStr"/>
      <c r="B320" s="0" t="inlineStr"/>
      <c r="C320" s="19" t="inlineStr"/>
      <c r="D320" s="0" t="inlineStr"/>
      <c r="E320" s="0" t="inlineStr"/>
      <c r="F320" s="0" t="inlineStr"/>
      <c r="G320" s="0" t="inlineStr"/>
      <c r="H320" s="0" t="inlineStr"/>
      <c r="I320" s="0" t="inlineStr"/>
      <c r="J320" s="0" t="inlineStr">
        <is>
          <t>No</t>
        </is>
      </c>
    </row>
    <row r="321">
      <c r="A321" s="0" t="inlineStr"/>
      <c r="B321" s="0" t="inlineStr"/>
      <c r="C321" s="19" t="inlineStr"/>
      <c r="D321" s="0" t="inlineStr"/>
      <c r="E321" s="0" t="inlineStr"/>
      <c r="F321" s="0" t="inlineStr"/>
      <c r="G321" s="0" t="inlineStr"/>
      <c r="H321" s="0" t="inlineStr"/>
      <c r="I321" s="0" t="inlineStr"/>
      <c r="J321" s="0" t="inlineStr">
        <is>
          <t>No</t>
        </is>
      </c>
    </row>
    <row r="322">
      <c r="A322" s="0" t="inlineStr"/>
      <c r="B322" s="0" t="inlineStr"/>
      <c r="C322" s="19" t="inlineStr"/>
      <c r="D322" s="0" t="inlineStr"/>
      <c r="E322" s="0" t="inlineStr"/>
      <c r="F322" s="0" t="inlineStr"/>
      <c r="G322" s="0" t="inlineStr"/>
      <c r="H322" s="0" t="inlineStr"/>
      <c r="I322" s="0" t="inlineStr"/>
      <c r="J322" s="0" t="inlineStr">
        <is>
          <t>No</t>
        </is>
      </c>
    </row>
    <row r="323">
      <c r="A323" s="0" t="inlineStr"/>
      <c r="B323" s="0" t="inlineStr"/>
      <c r="C323" s="19" t="inlineStr"/>
      <c r="D323" s="0" t="inlineStr"/>
      <c r="E323" s="0" t="inlineStr"/>
      <c r="F323" s="0" t="inlineStr"/>
      <c r="G323" s="0" t="inlineStr"/>
      <c r="H323" s="0" t="inlineStr"/>
      <c r="I323" s="0" t="inlineStr"/>
      <c r="J323" s="0" t="inlineStr">
        <is>
          <t>No</t>
        </is>
      </c>
    </row>
    <row r="324">
      <c r="A324" s="0" t="inlineStr"/>
      <c r="B324" s="0" t="inlineStr"/>
      <c r="C324" s="19" t="inlineStr"/>
      <c r="D324" s="0" t="inlineStr"/>
      <c r="E324" s="0" t="inlineStr"/>
      <c r="F324" s="0" t="inlineStr"/>
      <c r="G324" s="0" t="inlineStr"/>
      <c r="H324" s="0" t="inlineStr"/>
      <c r="I324" s="0" t="inlineStr"/>
      <c r="J324" s="0" t="inlineStr">
        <is>
          <t>No</t>
        </is>
      </c>
    </row>
    <row r="325">
      <c r="A325" s="0" t="inlineStr"/>
      <c r="B325" s="0" t="inlineStr"/>
      <c r="C325" s="19" t="inlineStr"/>
      <c r="D325" s="0" t="inlineStr"/>
      <c r="E325" s="0" t="inlineStr"/>
      <c r="F325" s="0" t="inlineStr"/>
      <c r="G325" s="0" t="inlineStr"/>
      <c r="H325" s="0" t="inlineStr"/>
      <c r="I325" s="0" t="inlineStr"/>
      <c r="J325" s="0" t="inlineStr">
        <is>
          <t>No</t>
        </is>
      </c>
    </row>
    <row r="326">
      <c r="A326" s="0" t="inlineStr"/>
      <c r="B326" s="0" t="inlineStr"/>
      <c r="C326" s="19" t="inlineStr"/>
      <c r="D326" s="0" t="inlineStr"/>
      <c r="E326" s="0" t="inlineStr"/>
      <c r="F326" s="0" t="inlineStr"/>
      <c r="G326" s="0" t="inlineStr"/>
      <c r="H326" s="0" t="inlineStr"/>
      <c r="I326" s="0" t="inlineStr"/>
      <c r="J326" s="0" t="inlineStr">
        <is>
          <t>No</t>
        </is>
      </c>
    </row>
    <row r="327">
      <c r="A327" s="0" t="inlineStr"/>
      <c r="B327" s="0" t="inlineStr"/>
      <c r="C327" s="19" t="inlineStr"/>
      <c r="D327" s="0" t="inlineStr"/>
      <c r="E327" s="0" t="inlineStr"/>
      <c r="F327" s="0" t="inlineStr"/>
      <c r="G327" s="0" t="inlineStr"/>
      <c r="H327" s="0" t="inlineStr"/>
      <c r="I327" s="0" t="inlineStr"/>
      <c r="J327" s="0" t="inlineStr">
        <is>
          <t>No</t>
        </is>
      </c>
    </row>
    <row r="328">
      <c r="A328" s="0" t="inlineStr"/>
      <c r="B328" s="0" t="inlineStr"/>
      <c r="C328" s="19" t="inlineStr"/>
      <c r="D328" s="0" t="inlineStr"/>
      <c r="E328" s="0" t="inlineStr"/>
      <c r="F328" s="0" t="inlineStr"/>
      <c r="G328" s="0" t="inlineStr"/>
      <c r="H328" s="0" t="inlineStr"/>
      <c r="I328" s="0" t="inlineStr"/>
      <c r="J328" s="0" t="inlineStr">
        <is>
          <t>No</t>
        </is>
      </c>
    </row>
    <row r="329">
      <c r="A329" s="0" t="inlineStr"/>
      <c r="B329" s="0" t="inlineStr"/>
      <c r="C329" s="19" t="inlineStr"/>
      <c r="D329" s="0" t="inlineStr"/>
      <c r="E329" s="0" t="inlineStr"/>
      <c r="F329" s="0" t="inlineStr"/>
      <c r="G329" s="0" t="inlineStr"/>
      <c r="H329" s="0" t="inlineStr"/>
      <c r="I329" s="0" t="inlineStr"/>
      <c r="J329" s="0" t="inlineStr">
        <is>
          <t>No</t>
        </is>
      </c>
    </row>
    <row r="330">
      <c r="A330" s="0" t="inlineStr"/>
      <c r="B330" s="0" t="inlineStr"/>
      <c r="C330" s="19" t="inlineStr"/>
      <c r="D330" s="0" t="inlineStr"/>
      <c r="E330" s="0" t="inlineStr"/>
      <c r="F330" s="0" t="inlineStr"/>
      <c r="G330" s="0" t="inlineStr"/>
      <c r="H330" s="0" t="inlineStr"/>
      <c r="I330" s="0" t="inlineStr"/>
      <c r="J330" s="0" t="inlineStr">
        <is>
          <t>No</t>
        </is>
      </c>
    </row>
    <row r="331">
      <c r="A331" s="0" t="inlineStr"/>
      <c r="B331" s="0" t="inlineStr"/>
      <c r="C331" s="19" t="inlineStr"/>
      <c r="D331" s="0" t="inlineStr"/>
      <c r="E331" s="0" t="inlineStr"/>
      <c r="F331" s="0" t="inlineStr"/>
      <c r="G331" s="0" t="inlineStr"/>
      <c r="H331" s="0" t="inlineStr"/>
      <c r="I331" s="0" t="inlineStr"/>
      <c r="J331" s="0" t="inlineStr">
        <is>
          <t>No</t>
        </is>
      </c>
    </row>
    <row r="332">
      <c r="A332" s="0" t="inlineStr"/>
      <c r="B332" s="0" t="inlineStr"/>
      <c r="C332" s="19" t="inlineStr"/>
      <c r="D332" s="0" t="inlineStr"/>
      <c r="E332" s="0" t="inlineStr"/>
      <c r="F332" s="0" t="inlineStr"/>
      <c r="G332" s="0" t="inlineStr"/>
      <c r="H332" s="0" t="inlineStr"/>
      <c r="I332" s="0" t="inlineStr"/>
      <c r="J332" s="0" t="inlineStr">
        <is>
          <t>No</t>
        </is>
      </c>
    </row>
    <row r="333">
      <c r="A333" s="0" t="inlineStr"/>
      <c r="B333" s="0" t="inlineStr"/>
      <c r="C333" s="19" t="inlineStr"/>
      <c r="D333" s="0" t="inlineStr"/>
      <c r="E333" s="0" t="inlineStr"/>
      <c r="F333" s="0" t="inlineStr"/>
      <c r="G333" s="0" t="inlineStr"/>
      <c r="H333" s="0" t="inlineStr"/>
      <c r="I333" s="0" t="inlineStr"/>
      <c r="J333" s="0" t="inlineStr">
        <is>
          <t>No</t>
        </is>
      </c>
    </row>
    <row r="334">
      <c r="A334" s="0" t="inlineStr"/>
      <c r="B334" s="0" t="inlineStr"/>
      <c r="C334" s="19" t="inlineStr"/>
      <c r="D334" s="0" t="inlineStr"/>
      <c r="E334" s="0" t="inlineStr"/>
      <c r="F334" s="0" t="inlineStr"/>
      <c r="G334" s="0" t="inlineStr"/>
      <c r="H334" s="0" t="inlineStr"/>
      <c r="I334" s="0" t="inlineStr"/>
      <c r="J334" s="0" t="inlineStr">
        <is>
          <t>No</t>
        </is>
      </c>
    </row>
    <row r="335">
      <c r="A335" s="0" t="inlineStr"/>
      <c r="B335" s="0" t="inlineStr"/>
      <c r="C335" s="19" t="inlineStr"/>
      <c r="D335" s="0" t="inlineStr"/>
      <c r="E335" s="0" t="inlineStr"/>
      <c r="F335" s="0" t="inlineStr"/>
      <c r="G335" s="0" t="inlineStr"/>
      <c r="H335" s="0" t="inlineStr"/>
      <c r="I335" s="0" t="inlineStr"/>
      <c r="J335" s="0" t="inlineStr">
        <is>
          <t>No</t>
        </is>
      </c>
    </row>
    <row r="336">
      <c r="A336" s="0" t="inlineStr"/>
      <c r="B336" s="0" t="inlineStr"/>
      <c r="C336" s="19" t="inlineStr"/>
      <c r="D336" s="0" t="inlineStr"/>
      <c r="E336" s="0" t="inlineStr"/>
      <c r="F336" s="0" t="inlineStr"/>
      <c r="G336" s="0" t="inlineStr"/>
      <c r="H336" s="0" t="inlineStr"/>
      <c r="I336" s="0" t="inlineStr"/>
      <c r="J336" s="0" t="inlineStr">
        <is>
          <t>No</t>
        </is>
      </c>
    </row>
    <row r="337">
      <c r="A337" s="0" t="inlineStr"/>
      <c r="B337" s="0" t="inlineStr"/>
      <c r="C337" s="19" t="inlineStr"/>
      <c r="D337" s="0" t="inlineStr"/>
      <c r="E337" s="0" t="inlineStr"/>
      <c r="F337" s="0" t="inlineStr"/>
      <c r="G337" s="0" t="inlineStr"/>
      <c r="H337" s="0" t="inlineStr"/>
      <c r="I337" s="0" t="inlineStr"/>
      <c r="J337" s="0" t="inlineStr">
        <is>
          <t>No</t>
        </is>
      </c>
    </row>
    <row r="338">
      <c r="A338" s="0" t="inlineStr"/>
      <c r="B338" s="0" t="inlineStr"/>
      <c r="C338" s="19" t="inlineStr"/>
      <c r="D338" s="0" t="inlineStr"/>
      <c r="E338" s="0" t="inlineStr"/>
      <c r="F338" s="0" t="inlineStr"/>
      <c r="G338" s="0" t="inlineStr"/>
      <c r="H338" s="0" t="inlineStr"/>
      <c r="I338" s="0" t="inlineStr"/>
      <c r="J338" s="0" t="inlineStr">
        <is>
          <t>No</t>
        </is>
      </c>
    </row>
    <row r="339">
      <c r="A339" s="0" t="inlineStr"/>
      <c r="B339" s="0" t="inlineStr"/>
      <c r="C339" s="19" t="inlineStr"/>
      <c r="D339" s="0" t="inlineStr"/>
      <c r="E339" s="0" t="inlineStr"/>
      <c r="F339" s="0" t="inlineStr"/>
      <c r="G339" s="0" t="inlineStr"/>
      <c r="H339" s="0" t="inlineStr"/>
      <c r="I339" s="0" t="inlineStr"/>
      <c r="J339" s="0" t="inlineStr">
        <is>
          <t>No</t>
        </is>
      </c>
    </row>
    <row r="340">
      <c r="A340" s="0" t="inlineStr"/>
      <c r="B340" s="0" t="inlineStr"/>
      <c r="C340" s="19" t="inlineStr"/>
      <c r="D340" s="0" t="inlineStr"/>
      <c r="E340" s="0" t="inlineStr"/>
      <c r="F340" s="0" t="inlineStr"/>
      <c r="G340" s="0" t="inlineStr"/>
      <c r="H340" s="0" t="inlineStr"/>
      <c r="I340" s="0" t="inlineStr"/>
      <c r="J340" s="0" t="inlineStr">
        <is>
          <t>No</t>
        </is>
      </c>
    </row>
    <row r="341">
      <c r="A341" s="0" t="inlineStr"/>
      <c r="B341" s="0" t="inlineStr"/>
      <c r="C341" s="19" t="inlineStr"/>
      <c r="D341" s="0" t="inlineStr"/>
      <c r="E341" s="0" t="inlineStr"/>
      <c r="F341" s="0" t="inlineStr"/>
      <c r="G341" s="0" t="inlineStr"/>
      <c r="H341" s="0" t="inlineStr"/>
      <c r="I341" s="0" t="inlineStr"/>
      <c r="J341" s="0" t="inlineStr">
        <is>
          <t>No</t>
        </is>
      </c>
    </row>
    <row r="342">
      <c r="A342" s="0" t="inlineStr"/>
      <c r="B342" s="0" t="inlineStr"/>
      <c r="C342" s="19" t="inlineStr"/>
      <c r="D342" s="0" t="inlineStr"/>
      <c r="E342" s="0" t="inlineStr"/>
      <c r="F342" s="0" t="inlineStr"/>
      <c r="G342" s="0" t="inlineStr"/>
      <c r="H342" s="0" t="inlineStr"/>
      <c r="I342" s="0" t="inlineStr"/>
      <c r="J342" s="0" t="inlineStr">
        <is>
          <t>No</t>
        </is>
      </c>
    </row>
    <row r="343">
      <c r="A343" s="0" t="inlineStr"/>
      <c r="B343" s="0" t="inlineStr"/>
      <c r="C343" s="19" t="inlineStr"/>
      <c r="D343" s="0" t="inlineStr"/>
      <c r="E343" s="0" t="inlineStr"/>
      <c r="F343" s="0" t="inlineStr"/>
      <c r="G343" s="0" t="inlineStr"/>
      <c r="H343" s="0" t="inlineStr"/>
      <c r="I343" s="0" t="inlineStr"/>
      <c r="J343" s="0" t="inlineStr">
        <is>
          <t>No</t>
        </is>
      </c>
    </row>
    <row r="344">
      <c r="A344" s="0" t="inlineStr"/>
      <c r="B344" s="0" t="inlineStr"/>
      <c r="C344" s="19" t="inlineStr"/>
      <c r="D344" s="0" t="inlineStr"/>
      <c r="E344" s="0" t="inlineStr"/>
      <c r="F344" s="0" t="inlineStr"/>
      <c r="G344" s="0" t="inlineStr"/>
      <c r="H344" s="0" t="inlineStr"/>
      <c r="I344" s="0" t="inlineStr"/>
      <c r="J344" s="0" t="inlineStr">
        <is>
          <t>No</t>
        </is>
      </c>
    </row>
    <row r="345">
      <c r="A345" s="0" t="inlineStr"/>
      <c r="B345" s="0" t="inlineStr"/>
      <c r="C345" s="19" t="inlineStr"/>
      <c r="D345" s="0" t="inlineStr"/>
      <c r="E345" s="0" t="inlineStr"/>
      <c r="F345" s="0" t="inlineStr"/>
      <c r="G345" s="0" t="inlineStr"/>
      <c r="H345" s="0" t="inlineStr"/>
      <c r="I345" s="0" t="inlineStr"/>
      <c r="J345" s="0" t="inlineStr">
        <is>
          <t>No</t>
        </is>
      </c>
    </row>
    <row r="346">
      <c r="A346" s="0" t="inlineStr"/>
      <c r="B346" s="0" t="inlineStr"/>
      <c r="C346" s="19" t="inlineStr"/>
      <c r="D346" s="0" t="inlineStr"/>
      <c r="E346" s="0" t="inlineStr"/>
      <c r="F346" s="0" t="inlineStr"/>
      <c r="G346" s="0" t="inlineStr"/>
      <c r="H346" s="0" t="inlineStr"/>
      <c r="I346" s="0" t="inlineStr"/>
      <c r="J346" s="0" t="inlineStr">
        <is>
          <t>No</t>
        </is>
      </c>
    </row>
    <row r="347">
      <c r="A347" s="0" t="inlineStr"/>
      <c r="B347" s="0" t="inlineStr"/>
      <c r="C347" s="19" t="inlineStr"/>
      <c r="D347" s="0" t="inlineStr"/>
      <c r="E347" s="0" t="inlineStr"/>
      <c r="F347" s="0" t="inlineStr"/>
      <c r="G347" s="0" t="inlineStr"/>
      <c r="H347" s="0" t="inlineStr"/>
      <c r="I347" s="0" t="inlineStr"/>
      <c r="J347" s="0" t="inlineStr">
        <is>
          <t>No</t>
        </is>
      </c>
    </row>
    <row r="348">
      <c r="A348" s="0" t="inlineStr"/>
      <c r="B348" s="0" t="inlineStr"/>
      <c r="C348" s="19" t="inlineStr"/>
      <c r="D348" s="0" t="inlineStr"/>
      <c r="E348" s="0" t="inlineStr"/>
      <c r="F348" s="0" t="inlineStr"/>
      <c r="G348" s="0" t="inlineStr"/>
      <c r="H348" s="0" t="inlineStr"/>
      <c r="I348" s="0" t="inlineStr"/>
      <c r="J348" s="0" t="inlineStr">
        <is>
          <t>No</t>
        </is>
      </c>
    </row>
    <row r="349">
      <c r="A349" s="0" t="inlineStr"/>
      <c r="B349" s="0" t="inlineStr"/>
      <c r="C349" s="19" t="inlineStr"/>
      <c r="D349" s="0" t="inlineStr"/>
      <c r="E349" s="0" t="inlineStr"/>
      <c r="F349" s="0" t="inlineStr"/>
      <c r="G349" s="0" t="inlineStr"/>
      <c r="H349" s="0" t="inlineStr"/>
      <c r="I349" s="0" t="inlineStr"/>
      <c r="J349" s="0" t="inlineStr">
        <is>
          <t>No</t>
        </is>
      </c>
    </row>
    <row r="350">
      <c r="A350" s="0" t="inlineStr"/>
      <c r="B350" s="0" t="inlineStr"/>
      <c r="C350" s="19" t="inlineStr"/>
      <c r="D350" s="0" t="inlineStr"/>
      <c r="E350" s="0" t="inlineStr"/>
      <c r="F350" s="0" t="inlineStr"/>
      <c r="G350" s="0" t="inlineStr"/>
      <c r="H350" s="0" t="inlineStr"/>
      <c r="I350" s="0" t="inlineStr"/>
      <c r="J350" s="0" t="inlineStr">
        <is>
          <t>No</t>
        </is>
      </c>
    </row>
    <row r="351">
      <c r="A351" s="0" t="inlineStr"/>
      <c r="B351" s="0" t="inlineStr"/>
      <c r="C351" s="19" t="inlineStr"/>
      <c r="D351" s="0" t="inlineStr"/>
      <c r="E351" s="0" t="inlineStr"/>
      <c r="F351" s="0" t="inlineStr"/>
      <c r="G351" s="0" t="inlineStr"/>
      <c r="H351" s="0" t="inlineStr"/>
      <c r="I351" s="0" t="inlineStr"/>
      <c r="J351" s="0" t="inlineStr">
        <is>
          <t>No</t>
        </is>
      </c>
    </row>
    <row r="352">
      <c r="A352" s="0" t="inlineStr"/>
      <c r="B352" s="0" t="inlineStr"/>
      <c r="C352" s="19" t="inlineStr"/>
      <c r="D352" s="0" t="inlineStr"/>
      <c r="E352" s="0" t="inlineStr"/>
      <c r="F352" s="0" t="inlineStr"/>
      <c r="G352" s="0" t="inlineStr"/>
      <c r="H352" s="0" t="inlineStr"/>
      <c r="I352" s="0" t="inlineStr"/>
      <c r="J352" s="0" t="inlineStr">
        <is>
          <t>No</t>
        </is>
      </c>
    </row>
    <row r="353">
      <c r="A353" s="0" t="inlineStr"/>
      <c r="B353" s="0" t="inlineStr"/>
      <c r="C353" s="19" t="inlineStr"/>
      <c r="D353" s="0" t="inlineStr"/>
      <c r="E353" s="0" t="inlineStr"/>
      <c r="F353" s="0" t="inlineStr"/>
      <c r="G353" s="0" t="inlineStr"/>
      <c r="H353" s="0" t="inlineStr"/>
      <c r="I353" s="0" t="inlineStr"/>
      <c r="J353" s="0" t="inlineStr">
        <is>
          <t>No</t>
        </is>
      </c>
    </row>
    <row r="354">
      <c r="A354" s="0" t="inlineStr"/>
      <c r="B354" s="0" t="inlineStr"/>
      <c r="C354" s="19" t="inlineStr"/>
      <c r="D354" s="0" t="inlineStr"/>
      <c r="E354" s="0" t="inlineStr"/>
      <c r="F354" s="0" t="inlineStr"/>
      <c r="G354" s="0" t="inlineStr"/>
      <c r="H354" s="0" t="inlineStr"/>
      <c r="I354" s="0" t="inlineStr"/>
      <c r="J354" s="0" t="inlineStr">
        <is>
          <t>No</t>
        </is>
      </c>
    </row>
    <row r="355">
      <c r="A355" s="0" t="inlineStr"/>
      <c r="B355" s="0" t="inlineStr"/>
      <c r="C355" s="19" t="inlineStr"/>
      <c r="D355" s="0" t="inlineStr"/>
      <c r="E355" s="0" t="inlineStr"/>
      <c r="F355" s="0" t="inlineStr"/>
      <c r="G355" s="0" t="inlineStr"/>
      <c r="H355" s="0" t="inlineStr"/>
      <c r="I355" s="0" t="inlineStr"/>
      <c r="J355" s="0" t="inlineStr">
        <is>
          <t>No</t>
        </is>
      </c>
    </row>
    <row r="356">
      <c r="A356" s="0" t="inlineStr"/>
      <c r="B356" s="0" t="inlineStr"/>
      <c r="C356" s="19" t="inlineStr"/>
      <c r="D356" s="0" t="inlineStr"/>
      <c r="E356" s="0" t="inlineStr"/>
      <c r="F356" s="0" t="inlineStr"/>
      <c r="G356" s="0" t="inlineStr"/>
      <c r="H356" s="0" t="inlineStr"/>
      <c r="I356" s="0" t="inlineStr"/>
      <c r="J356" s="0" t="inlineStr">
        <is>
          <t>No</t>
        </is>
      </c>
    </row>
    <row r="357">
      <c r="A357" s="0" t="inlineStr"/>
      <c r="B357" s="0" t="inlineStr"/>
      <c r="C357" s="19" t="inlineStr"/>
      <c r="D357" s="0" t="inlineStr"/>
      <c r="E357" s="0" t="inlineStr"/>
      <c r="F357" s="0" t="inlineStr"/>
      <c r="G357" s="0" t="inlineStr"/>
      <c r="H357" s="0" t="inlineStr"/>
      <c r="I357" s="0" t="inlineStr"/>
      <c r="J357" s="0" t="inlineStr">
        <is>
          <t>No</t>
        </is>
      </c>
    </row>
    <row r="358">
      <c r="A358" s="0" t="inlineStr"/>
      <c r="B358" s="0" t="inlineStr"/>
      <c r="C358" s="19" t="inlineStr"/>
      <c r="D358" s="0" t="inlineStr"/>
      <c r="E358" s="0" t="inlineStr"/>
      <c r="F358" s="0" t="inlineStr"/>
      <c r="G358" s="0" t="inlineStr"/>
      <c r="H358" s="0" t="inlineStr"/>
      <c r="I358" s="0" t="inlineStr"/>
      <c r="J358" s="0" t="inlineStr">
        <is>
          <t>No</t>
        </is>
      </c>
    </row>
    <row r="359">
      <c r="A359" s="0" t="inlineStr"/>
      <c r="B359" s="0" t="inlineStr"/>
      <c r="C359" s="19" t="inlineStr"/>
      <c r="D359" s="0" t="inlineStr"/>
      <c r="E359" s="0" t="inlineStr"/>
      <c r="F359" s="0" t="inlineStr"/>
      <c r="G359" s="0" t="inlineStr"/>
      <c r="H359" s="0" t="inlineStr"/>
      <c r="I359" s="0" t="inlineStr"/>
      <c r="J359" s="0" t="inlineStr">
        <is>
          <t>No</t>
        </is>
      </c>
    </row>
    <row r="360">
      <c r="A360" s="0" t="inlineStr"/>
      <c r="B360" s="0" t="inlineStr"/>
      <c r="C360" s="19" t="inlineStr"/>
      <c r="D360" s="0" t="inlineStr"/>
      <c r="E360" s="0" t="inlineStr"/>
      <c r="F360" s="0" t="inlineStr"/>
      <c r="G360" s="0" t="inlineStr"/>
      <c r="H360" s="0" t="inlineStr"/>
      <c r="I360" s="0" t="inlineStr"/>
      <c r="J360" s="0" t="inlineStr">
        <is>
          <t>No</t>
        </is>
      </c>
    </row>
    <row r="361">
      <c r="A361" s="0" t="inlineStr"/>
      <c r="B361" s="0" t="inlineStr"/>
      <c r="C361" s="19" t="inlineStr"/>
      <c r="D361" s="0" t="inlineStr"/>
      <c r="E361" s="0" t="inlineStr"/>
      <c r="F361" s="0" t="inlineStr"/>
      <c r="G361" s="0" t="inlineStr"/>
      <c r="H361" s="0" t="inlineStr"/>
      <c r="I361" s="0" t="inlineStr"/>
      <c r="J361" s="0" t="inlineStr">
        <is>
          <t>No</t>
        </is>
      </c>
    </row>
    <row r="362">
      <c r="A362" s="0" t="inlineStr"/>
      <c r="B362" s="0" t="inlineStr"/>
      <c r="C362" s="19" t="inlineStr"/>
      <c r="D362" s="0" t="inlineStr"/>
      <c r="E362" s="0" t="inlineStr"/>
      <c r="F362" s="0" t="inlineStr"/>
      <c r="G362" s="0" t="inlineStr"/>
      <c r="H362" s="0" t="inlineStr"/>
      <c r="I362" s="0" t="inlineStr"/>
      <c r="J362" s="0" t="inlineStr">
        <is>
          <t>No</t>
        </is>
      </c>
    </row>
    <row r="363">
      <c r="A363" s="0" t="inlineStr"/>
      <c r="B363" s="0" t="inlineStr"/>
      <c r="C363" s="19" t="inlineStr"/>
      <c r="D363" s="0" t="inlineStr"/>
      <c r="E363" s="0" t="inlineStr"/>
      <c r="F363" s="0" t="inlineStr"/>
      <c r="G363" s="0" t="inlineStr"/>
      <c r="H363" s="0" t="inlineStr"/>
      <c r="I363" s="0" t="inlineStr"/>
      <c r="J363" s="0" t="inlineStr">
        <is>
          <t>No</t>
        </is>
      </c>
    </row>
    <row r="364">
      <c r="A364" s="0" t="inlineStr"/>
      <c r="B364" s="0" t="inlineStr"/>
      <c r="C364" s="19" t="inlineStr"/>
      <c r="D364" s="0" t="inlineStr"/>
      <c r="E364" s="0" t="inlineStr"/>
      <c r="F364" s="0" t="inlineStr"/>
      <c r="G364" s="0" t="inlineStr"/>
      <c r="H364" s="0" t="inlineStr"/>
      <c r="I364" s="0" t="inlineStr"/>
      <c r="J364" s="0" t="inlineStr">
        <is>
          <t>No</t>
        </is>
      </c>
    </row>
    <row r="365">
      <c r="A365" s="0" t="inlineStr"/>
      <c r="B365" s="0" t="inlineStr"/>
      <c r="C365" s="19" t="inlineStr"/>
      <c r="D365" s="0" t="inlineStr"/>
      <c r="E365" s="0" t="inlineStr"/>
      <c r="F365" s="0" t="inlineStr"/>
      <c r="G365" s="0" t="inlineStr"/>
      <c r="H365" s="0" t="inlineStr"/>
      <c r="I365" s="0" t="inlineStr"/>
      <c r="J365" s="0" t="inlineStr">
        <is>
          <t>No</t>
        </is>
      </c>
    </row>
    <row r="366">
      <c r="A366" s="0" t="inlineStr"/>
      <c r="B366" s="0" t="inlineStr"/>
      <c r="C366" s="19" t="inlineStr"/>
      <c r="D366" s="0" t="inlineStr"/>
      <c r="E366" s="0" t="inlineStr"/>
      <c r="F366" s="0" t="inlineStr"/>
      <c r="G366" s="0" t="inlineStr"/>
      <c r="H366" s="0" t="inlineStr"/>
      <c r="I366" s="0" t="inlineStr"/>
      <c r="J366" s="0" t="inlineStr">
        <is>
          <t>No</t>
        </is>
      </c>
    </row>
    <row r="367">
      <c r="A367" s="0" t="inlineStr"/>
      <c r="B367" s="0" t="inlineStr"/>
      <c r="C367" s="19" t="inlineStr"/>
      <c r="D367" s="0" t="inlineStr"/>
      <c r="E367" s="0" t="inlineStr"/>
      <c r="F367" s="0" t="inlineStr"/>
      <c r="G367" s="0" t="inlineStr"/>
      <c r="H367" s="0" t="inlineStr"/>
      <c r="I367" s="0" t="inlineStr"/>
      <c r="J367" s="0" t="inlineStr">
        <is>
          <t>No</t>
        </is>
      </c>
    </row>
    <row r="368">
      <c r="A368" s="0" t="inlineStr"/>
      <c r="B368" s="0" t="inlineStr"/>
      <c r="C368" s="19" t="inlineStr"/>
      <c r="D368" s="0" t="inlineStr"/>
      <c r="E368" s="0" t="inlineStr"/>
      <c r="F368" s="0" t="inlineStr"/>
      <c r="G368" s="0" t="inlineStr"/>
      <c r="H368" s="0" t="inlineStr"/>
      <c r="I368" s="0" t="inlineStr"/>
      <c r="J368" s="0" t="inlineStr">
        <is>
          <t>No</t>
        </is>
      </c>
    </row>
    <row r="369">
      <c r="A369" s="0" t="inlineStr"/>
      <c r="B369" s="0" t="inlineStr"/>
      <c r="C369" s="19" t="inlineStr"/>
      <c r="D369" s="0" t="inlineStr"/>
      <c r="E369" s="0" t="inlineStr"/>
      <c r="F369" s="0" t="inlineStr"/>
      <c r="G369" s="0" t="inlineStr"/>
      <c r="H369" s="0" t="inlineStr"/>
      <c r="I369" s="0" t="inlineStr"/>
      <c r="J369" s="0" t="inlineStr">
        <is>
          <t>No</t>
        </is>
      </c>
    </row>
    <row r="370">
      <c r="A370" s="0" t="inlineStr"/>
      <c r="B370" s="0" t="inlineStr"/>
      <c r="C370" s="19" t="inlineStr"/>
      <c r="D370" s="0" t="inlineStr"/>
      <c r="E370" s="0" t="inlineStr"/>
      <c r="F370" s="0" t="inlineStr"/>
      <c r="G370" s="0" t="inlineStr"/>
      <c r="H370" s="0" t="inlineStr"/>
      <c r="I370" s="0" t="inlineStr"/>
      <c r="J370" s="0" t="inlineStr">
        <is>
          <t>No</t>
        </is>
      </c>
    </row>
    <row r="371">
      <c r="A371" s="0" t="inlineStr"/>
      <c r="B371" s="0" t="inlineStr"/>
      <c r="C371" s="19" t="inlineStr"/>
      <c r="D371" s="0" t="inlineStr"/>
      <c r="E371" s="0" t="inlineStr"/>
      <c r="F371" s="0" t="inlineStr"/>
      <c r="G371" s="0" t="inlineStr"/>
      <c r="H371" s="0" t="inlineStr"/>
      <c r="I371" s="0" t="inlineStr"/>
      <c r="J371" s="0" t="inlineStr">
        <is>
          <t>No</t>
        </is>
      </c>
    </row>
    <row r="372">
      <c r="A372" s="0" t="inlineStr"/>
      <c r="B372" s="0" t="inlineStr"/>
      <c r="C372" s="19" t="inlineStr"/>
      <c r="D372" s="0" t="inlineStr"/>
      <c r="E372" s="0" t="inlineStr"/>
      <c r="F372" s="0" t="inlineStr"/>
      <c r="G372" s="0" t="inlineStr"/>
      <c r="H372" s="0" t="inlineStr"/>
      <c r="I372" s="0" t="inlineStr"/>
      <c r="J372" s="0" t="inlineStr">
        <is>
          <t>No</t>
        </is>
      </c>
    </row>
    <row r="373">
      <c r="A373" s="0" t="inlineStr"/>
      <c r="B373" s="0" t="inlineStr"/>
      <c r="C373" s="19" t="inlineStr"/>
      <c r="D373" s="0" t="inlineStr"/>
      <c r="E373" s="0" t="inlineStr"/>
      <c r="F373" s="0" t="inlineStr"/>
      <c r="G373" s="0" t="inlineStr"/>
      <c r="H373" s="0" t="inlineStr"/>
      <c r="I373" s="0" t="inlineStr"/>
      <c r="J373" s="0" t="inlineStr">
        <is>
          <t>No</t>
        </is>
      </c>
    </row>
    <row r="374">
      <c r="A374" s="0" t="inlineStr"/>
      <c r="B374" s="0" t="inlineStr"/>
      <c r="C374" s="19" t="inlineStr"/>
      <c r="D374" s="0" t="inlineStr"/>
      <c r="E374" s="0" t="inlineStr"/>
      <c r="F374" s="0" t="inlineStr"/>
      <c r="G374" s="0" t="inlineStr"/>
      <c r="H374" s="0" t="inlineStr"/>
      <c r="I374" s="0" t="inlineStr"/>
      <c r="J374" s="0" t="inlineStr">
        <is>
          <t>No</t>
        </is>
      </c>
    </row>
    <row r="375">
      <c r="A375" s="0" t="inlineStr"/>
      <c r="B375" s="0" t="inlineStr"/>
      <c r="C375" s="19" t="inlineStr"/>
      <c r="D375" s="0" t="inlineStr"/>
      <c r="E375" s="0" t="inlineStr"/>
      <c r="F375" s="0" t="inlineStr"/>
      <c r="G375" s="0" t="inlineStr"/>
      <c r="H375" s="0" t="inlineStr"/>
      <c r="I375" s="0" t="inlineStr"/>
      <c r="J375" s="0" t="inlineStr">
        <is>
          <t>No</t>
        </is>
      </c>
    </row>
    <row r="376">
      <c r="A376" s="0" t="inlineStr"/>
      <c r="B376" s="0" t="inlineStr"/>
      <c r="C376" s="19" t="inlineStr"/>
      <c r="D376" s="0" t="inlineStr"/>
      <c r="E376" s="0" t="inlineStr"/>
      <c r="F376" s="0" t="inlineStr"/>
      <c r="G376" s="0" t="inlineStr"/>
      <c r="H376" s="0" t="inlineStr"/>
      <c r="I376" s="0" t="inlineStr"/>
      <c r="J376" s="0" t="inlineStr">
        <is>
          <t>No</t>
        </is>
      </c>
    </row>
    <row r="377">
      <c r="A377" s="0" t="inlineStr"/>
      <c r="B377" s="0" t="inlineStr"/>
      <c r="C377" s="19" t="inlineStr"/>
      <c r="D377" s="0" t="inlineStr"/>
      <c r="E377" s="0" t="inlineStr"/>
      <c r="F377" s="0" t="inlineStr"/>
      <c r="G377" s="0" t="inlineStr"/>
      <c r="H377" s="0" t="inlineStr"/>
      <c r="I377" s="0" t="inlineStr"/>
      <c r="J377" s="0" t="inlineStr">
        <is>
          <t>No</t>
        </is>
      </c>
    </row>
    <row r="378">
      <c r="A378" s="0" t="inlineStr"/>
      <c r="B378" s="0" t="inlineStr"/>
      <c r="C378" s="19" t="inlineStr"/>
      <c r="D378" s="0" t="inlineStr"/>
      <c r="E378" s="0" t="inlineStr"/>
      <c r="F378" s="0" t="inlineStr"/>
      <c r="G378" s="0" t="inlineStr"/>
      <c r="H378" s="0" t="inlineStr"/>
      <c r="I378" s="0" t="inlineStr"/>
      <c r="J378" s="0" t="inlineStr">
        <is>
          <t>No</t>
        </is>
      </c>
    </row>
    <row r="379">
      <c r="A379" s="0" t="inlineStr"/>
      <c r="B379" s="0" t="inlineStr"/>
      <c r="C379" s="19" t="inlineStr"/>
      <c r="D379" s="0" t="inlineStr"/>
      <c r="E379" s="0" t="inlineStr"/>
      <c r="F379" s="0" t="inlineStr"/>
      <c r="G379" s="0" t="inlineStr"/>
      <c r="H379" s="0" t="inlineStr"/>
      <c r="I379" s="0" t="inlineStr"/>
      <c r="J379" s="0" t="inlineStr">
        <is>
          <t>No</t>
        </is>
      </c>
    </row>
    <row r="380">
      <c r="A380" s="0" t="inlineStr"/>
      <c r="B380" s="0" t="inlineStr"/>
      <c r="C380" s="19" t="inlineStr"/>
      <c r="D380" s="0" t="inlineStr"/>
      <c r="E380" s="0" t="inlineStr"/>
      <c r="F380" s="0" t="inlineStr"/>
      <c r="G380" s="0" t="inlineStr"/>
      <c r="H380" s="0" t="inlineStr"/>
      <c r="I380" s="0" t="inlineStr"/>
      <c r="J380" s="0" t="inlineStr">
        <is>
          <t>No</t>
        </is>
      </c>
    </row>
    <row r="381">
      <c r="A381" s="0" t="inlineStr"/>
      <c r="B381" s="0" t="inlineStr"/>
      <c r="C381" s="19" t="inlineStr"/>
      <c r="D381" s="0" t="inlineStr"/>
      <c r="E381" s="0" t="inlineStr"/>
      <c r="F381" s="0" t="inlineStr"/>
      <c r="G381" s="0" t="inlineStr"/>
      <c r="H381" s="0" t="inlineStr"/>
      <c r="I381" s="0" t="inlineStr"/>
      <c r="J381" s="0" t="inlineStr">
        <is>
          <t>No</t>
        </is>
      </c>
    </row>
    <row r="382">
      <c r="A382" s="0" t="inlineStr"/>
      <c r="B382" s="0" t="inlineStr"/>
      <c r="C382" s="19" t="inlineStr"/>
      <c r="D382" s="0" t="inlineStr"/>
      <c r="E382" s="0" t="inlineStr"/>
      <c r="F382" s="0" t="inlineStr"/>
      <c r="G382" s="0" t="inlineStr"/>
      <c r="H382" s="0" t="inlineStr"/>
      <c r="I382" s="0" t="inlineStr"/>
      <c r="J382" s="0" t="inlineStr">
        <is>
          <t>No</t>
        </is>
      </c>
    </row>
    <row r="383">
      <c r="A383" s="0" t="inlineStr"/>
      <c r="B383" s="0" t="inlineStr"/>
      <c r="C383" s="19" t="inlineStr"/>
      <c r="D383" s="0" t="inlineStr"/>
      <c r="E383" s="0" t="inlineStr"/>
      <c r="F383" s="0" t="inlineStr"/>
      <c r="G383" s="0" t="inlineStr"/>
      <c r="H383" s="0" t="inlineStr"/>
      <c r="I383" s="0" t="inlineStr"/>
      <c r="J383" s="0" t="inlineStr">
        <is>
          <t>No</t>
        </is>
      </c>
    </row>
    <row r="384">
      <c r="A384" s="0" t="inlineStr"/>
      <c r="B384" s="0" t="inlineStr"/>
      <c r="C384" s="19" t="inlineStr"/>
      <c r="D384" s="0" t="inlineStr"/>
      <c r="E384" s="0" t="inlineStr"/>
      <c r="F384" s="0" t="inlineStr"/>
      <c r="G384" s="0" t="inlineStr"/>
      <c r="H384" s="0" t="inlineStr"/>
      <c r="I384" s="0" t="inlineStr"/>
      <c r="J384" s="0" t="inlineStr">
        <is>
          <t>No</t>
        </is>
      </c>
    </row>
    <row r="385">
      <c r="A385" s="0" t="inlineStr"/>
      <c r="B385" s="0" t="inlineStr"/>
      <c r="C385" s="19" t="inlineStr"/>
      <c r="D385" s="0" t="inlineStr"/>
      <c r="E385" s="0" t="inlineStr"/>
      <c r="F385" s="0" t="inlineStr"/>
      <c r="G385" s="0" t="inlineStr"/>
      <c r="H385" s="0" t="inlineStr"/>
      <c r="I385" s="0" t="inlineStr"/>
      <c r="J385" s="0" t="inlineStr">
        <is>
          <t>No</t>
        </is>
      </c>
    </row>
    <row r="386">
      <c r="A386" s="0" t="inlineStr"/>
      <c r="B386" s="0" t="inlineStr"/>
      <c r="C386" s="19" t="inlineStr"/>
      <c r="D386" s="0" t="inlineStr"/>
      <c r="E386" s="0" t="inlineStr"/>
      <c r="F386" s="0" t="inlineStr"/>
      <c r="G386" s="0" t="inlineStr"/>
      <c r="H386" s="0" t="inlineStr"/>
      <c r="I386" s="0" t="inlineStr"/>
      <c r="J386" s="0" t="inlineStr">
        <is>
          <t>No</t>
        </is>
      </c>
    </row>
    <row r="387">
      <c r="A387" s="0" t="inlineStr"/>
      <c r="B387" s="0" t="inlineStr"/>
      <c r="C387" s="19" t="inlineStr"/>
      <c r="D387" s="0" t="inlineStr"/>
      <c r="E387" s="0" t="inlineStr"/>
      <c r="F387" s="0" t="inlineStr"/>
      <c r="G387" s="0" t="inlineStr"/>
      <c r="H387" s="0" t="inlineStr"/>
      <c r="I387" s="0" t="inlineStr"/>
      <c r="J387" s="0" t="inlineStr">
        <is>
          <t>No</t>
        </is>
      </c>
    </row>
    <row r="388">
      <c r="A388" s="0" t="inlineStr"/>
      <c r="B388" s="0" t="inlineStr"/>
      <c r="C388" s="19" t="inlineStr"/>
      <c r="D388" s="0" t="inlineStr"/>
      <c r="E388" s="0" t="inlineStr"/>
      <c r="F388" s="0" t="inlineStr"/>
      <c r="G388" s="0" t="inlineStr"/>
      <c r="H388" s="0" t="inlineStr"/>
      <c r="I388" s="0" t="inlineStr"/>
      <c r="J388" s="0" t="inlineStr">
        <is>
          <t>No</t>
        </is>
      </c>
    </row>
    <row r="389">
      <c r="A389" s="0" t="inlineStr"/>
      <c r="B389" s="0" t="inlineStr"/>
      <c r="C389" s="19" t="inlineStr"/>
      <c r="D389" s="0" t="inlineStr"/>
      <c r="E389" s="0" t="inlineStr"/>
      <c r="F389" s="0" t="inlineStr"/>
      <c r="G389" s="0" t="inlineStr"/>
      <c r="H389" s="0" t="inlineStr"/>
      <c r="I389" s="0" t="inlineStr"/>
      <c r="J389" s="0" t="inlineStr">
        <is>
          <t>No</t>
        </is>
      </c>
    </row>
    <row r="390">
      <c r="A390" s="0" t="inlineStr"/>
      <c r="B390" s="0" t="inlineStr"/>
      <c r="C390" s="19" t="inlineStr"/>
      <c r="D390" s="0" t="inlineStr"/>
      <c r="E390" s="0" t="inlineStr"/>
      <c r="F390" s="0" t="inlineStr"/>
      <c r="G390" s="0" t="inlineStr"/>
      <c r="H390" s="0" t="inlineStr"/>
      <c r="I390" s="0" t="inlineStr"/>
      <c r="J390" s="0" t="inlineStr">
        <is>
          <t>No</t>
        </is>
      </c>
    </row>
    <row r="391">
      <c r="A391" s="0" t="inlineStr"/>
      <c r="B391" s="0" t="inlineStr"/>
      <c r="C391" s="19" t="inlineStr"/>
      <c r="D391" s="0" t="inlineStr"/>
      <c r="E391" s="0" t="inlineStr"/>
      <c r="F391" s="0" t="inlineStr"/>
      <c r="G391" s="0" t="inlineStr"/>
      <c r="H391" s="0" t="inlineStr"/>
      <c r="I391" s="0" t="inlineStr"/>
      <c r="J391" s="0" t="inlineStr">
        <is>
          <t>No</t>
        </is>
      </c>
    </row>
    <row r="392">
      <c r="A392" s="0" t="inlineStr"/>
      <c r="B392" s="0" t="inlineStr"/>
      <c r="C392" s="19" t="inlineStr"/>
      <c r="D392" s="0" t="inlineStr"/>
      <c r="E392" s="0" t="inlineStr"/>
      <c r="F392" s="0" t="inlineStr"/>
      <c r="G392" s="0" t="inlineStr"/>
      <c r="H392" s="0" t="inlineStr"/>
      <c r="I392" s="0" t="inlineStr"/>
      <c r="J392" s="0" t="inlineStr">
        <is>
          <t>No</t>
        </is>
      </c>
    </row>
    <row r="393">
      <c r="A393" s="0" t="inlineStr"/>
      <c r="B393" s="0" t="inlineStr"/>
      <c r="C393" s="19" t="inlineStr"/>
      <c r="D393" s="0" t="inlineStr"/>
      <c r="E393" s="0" t="inlineStr"/>
      <c r="F393" s="0" t="inlineStr"/>
      <c r="G393" s="0" t="inlineStr"/>
      <c r="H393" s="0" t="inlineStr"/>
      <c r="I393" s="0" t="inlineStr"/>
      <c r="J393" s="0" t="inlineStr">
        <is>
          <t>No</t>
        </is>
      </c>
    </row>
    <row r="394">
      <c r="A394" s="0" t="inlineStr"/>
      <c r="B394" s="0" t="inlineStr"/>
      <c r="C394" s="19" t="inlineStr"/>
      <c r="D394" s="0" t="inlineStr"/>
      <c r="E394" s="0" t="inlineStr"/>
      <c r="F394" s="0" t="inlineStr"/>
      <c r="G394" s="0" t="inlineStr"/>
      <c r="H394" s="0" t="inlineStr"/>
      <c r="I394" s="0" t="inlineStr"/>
      <c r="J394" s="0" t="inlineStr">
        <is>
          <t>No</t>
        </is>
      </c>
    </row>
    <row r="395">
      <c r="A395" s="0" t="inlineStr"/>
      <c r="B395" s="0" t="inlineStr"/>
      <c r="C395" s="19" t="inlineStr"/>
      <c r="D395" s="0" t="inlineStr"/>
      <c r="E395" s="0" t="inlineStr"/>
      <c r="F395" s="0" t="inlineStr"/>
      <c r="G395" s="0" t="inlineStr"/>
      <c r="H395" s="0" t="inlineStr"/>
      <c r="I395" s="0" t="inlineStr"/>
      <c r="J395" s="0" t="inlineStr">
        <is>
          <t>No</t>
        </is>
      </c>
    </row>
    <row r="396">
      <c r="A396" s="0" t="inlineStr"/>
      <c r="B396" s="0" t="inlineStr"/>
      <c r="C396" s="19" t="inlineStr"/>
      <c r="D396" s="0" t="inlineStr"/>
      <c r="E396" s="0" t="inlineStr"/>
      <c r="F396" s="0" t="inlineStr"/>
      <c r="G396" s="0" t="inlineStr"/>
      <c r="H396" s="0" t="inlineStr"/>
      <c r="I396" s="0" t="inlineStr"/>
      <c r="J396" s="0" t="inlineStr">
        <is>
          <t>No</t>
        </is>
      </c>
    </row>
    <row r="397">
      <c r="A397" s="0" t="inlineStr"/>
      <c r="B397" s="0" t="inlineStr"/>
      <c r="C397" s="19" t="inlineStr"/>
      <c r="D397" s="0" t="inlineStr"/>
      <c r="E397" s="0" t="inlineStr"/>
      <c r="F397" s="0" t="inlineStr"/>
      <c r="G397" s="0" t="inlineStr"/>
      <c r="H397" s="0" t="inlineStr"/>
      <c r="I397" s="0" t="inlineStr"/>
      <c r="J397" s="0" t="inlineStr">
        <is>
          <t>No</t>
        </is>
      </c>
    </row>
    <row r="398">
      <c r="A398" s="0" t="inlineStr"/>
      <c r="B398" s="0" t="inlineStr"/>
      <c r="C398" s="19" t="inlineStr"/>
      <c r="D398" s="0" t="inlineStr"/>
      <c r="E398" s="0" t="inlineStr"/>
      <c r="F398" s="0" t="inlineStr"/>
      <c r="G398" s="0" t="inlineStr"/>
      <c r="H398" s="0" t="inlineStr"/>
      <c r="I398" s="0" t="inlineStr"/>
      <c r="J398" s="0" t="inlineStr">
        <is>
          <t>No</t>
        </is>
      </c>
    </row>
    <row r="399">
      <c r="A399" s="0" t="inlineStr"/>
      <c r="B399" s="0" t="inlineStr"/>
      <c r="C399" s="19" t="inlineStr"/>
      <c r="D399" s="0" t="inlineStr"/>
      <c r="E399" s="0" t="inlineStr"/>
      <c r="F399" s="0" t="inlineStr"/>
      <c r="G399" s="0" t="inlineStr"/>
      <c r="H399" s="0" t="inlineStr"/>
      <c r="I399" s="0" t="inlineStr"/>
      <c r="J399" s="0" t="inlineStr">
        <is>
          <t>No</t>
        </is>
      </c>
    </row>
    <row r="400">
      <c r="A400" s="0" t="inlineStr"/>
      <c r="B400" s="0" t="inlineStr"/>
      <c r="C400" s="19" t="inlineStr"/>
      <c r="D400" s="0" t="inlineStr"/>
      <c r="E400" s="0" t="inlineStr"/>
      <c r="F400" s="0" t="inlineStr"/>
      <c r="G400" s="0" t="inlineStr"/>
      <c r="H400" s="0" t="inlineStr"/>
      <c r="I400" s="0" t="inlineStr"/>
      <c r="J400" s="0" t="inlineStr">
        <is>
          <t>No</t>
        </is>
      </c>
    </row>
    <row r="401">
      <c r="A401" s="0" t="inlineStr"/>
      <c r="B401" s="0" t="inlineStr"/>
      <c r="C401" s="19" t="inlineStr"/>
      <c r="D401" s="0" t="inlineStr"/>
      <c r="E401" s="0" t="inlineStr"/>
      <c r="F401" s="0" t="inlineStr"/>
      <c r="G401" s="0" t="inlineStr"/>
      <c r="H401" s="0" t="inlineStr"/>
      <c r="I401" s="0" t="inlineStr"/>
      <c r="J401" s="0" t="inlineStr">
        <is>
          <t>No</t>
        </is>
      </c>
    </row>
    <row r="402">
      <c r="A402" s="0" t="inlineStr"/>
      <c r="B402" s="0" t="inlineStr"/>
      <c r="C402" s="19" t="inlineStr"/>
      <c r="D402" s="0" t="inlineStr"/>
      <c r="E402" s="0" t="inlineStr"/>
      <c r="F402" s="0" t="inlineStr"/>
      <c r="G402" s="0" t="inlineStr"/>
      <c r="H402" s="0" t="inlineStr"/>
      <c r="I402" s="0" t="inlineStr"/>
      <c r="J402" s="0" t="inlineStr">
        <is>
          <t>No</t>
        </is>
      </c>
    </row>
    <row r="403">
      <c r="A403" s="0" t="inlineStr"/>
      <c r="B403" s="0" t="inlineStr"/>
      <c r="C403" s="19" t="inlineStr"/>
      <c r="D403" s="0" t="inlineStr"/>
      <c r="E403" s="0" t="inlineStr"/>
      <c r="F403" s="0" t="inlineStr"/>
      <c r="G403" s="0" t="inlineStr"/>
      <c r="H403" s="0" t="inlineStr"/>
      <c r="I403" s="0" t="inlineStr"/>
      <c r="J403" s="0" t="inlineStr">
        <is>
          <t>No</t>
        </is>
      </c>
    </row>
    <row r="404">
      <c r="A404" s="0" t="inlineStr"/>
      <c r="B404" s="0" t="inlineStr"/>
      <c r="C404" s="19" t="inlineStr"/>
      <c r="D404" s="0" t="inlineStr"/>
      <c r="E404" s="0" t="inlineStr"/>
      <c r="F404" s="0" t="inlineStr"/>
      <c r="G404" s="0" t="inlineStr"/>
      <c r="H404" s="0" t="inlineStr"/>
      <c r="I404" s="0" t="inlineStr"/>
      <c r="J404" s="0" t="inlineStr">
        <is>
          <t>No</t>
        </is>
      </c>
    </row>
    <row r="405">
      <c r="A405" s="0" t="inlineStr"/>
      <c r="B405" s="0" t="inlineStr"/>
      <c r="C405" s="19" t="inlineStr"/>
      <c r="D405" s="0" t="inlineStr"/>
      <c r="E405" s="0" t="inlineStr"/>
      <c r="F405" s="0" t="inlineStr"/>
      <c r="G405" s="0" t="inlineStr"/>
      <c r="H405" s="0" t="inlineStr"/>
      <c r="I405" s="0" t="inlineStr"/>
      <c r="J405" s="0" t="inlineStr">
        <is>
          <t>No</t>
        </is>
      </c>
    </row>
    <row r="406">
      <c r="A406" s="0" t="inlineStr"/>
      <c r="B406" s="0" t="inlineStr"/>
      <c r="C406" s="19" t="inlineStr"/>
      <c r="D406" s="0" t="inlineStr"/>
      <c r="E406" s="0" t="inlineStr"/>
      <c r="F406" s="0" t="inlineStr"/>
      <c r="G406" s="0" t="inlineStr"/>
      <c r="H406" s="0" t="inlineStr"/>
      <c r="I406" s="0" t="inlineStr"/>
      <c r="J406" s="0" t="inlineStr">
        <is>
          <t>No</t>
        </is>
      </c>
    </row>
    <row r="407">
      <c r="A407" s="0" t="inlineStr"/>
      <c r="B407" s="0" t="inlineStr"/>
      <c r="C407" s="19" t="inlineStr"/>
      <c r="D407" s="0" t="inlineStr"/>
      <c r="E407" s="0" t="inlineStr"/>
      <c r="F407" s="0" t="inlineStr"/>
      <c r="G407" s="0" t="inlineStr"/>
      <c r="H407" s="0" t="inlineStr"/>
      <c r="I407" s="0" t="inlineStr"/>
      <c r="J407" s="0" t="inlineStr">
        <is>
          <t>No</t>
        </is>
      </c>
    </row>
    <row r="408">
      <c r="A408" s="0" t="inlineStr"/>
      <c r="B408" s="0" t="inlineStr"/>
      <c r="C408" s="19" t="inlineStr"/>
      <c r="D408" s="0" t="inlineStr"/>
      <c r="E408" s="0" t="inlineStr"/>
      <c r="F408" s="0" t="inlineStr"/>
      <c r="G408" s="0" t="inlineStr"/>
      <c r="H408" s="0" t="inlineStr"/>
      <c r="I408" s="0" t="inlineStr"/>
      <c r="J408" s="0" t="inlineStr">
        <is>
          <t>No</t>
        </is>
      </c>
    </row>
    <row r="409">
      <c r="A409" s="0" t="inlineStr"/>
      <c r="B409" s="0" t="inlineStr"/>
      <c r="C409" s="19" t="inlineStr"/>
      <c r="D409" s="0" t="inlineStr"/>
      <c r="E409" s="0" t="inlineStr"/>
      <c r="F409" s="0" t="inlineStr"/>
      <c r="G409" s="0" t="inlineStr"/>
      <c r="H409" s="0" t="inlineStr"/>
      <c r="I409" s="0" t="inlineStr"/>
      <c r="J409" s="0" t="inlineStr">
        <is>
          <t>No</t>
        </is>
      </c>
    </row>
    <row r="410">
      <c r="A410" s="0" t="inlineStr"/>
      <c r="B410" s="0" t="inlineStr"/>
      <c r="C410" s="19" t="inlineStr"/>
      <c r="D410" s="0" t="inlineStr"/>
      <c r="E410" s="0" t="inlineStr"/>
      <c r="F410" s="0" t="inlineStr"/>
      <c r="G410" s="0" t="inlineStr"/>
      <c r="H410" s="0" t="inlineStr"/>
      <c r="I410" s="0" t="inlineStr"/>
      <c r="J410" s="0" t="inlineStr">
        <is>
          <t>No</t>
        </is>
      </c>
    </row>
    <row r="411">
      <c r="A411" s="0" t="inlineStr"/>
      <c r="B411" s="0" t="inlineStr"/>
      <c r="C411" s="19" t="inlineStr"/>
      <c r="D411" s="0" t="inlineStr"/>
      <c r="E411" s="0" t="inlineStr"/>
      <c r="F411" s="0" t="inlineStr"/>
      <c r="G411" s="0" t="inlineStr"/>
      <c r="H411" s="0" t="inlineStr"/>
      <c r="I411" s="0" t="inlineStr"/>
      <c r="J411" s="0" t="inlineStr">
        <is>
          <t>No</t>
        </is>
      </c>
    </row>
    <row r="412">
      <c r="A412" s="0" t="inlineStr"/>
      <c r="B412" s="0" t="inlineStr"/>
      <c r="C412" s="19" t="inlineStr"/>
      <c r="D412" s="0" t="inlineStr"/>
      <c r="E412" s="0" t="inlineStr"/>
      <c r="F412" s="0" t="inlineStr"/>
      <c r="G412" s="0" t="inlineStr"/>
      <c r="H412" s="0" t="inlineStr"/>
      <c r="I412" s="0" t="inlineStr"/>
      <c r="J412" s="0" t="inlineStr">
        <is>
          <t>No</t>
        </is>
      </c>
    </row>
    <row r="413">
      <c r="A413" s="0" t="inlineStr"/>
      <c r="B413" s="0" t="inlineStr"/>
      <c r="C413" s="19" t="inlineStr"/>
      <c r="D413" s="0" t="inlineStr"/>
      <c r="E413" s="0" t="inlineStr"/>
      <c r="F413" s="0" t="inlineStr"/>
      <c r="G413" s="0" t="inlineStr"/>
      <c r="H413" s="0" t="inlineStr"/>
      <c r="I413" s="0" t="inlineStr"/>
      <c r="J413" s="0" t="inlineStr">
        <is>
          <t>No</t>
        </is>
      </c>
    </row>
    <row r="414">
      <c r="A414" s="0" t="inlineStr"/>
      <c r="B414" s="0" t="inlineStr"/>
      <c r="C414" s="19" t="inlineStr"/>
      <c r="D414" s="0" t="inlineStr"/>
      <c r="E414" s="0" t="inlineStr"/>
      <c r="F414" s="0" t="inlineStr"/>
      <c r="G414" s="0" t="inlineStr"/>
      <c r="H414" s="0" t="inlineStr"/>
      <c r="I414" s="0" t="inlineStr"/>
      <c r="J414" s="0" t="inlineStr">
        <is>
          <t>No</t>
        </is>
      </c>
    </row>
    <row r="415">
      <c r="A415" s="0" t="inlineStr"/>
      <c r="B415" s="0" t="inlineStr"/>
      <c r="C415" s="19" t="inlineStr"/>
      <c r="D415" s="0" t="inlineStr"/>
      <c r="E415" s="0" t="inlineStr"/>
      <c r="F415" s="0" t="inlineStr"/>
      <c r="G415" s="0" t="inlineStr"/>
      <c r="H415" s="0" t="inlineStr"/>
      <c r="I415" s="0" t="inlineStr"/>
      <c r="J415" s="0" t="inlineStr">
        <is>
          <t>No</t>
        </is>
      </c>
    </row>
    <row r="416">
      <c r="A416" s="0" t="inlineStr"/>
      <c r="B416" s="0" t="inlineStr"/>
      <c r="C416" s="19" t="inlineStr"/>
      <c r="D416" s="0" t="inlineStr"/>
      <c r="E416" s="0" t="inlineStr"/>
      <c r="F416" s="0" t="inlineStr"/>
      <c r="G416" s="0" t="inlineStr"/>
      <c r="H416" s="0" t="inlineStr"/>
      <c r="I416" s="0" t="inlineStr"/>
      <c r="J416" s="0" t="inlineStr">
        <is>
          <t>No</t>
        </is>
      </c>
    </row>
    <row r="417">
      <c r="A417" s="0" t="inlineStr"/>
      <c r="B417" s="0" t="inlineStr"/>
      <c r="C417" s="19" t="inlineStr"/>
      <c r="D417" s="0" t="inlineStr"/>
      <c r="E417" s="0" t="inlineStr"/>
      <c r="F417" s="0" t="inlineStr"/>
      <c r="G417" s="0" t="inlineStr"/>
      <c r="H417" s="0" t="inlineStr"/>
      <c r="I417" s="0" t="inlineStr"/>
      <c r="J417" s="0" t="inlineStr">
        <is>
          <t>No</t>
        </is>
      </c>
    </row>
    <row r="418">
      <c r="A418" s="0" t="inlineStr"/>
      <c r="B418" s="0" t="inlineStr"/>
      <c r="C418" s="19" t="inlineStr"/>
      <c r="D418" s="0" t="inlineStr"/>
      <c r="E418" s="0" t="inlineStr"/>
      <c r="F418" s="0" t="inlineStr"/>
      <c r="G418" s="0" t="inlineStr"/>
      <c r="H418" s="0" t="inlineStr"/>
      <c r="I418" s="0" t="inlineStr"/>
      <c r="J418" s="0" t="inlineStr">
        <is>
          <t>No</t>
        </is>
      </c>
    </row>
    <row r="419">
      <c r="A419" s="0" t="inlineStr"/>
      <c r="B419" s="0" t="inlineStr"/>
      <c r="C419" s="19" t="inlineStr"/>
      <c r="D419" s="0" t="inlineStr"/>
      <c r="E419" s="0" t="inlineStr"/>
      <c r="F419" s="0" t="inlineStr"/>
      <c r="G419" s="0" t="inlineStr"/>
      <c r="H419" s="0" t="inlineStr"/>
      <c r="I419" s="0" t="inlineStr"/>
      <c r="J419" s="0" t="inlineStr">
        <is>
          <t>No</t>
        </is>
      </c>
    </row>
    <row r="420">
      <c r="A420" s="0" t="inlineStr"/>
      <c r="B420" s="0" t="inlineStr"/>
      <c r="C420" s="19" t="inlineStr"/>
      <c r="D420" s="0" t="inlineStr"/>
      <c r="E420" s="0" t="inlineStr"/>
      <c r="F420" s="0" t="inlineStr"/>
      <c r="G420" s="0" t="inlineStr"/>
      <c r="H420" s="0" t="inlineStr"/>
      <c r="I420" s="0" t="inlineStr"/>
      <c r="J420" s="0" t="inlineStr">
        <is>
          <t>No</t>
        </is>
      </c>
    </row>
    <row r="421">
      <c r="A421" s="0" t="inlineStr"/>
      <c r="B421" s="0" t="inlineStr"/>
      <c r="C421" s="19" t="inlineStr"/>
      <c r="D421" s="0" t="inlineStr"/>
      <c r="E421" s="0" t="inlineStr"/>
      <c r="F421" s="0" t="inlineStr"/>
      <c r="G421" s="0" t="inlineStr"/>
      <c r="H421" s="0" t="inlineStr"/>
      <c r="I421" s="0" t="inlineStr"/>
      <c r="J421" s="0" t="inlineStr">
        <is>
          <t>No</t>
        </is>
      </c>
    </row>
    <row r="422">
      <c r="A422" s="0" t="inlineStr"/>
      <c r="B422" s="0" t="inlineStr"/>
      <c r="C422" s="19" t="inlineStr"/>
      <c r="D422" s="0" t="inlineStr"/>
      <c r="E422" s="0" t="inlineStr"/>
      <c r="F422" s="0" t="inlineStr"/>
      <c r="G422" s="0" t="inlineStr"/>
      <c r="H422" s="0" t="inlineStr"/>
      <c r="I422" s="0" t="inlineStr"/>
      <c r="J422" s="0" t="inlineStr">
        <is>
          <t>No</t>
        </is>
      </c>
    </row>
    <row r="423">
      <c r="A423" s="0" t="inlineStr"/>
      <c r="B423" s="0" t="inlineStr"/>
      <c r="C423" s="19" t="inlineStr"/>
      <c r="D423" s="0" t="inlineStr"/>
      <c r="E423" s="0" t="inlineStr"/>
      <c r="F423" s="0" t="inlineStr"/>
      <c r="G423" s="0" t="inlineStr"/>
      <c r="H423" s="0" t="inlineStr"/>
      <c r="I423" s="0" t="inlineStr"/>
      <c r="J423" s="0" t="inlineStr">
        <is>
          <t>No</t>
        </is>
      </c>
    </row>
    <row r="424">
      <c r="A424" s="0" t="inlineStr"/>
      <c r="B424" s="0" t="inlineStr"/>
      <c r="C424" s="19" t="inlineStr"/>
      <c r="D424" s="0" t="inlineStr"/>
      <c r="E424" s="0" t="inlineStr"/>
      <c r="F424" s="0" t="inlineStr"/>
      <c r="G424" s="0" t="inlineStr"/>
      <c r="H424" s="0" t="inlineStr"/>
      <c r="I424" s="0" t="inlineStr"/>
      <c r="J424" s="0" t="inlineStr">
        <is>
          <t>No</t>
        </is>
      </c>
    </row>
    <row r="425">
      <c r="A425" s="0" t="inlineStr"/>
      <c r="B425" s="0" t="inlineStr"/>
      <c r="C425" s="19" t="inlineStr"/>
      <c r="D425" s="0" t="inlineStr"/>
      <c r="E425" s="0" t="inlineStr"/>
      <c r="F425" s="0" t="inlineStr"/>
      <c r="G425" s="0" t="inlineStr"/>
      <c r="H425" s="0" t="inlineStr"/>
      <c r="I425" s="0" t="inlineStr"/>
      <c r="J425" s="0" t="inlineStr">
        <is>
          <t>No</t>
        </is>
      </c>
    </row>
    <row r="426">
      <c r="A426" s="0" t="inlineStr"/>
      <c r="B426" s="0" t="inlineStr"/>
      <c r="C426" s="19" t="inlineStr"/>
      <c r="D426" s="0" t="inlineStr"/>
      <c r="E426" s="0" t="inlineStr"/>
      <c r="F426" s="0" t="inlineStr"/>
      <c r="G426" s="0" t="inlineStr"/>
      <c r="H426" s="0" t="inlineStr"/>
      <c r="I426" s="0" t="inlineStr"/>
      <c r="J426" s="0" t="inlineStr">
        <is>
          <t>No</t>
        </is>
      </c>
    </row>
    <row r="427">
      <c r="A427" s="0" t="inlineStr"/>
      <c r="B427" s="0" t="inlineStr"/>
      <c r="C427" s="19" t="inlineStr"/>
      <c r="D427" s="0" t="inlineStr"/>
      <c r="E427" s="0" t="inlineStr"/>
      <c r="F427" s="0" t="inlineStr"/>
      <c r="G427" s="0" t="inlineStr"/>
      <c r="H427" s="0" t="inlineStr"/>
      <c r="I427" s="0" t="inlineStr"/>
      <c r="J427" s="0" t="inlineStr">
        <is>
          <t>No</t>
        </is>
      </c>
    </row>
    <row r="428">
      <c r="A428" s="0" t="inlineStr"/>
      <c r="B428" s="0" t="inlineStr"/>
      <c r="C428" s="19" t="inlineStr"/>
      <c r="D428" s="0" t="inlineStr"/>
      <c r="E428" s="0" t="inlineStr"/>
      <c r="F428" s="0" t="inlineStr"/>
      <c r="G428" s="0" t="inlineStr"/>
      <c r="H428" s="0" t="inlineStr"/>
      <c r="I428" s="0" t="inlineStr"/>
      <c r="J428" s="0" t="inlineStr">
        <is>
          <t>No</t>
        </is>
      </c>
    </row>
    <row r="429">
      <c r="A429" s="0" t="inlineStr"/>
      <c r="B429" s="0" t="inlineStr"/>
      <c r="C429" s="19" t="inlineStr"/>
      <c r="D429" s="0" t="inlineStr"/>
      <c r="E429" s="0" t="inlineStr"/>
      <c r="F429" s="0" t="inlineStr"/>
      <c r="G429" s="0" t="inlineStr"/>
      <c r="H429" s="0" t="inlineStr"/>
      <c r="I429" s="0" t="inlineStr"/>
      <c r="J429" s="0" t="inlineStr">
        <is>
          <t>No</t>
        </is>
      </c>
    </row>
    <row r="430">
      <c r="A430" s="0" t="inlineStr"/>
      <c r="B430" s="0" t="inlineStr"/>
      <c r="C430" s="19" t="inlineStr"/>
      <c r="D430" s="0" t="inlineStr"/>
      <c r="E430" s="0" t="inlineStr"/>
      <c r="F430" s="0" t="inlineStr"/>
      <c r="G430" s="0" t="inlineStr"/>
      <c r="H430" s="0" t="inlineStr"/>
      <c r="I430" s="0" t="inlineStr"/>
      <c r="J430" s="0" t="inlineStr">
        <is>
          <t>No</t>
        </is>
      </c>
    </row>
    <row r="431">
      <c r="A431" s="0" t="inlineStr"/>
      <c r="B431" s="0" t="inlineStr"/>
      <c r="C431" s="19" t="inlineStr"/>
      <c r="D431" s="0" t="inlineStr"/>
      <c r="E431" s="0" t="inlineStr"/>
      <c r="F431" s="0" t="inlineStr"/>
      <c r="G431" s="0" t="inlineStr"/>
      <c r="H431" s="0" t="inlineStr"/>
      <c r="I431" s="0" t="inlineStr"/>
      <c r="J431" s="0" t="inlineStr">
        <is>
          <t>No</t>
        </is>
      </c>
    </row>
    <row r="432">
      <c r="A432" s="0" t="inlineStr"/>
      <c r="B432" s="0" t="inlineStr"/>
      <c r="C432" s="19" t="inlineStr"/>
      <c r="D432" s="0" t="inlineStr"/>
      <c r="E432" s="0" t="inlineStr"/>
      <c r="F432" s="0" t="inlineStr"/>
      <c r="G432" s="0" t="inlineStr"/>
      <c r="H432" s="0" t="inlineStr"/>
      <c r="I432" s="0" t="inlineStr"/>
      <c r="J432" s="0" t="inlineStr">
        <is>
          <t>No</t>
        </is>
      </c>
    </row>
    <row r="433">
      <c r="A433" s="0" t="inlineStr"/>
      <c r="B433" s="0" t="inlineStr"/>
      <c r="C433" s="19" t="inlineStr"/>
      <c r="D433" s="0" t="inlineStr"/>
      <c r="E433" s="0" t="inlineStr"/>
      <c r="F433" s="0" t="inlineStr"/>
      <c r="G433" s="0" t="inlineStr"/>
      <c r="H433" s="0" t="inlineStr"/>
      <c r="I433" s="0" t="inlineStr"/>
      <c r="J433" s="0" t="inlineStr">
        <is>
          <t>No</t>
        </is>
      </c>
    </row>
    <row r="434">
      <c r="A434" s="0" t="inlineStr"/>
      <c r="B434" s="0" t="inlineStr"/>
      <c r="C434" s="19" t="inlineStr"/>
      <c r="D434" s="0" t="inlineStr"/>
      <c r="E434" s="0" t="inlineStr"/>
      <c r="F434" s="0" t="inlineStr"/>
      <c r="G434" s="0" t="inlineStr"/>
      <c r="H434" s="0" t="inlineStr"/>
      <c r="I434" s="0" t="inlineStr"/>
      <c r="J434" s="0" t="inlineStr">
        <is>
          <t>No</t>
        </is>
      </c>
    </row>
    <row r="435">
      <c r="A435" s="0" t="inlineStr"/>
      <c r="B435" s="0" t="inlineStr"/>
      <c r="C435" s="19" t="inlineStr"/>
      <c r="D435" s="0" t="inlineStr"/>
      <c r="E435" s="0" t="inlineStr"/>
      <c r="F435" s="0" t="inlineStr"/>
      <c r="G435" s="0" t="inlineStr"/>
      <c r="H435" s="0" t="inlineStr"/>
      <c r="I435" s="0" t="inlineStr"/>
      <c r="J435" s="0" t="inlineStr">
        <is>
          <t>No</t>
        </is>
      </c>
    </row>
    <row r="436">
      <c r="A436" s="0" t="inlineStr"/>
      <c r="B436" s="0" t="inlineStr"/>
      <c r="C436" s="19" t="inlineStr"/>
      <c r="D436" s="0" t="inlineStr"/>
      <c r="E436" s="0" t="inlineStr"/>
      <c r="F436" s="0" t="inlineStr"/>
      <c r="G436" s="0" t="inlineStr"/>
      <c r="H436" s="0" t="inlineStr"/>
      <c r="I436" s="0" t="inlineStr"/>
      <c r="J436" s="0" t="inlineStr">
        <is>
          <t>No</t>
        </is>
      </c>
    </row>
    <row r="437">
      <c r="A437" s="0" t="inlineStr"/>
      <c r="B437" s="0" t="inlineStr"/>
      <c r="C437" s="19" t="inlineStr"/>
      <c r="D437" s="0" t="inlineStr"/>
      <c r="E437" s="0" t="inlineStr"/>
      <c r="F437" s="0" t="inlineStr"/>
      <c r="G437" s="0" t="inlineStr"/>
      <c r="H437" s="0" t="inlineStr"/>
      <c r="I437" s="0" t="inlineStr"/>
      <c r="J437" s="0" t="inlineStr">
        <is>
          <t>No</t>
        </is>
      </c>
    </row>
    <row r="438">
      <c r="A438" s="0" t="inlineStr"/>
      <c r="B438" s="0" t="inlineStr"/>
      <c r="C438" s="19" t="inlineStr"/>
      <c r="D438" s="0" t="inlineStr"/>
      <c r="E438" s="0" t="inlineStr"/>
      <c r="F438" s="0" t="inlineStr"/>
      <c r="G438" s="0" t="inlineStr"/>
      <c r="H438" s="0" t="inlineStr"/>
      <c r="I438" s="0" t="inlineStr"/>
      <c r="J438" s="0" t="inlineStr">
        <is>
          <t>No</t>
        </is>
      </c>
    </row>
    <row r="439">
      <c r="A439" s="0" t="inlineStr"/>
      <c r="B439" s="0" t="inlineStr"/>
      <c r="C439" s="19" t="inlineStr"/>
      <c r="D439" s="0" t="inlineStr"/>
      <c r="E439" s="0" t="inlineStr"/>
      <c r="F439" s="0" t="inlineStr"/>
      <c r="G439" s="0" t="inlineStr"/>
      <c r="H439" s="0" t="inlineStr"/>
      <c r="I439" s="0" t="inlineStr"/>
      <c r="J439" s="0" t="inlineStr">
        <is>
          <t>No</t>
        </is>
      </c>
    </row>
    <row r="440">
      <c r="A440" s="0" t="inlineStr"/>
      <c r="B440" s="0" t="inlineStr"/>
      <c r="C440" s="19" t="inlineStr"/>
      <c r="D440" s="0" t="inlineStr"/>
      <c r="E440" s="0" t="inlineStr"/>
      <c r="F440" s="0" t="inlineStr"/>
      <c r="G440" s="0" t="inlineStr"/>
      <c r="H440" s="0" t="inlineStr"/>
      <c r="I440" s="0" t="inlineStr"/>
      <c r="J440" s="0" t="inlineStr">
        <is>
          <t>No</t>
        </is>
      </c>
    </row>
    <row r="441">
      <c r="A441" s="0" t="inlineStr"/>
      <c r="B441" s="0" t="inlineStr"/>
      <c r="C441" s="19" t="inlineStr"/>
      <c r="D441" s="0" t="inlineStr"/>
      <c r="E441" s="0" t="inlineStr"/>
      <c r="F441" s="0" t="inlineStr"/>
      <c r="G441" s="0" t="inlineStr"/>
      <c r="H441" s="0" t="inlineStr"/>
      <c r="I441" s="0" t="inlineStr"/>
      <c r="J441" s="0" t="inlineStr">
        <is>
          <t>No</t>
        </is>
      </c>
    </row>
    <row r="442">
      <c r="A442" s="0" t="inlineStr"/>
      <c r="B442" s="0" t="inlineStr"/>
      <c r="C442" s="19" t="inlineStr"/>
      <c r="D442" s="0" t="inlineStr"/>
      <c r="E442" s="0" t="inlineStr"/>
      <c r="F442" s="0" t="inlineStr"/>
      <c r="G442" s="0" t="inlineStr"/>
      <c r="H442" s="0" t="inlineStr"/>
      <c r="I442" s="0" t="inlineStr"/>
      <c r="J442" s="0" t="inlineStr">
        <is>
          <t>No</t>
        </is>
      </c>
    </row>
    <row r="443">
      <c r="A443" s="0" t="inlineStr"/>
      <c r="B443" s="0" t="inlineStr"/>
      <c r="C443" s="19" t="inlineStr"/>
      <c r="D443" s="0" t="inlineStr"/>
      <c r="E443" s="0" t="inlineStr"/>
      <c r="F443" s="0" t="inlineStr"/>
      <c r="G443" s="0" t="inlineStr"/>
      <c r="H443" s="0" t="inlineStr"/>
      <c r="I443" s="0" t="inlineStr"/>
      <c r="J443" s="0" t="inlineStr">
        <is>
          <t>No</t>
        </is>
      </c>
    </row>
    <row r="444">
      <c r="A444" s="0" t="inlineStr"/>
      <c r="B444" s="0" t="inlineStr"/>
      <c r="C444" s="19" t="inlineStr"/>
      <c r="D444" s="0" t="inlineStr"/>
      <c r="E444" s="0" t="inlineStr"/>
      <c r="F444" s="0" t="inlineStr"/>
      <c r="G444" s="0" t="inlineStr"/>
      <c r="H444" s="0" t="inlineStr"/>
      <c r="I444" s="0" t="inlineStr"/>
      <c r="J444" s="0" t="inlineStr">
        <is>
          <t>No</t>
        </is>
      </c>
    </row>
    <row r="445">
      <c r="A445" s="0" t="inlineStr"/>
      <c r="B445" s="0" t="inlineStr"/>
      <c r="C445" s="19" t="inlineStr"/>
      <c r="D445" s="0" t="inlineStr"/>
      <c r="E445" s="0" t="inlineStr"/>
      <c r="F445" s="0" t="inlineStr"/>
      <c r="G445" s="0" t="inlineStr"/>
      <c r="H445" s="0" t="inlineStr"/>
      <c r="I445" s="0" t="inlineStr"/>
      <c r="J445" s="0" t="inlineStr">
        <is>
          <t>No</t>
        </is>
      </c>
    </row>
    <row r="446">
      <c r="A446" s="0" t="inlineStr"/>
      <c r="B446" s="0" t="inlineStr"/>
      <c r="C446" s="19" t="inlineStr"/>
      <c r="D446" s="0" t="inlineStr"/>
      <c r="E446" s="0" t="inlineStr"/>
      <c r="F446" s="0" t="inlineStr"/>
      <c r="G446" s="0" t="inlineStr"/>
      <c r="H446" s="0" t="inlineStr"/>
      <c r="I446" s="0" t="inlineStr"/>
      <c r="J446" s="0" t="inlineStr">
        <is>
          <t>No</t>
        </is>
      </c>
    </row>
    <row r="447">
      <c r="A447" s="0" t="inlineStr"/>
      <c r="B447" s="0" t="inlineStr"/>
      <c r="C447" s="19" t="inlineStr"/>
      <c r="D447" s="0" t="inlineStr"/>
      <c r="E447" s="0" t="inlineStr"/>
      <c r="F447" s="0" t="inlineStr"/>
      <c r="G447" s="0" t="inlineStr"/>
      <c r="H447" s="0" t="inlineStr"/>
      <c r="I447" s="0" t="inlineStr"/>
      <c r="J447" s="0" t="inlineStr">
        <is>
          <t>No</t>
        </is>
      </c>
    </row>
    <row r="448">
      <c r="A448" s="0" t="inlineStr"/>
      <c r="B448" s="0" t="inlineStr"/>
      <c r="C448" s="19" t="inlineStr"/>
      <c r="D448" s="0" t="inlineStr"/>
      <c r="E448" s="0" t="inlineStr"/>
      <c r="F448" s="0" t="inlineStr"/>
      <c r="G448" s="0" t="inlineStr"/>
      <c r="H448" s="0" t="inlineStr"/>
      <c r="I448" s="0" t="inlineStr"/>
      <c r="J448" s="0" t="inlineStr">
        <is>
          <t>No</t>
        </is>
      </c>
    </row>
    <row r="449">
      <c r="A449" s="0" t="inlineStr"/>
      <c r="B449" s="0" t="inlineStr"/>
      <c r="C449" s="19" t="inlineStr"/>
      <c r="D449" s="0" t="inlineStr"/>
      <c r="E449" s="0" t="inlineStr"/>
      <c r="F449" s="0" t="inlineStr"/>
      <c r="G449" s="0" t="inlineStr"/>
      <c r="H449" s="0" t="inlineStr"/>
      <c r="I449" s="0" t="inlineStr"/>
      <c r="J449" s="0" t="inlineStr">
        <is>
          <t>No</t>
        </is>
      </c>
    </row>
    <row r="450">
      <c r="A450" s="0" t="inlineStr"/>
      <c r="B450" s="0" t="inlineStr"/>
      <c r="C450" s="19" t="inlineStr"/>
      <c r="D450" s="0" t="inlineStr"/>
      <c r="E450" s="0" t="inlineStr"/>
      <c r="F450" s="0" t="inlineStr"/>
      <c r="G450" s="0" t="inlineStr"/>
      <c r="H450" s="0" t="inlineStr"/>
      <c r="I450" s="0" t="inlineStr"/>
      <c r="J450" s="0" t="inlineStr">
        <is>
          <t>No</t>
        </is>
      </c>
    </row>
    <row r="451">
      <c r="A451" s="0" t="inlineStr"/>
      <c r="B451" s="0" t="inlineStr"/>
      <c r="C451" s="19" t="inlineStr"/>
      <c r="D451" s="0" t="inlineStr"/>
      <c r="E451" s="0" t="inlineStr"/>
      <c r="F451" s="0" t="inlineStr"/>
      <c r="G451" s="0" t="inlineStr"/>
      <c r="H451" s="0" t="inlineStr"/>
      <c r="I451" s="0" t="inlineStr"/>
      <c r="J451" s="0" t="inlineStr">
        <is>
          <t>No</t>
        </is>
      </c>
    </row>
    <row r="452">
      <c r="A452" s="0" t="inlineStr"/>
      <c r="B452" s="0" t="inlineStr"/>
      <c r="C452" s="19" t="inlineStr"/>
      <c r="D452" s="0" t="inlineStr"/>
      <c r="E452" s="0" t="inlineStr"/>
      <c r="F452" s="0" t="inlineStr"/>
      <c r="G452" s="0" t="inlineStr"/>
      <c r="H452" s="0" t="inlineStr"/>
      <c r="I452" s="0" t="inlineStr"/>
      <c r="J452" s="0" t="inlineStr">
        <is>
          <t>No</t>
        </is>
      </c>
    </row>
    <row r="453">
      <c r="A453" s="0" t="inlineStr"/>
      <c r="B453" s="0" t="inlineStr"/>
      <c r="C453" s="19" t="inlineStr"/>
      <c r="D453" s="0" t="inlineStr"/>
      <c r="E453" s="0" t="inlineStr"/>
      <c r="F453" s="0" t="inlineStr"/>
      <c r="G453" s="0" t="inlineStr"/>
      <c r="H453" s="0" t="inlineStr"/>
      <c r="I453" s="0" t="inlineStr"/>
      <c r="J453" s="0" t="inlineStr">
        <is>
          <t>No</t>
        </is>
      </c>
    </row>
    <row r="454">
      <c r="A454" s="0" t="inlineStr"/>
      <c r="B454" s="0" t="inlineStr"/>
      <c r="C454" s="19" t="inlineStr"/>
      <c r="D454" s="0" t="inlineStr"/>
      <c r="E454" s="0" t="inlineStr"/>
      <c r="F454" s="0" t="inlineStr"/>
      <c r="G454" s="0" t="inlineStr"/>
      <c r="H454" s="0" t="inlineStr"/>
      <c r="I454" s="0" t="inlineStr"/>
      <c r="J454" s="0" t="inlineStr">
        <is>
          <t>No</t>
        </is>
      </c>
    </row>
    <row r="455">
      <c r="A455" s="0" t="inlineStr"/>
      <c r="B455" s="0" t="inlineStr"/>
      <c r="C455" s="19" t="inlineStr"/>
      <c r="D455" s="0" t="inlineStr"/>
      <c r="E455" s="0" t="inlineStr"/>
      <c r="F455" s="0" t="inlineStr"/>
      <c r="G455" s="0" t="inlineStr"/>
      <c r="H455" s="0" t="inlineStr"/>
      <c r="I455" s="0" t="inlineStr"/>
      <c r="J455" s="0" t="inlineStr">
        <is>
          <t>No</t>
        </is>
      </c>
    </row>
    <row r="456">
      <c r="A456" s="0" t="inlineStr"/>
      <c r="B456" s="0" t="inlineStr"/>
      <c r="C456" s="19" t="inlineStr"/>
      <c r="D456" s="0" t="inlineStr"/>
      <c r="E456" s="0" t="inlineStr"/>
      <c r="F456" s="0" t="inlineStr"/>
      <c r="G456" s="0" t="inlineStr"/>
      <c r="H456" s="0" t="inlineStr"/>
      <c r="I456" s="0" t="inlineStr"/>
      <c r="J456" s="0" t="inlineStr">
        <is>
          <t>No</t>
        </is>
      </c>
    </row>
    <row r="457">
      <c r="A457" s="0" t="inlineStr"/>
      <c r="B457" s="0" t="inlineStr"/>
      <c r="C457" s="19" t="inlineStr"/>
      <c r="D457" s="0" t="inlineStr"/>
      <c r="E457" s="0" t="inlineStr"/>
      <c r="F457" s="0" t="inlineStr"/>
      <c r="G457" s="0" t="inlineStr"/>
      <c r="H457" s="0" t="inlineStr"/>
      <c r="I457" s="0" t="inlineStr"/>
      <c r="J457" s="0" t="inlineStr">
        <is>
          <t>No</t>
        </is>
      </c>
    </row>
    <row r="458">
      <c r="A458" s="0" t="inlineStr"/>
      <c r="B458" s="0" t="inlineStr"/>
      <c r="C458" s="19" t="inlineStr"/>
      <c r="D458" s="0" t="inlineStr"/>
      <c r="E458" s="0" t="inlineStr"/>
      <c r="F458" s="0" t="inlineStr"/>
      <c r="G458" s="0" t="inlineStr"/>
      <c r="H458" s="0" t="inlineStr"/>
      <c r="I458" s="0" t="inlineStr"/>
      <c r="J458" s="0" t="inlineStr">
        <is>
          <t>No</t>
        </is>
      </c>
    </row>
    <row r="459">
      <c r="A459" s="0" t="inlineStr"/>
      <c r="B459" s="0" t="inlineStr"/>
      <c r="C459" s="19" t="inlineStr"/>
      <c r="D459" s="0" t="inlineStr"/>
      <c r="E459" s="0" t="inlineStr"/>
      <c r="F459" s="0" t="inlineStr"/>
      <c r="G459" s="0" t="inlineStr"/>
      <c r="H459" s="0" t="inlineStr"/>
      <c r="I459" s="0" t="inlineStr"/>
      <c r="J459" s="0" t="inlineStr">
        <is>
          <t>No</t>
        </is>
      </c>
    </row>
    <row r="460">
      <c r="A460" s="0" t="inlineStr"/>
      <c r="B460" s="0" t="inlineStr"/>
      <c r="C460" s="19" t="inlineStr"/>
      <c r="D460" s="0" t="inlineStr"/>
      <c r="E460" s="0" t="inlineStr"/>
      <c r="F460" s="0" t="inlineStr"/>
      <c r="G460" s="0" t="inlineStr"/>
      <c r="H460" s="0" t="inlineStr"/>
      <c r="I460" s="0" t="inlineStr"/>
      <c r="J460" s="0" t="inlineStr">
        <is>
          <t>No</t>
        </is>
      </c>
    </row>
    <row r="461">
      <c r="A461" s="0" t="inlineStr"/>
      <c r="B461" s="0" t="inlineStr"/>
      <c r="C461" s="19" t="inlineStr"/>
      <c r="D461" s="0" t="inlineStr"/>
      <c r="E461" s="0" t="inlineStr"/>
      <c r="F461" s="0" t="inlineStr"/>
      <c r="G461" s="0" t="inlineStr"/>
      <c r="H461" s="0" t="inlineStr"/>
      <c r="I461" s="0" t="inlineStr"/>
      <c r="J461" s="0" t="inlineStr">
        <is>
          <t>No</t>
        </is>
      </c>
    </row>
    <row r="462">
      <c r="A462" s="0" t="inlineStr"/>
      <c r="B462" s="0" t="inlineStr"/>
      <c r="C462" s="19" t="inlineStr"/>
      <c r="D462" s="0" t="inlineStr"/>
      <c r="E462" s="0" t="inlineStr"/>
      <c r="F462" s="0" t="inlineStr"/>
      <c r="G462" s="0" t="inlineStr"/>
      <c r="H462" s="0" t="inlineStr"/>
      <c r="I462" s="0" t="inlineStr"/>
      <c r="J462" s="0" t="inlineStr">
        <is>
          <t>No</t>
        </is>
      </c>
    </row>
    <row r="463">
      <c r="A463" s="0" t="inlineStr"/>
      <c r="B463" s="0" t="inlineStr"/>
      <c r="C463" s="19" t="inlineStr"/>
      <c r="D463" s="0" t="inlineStr"/>
      <c r="E463" s="0" t="inlineStr"/>
      <c r="F463" s="0" t="inlineStr"/>
      <c r="G463" s="0" t="inlineStr"/>
      <c r="H463" s="0" t="inlineStr"/>
      <c r="I463" s="0" t="inlineStr"/>
      <c r="J463" s="0" t="inlineStr">
        <is>
          <t>No</t>
        </is>
      </c>
    </row>
    <row r="464">
      <c r="A464" s="0" t="inlineStr"/>
      <c r="B464" s="0" t="inlineStr"/>
      <c r="C464" s="19" t="inlineStr"/>
      <c r="D464" s="0" t="inlineStr"/>
      <c r="E464" s="0" t="inlineStr"/>
      <c r="F464" s="0" t="inlineStr"/>
      <c r="G464" s="0" t="inlineStr"/>
      <c r="H464" s="0" t="inlineStr"/>
      <c r="I464" s="0" t="inlineStr"/>
      <c r="J464" s="0" t="inlineStr">
        <is>
          <t>No</t>
        </is>
      </c>
    </row>
    <row r="465">
      <c r="A465" s="0" t="inlineStr"/>
      <c r="B465" s="0" t="inlineStr"/>
      <c r="C465" s="19" t="inlineStr"/>
      <c r="D465" s="0" t="inlineStr"/>
      <c r="E465" s="0" t="inlineStr"/>
      <c r="F465" s="0" t="inlineStr"/>
      <c r="G465" s="0" t="inlineStr"/>
      <c r="H465" s="0" t="inlineStr"/>
      <c r="I465" s="0" t="inlineStr"/>
      <c r="J465" s="0" t="inlineStr">
        <is>
          <t>No</t>
        </is>
      </c>
    </row>
    <row r="466">
      <c r="A466" s="0" t="inlineStr"/>
      <c r="B466" s="0" t="inlineStr"/>
      <c r="C466" s="19" t="inlineStr"/>
      <c r="D466" s="0" t="inlineStr"/>
      <c r="E466" s="0" t="inlineStr"/>
      <c r="F466" s="0" t="inlineStr"/>
      <c r="G466" s="0" t="inlineStr"/>
      <c r="H466" s="0" t="inlineStr"/>
      <c r="I466" s="0" t="inlineStr"/>
      <c r="J466" s="0" t="inlineStr">
        <is>
          <t>No</t>
        </is>
      </c>
    </row>
    <row r="467">
      <c r="A467" s="0" t="inlineStr"/>
      <c r="B467" s="0" t="inlineStr"/>
      <c r="C467" s="19" t="inlineStr"/>
      <c r="D467" s="0" t="inlineStr"/>
      <c r="E467" s="0" t="inlineStr"/>
      <c r="F467" s="0" t="inlineStr"/>
      <c r="G467" s="0" t="inlineStr"/>
      <c r="H467" s="0" t="inlineStr"/>
      <c r="I467" s="0" t="inlineStr"/>
      <c r="J467" s="0" t="inlineStr">
        <is>
          <t>No</t>
        </is>
      </c>
    </row>
    <row r="468">
      <c r="A468" s="0" t="inlineStr"/>
      <c r="B468" s="0" t="inlineStr"/>
      <c r="C468" s="19" t="inlineStr"/>
      <c r="D468" s="0" t="inlineStr"/>
      <c r="E468" s="0" t="inlineStr"/>
      <c r="F468" s="0" t="inlineStr"/>
      <c r="G468" s="0" t="inlineStr"/>
      <c r="H468" s="0" t="inlineStr"/>
      <c r="I468" s="0" t="inlineStr"/>
      <c r="J468" s="0" t="inlineStr">
        <is>
          <t>No</t>
        </is>
      </c>
    </row>
    <row r="469">
      <c r="A469" s="0" t="inlineStr"/>
      <c r="B469" s="0" t="inlineStr"/>
      <c r="C469" s="19" t="inlineStr"/>
      <c r="D469" s="0" t="inlineStr"/>
      <c r="E469" s="0" t="inlineStr"/>
      <c r="F469" s="0" t="inlineStr"/>
      <c r="G469" s="0" t="inlineStr"/>
      <c r="H469" s="0" t="inlineStr"/>
      <c r="I469" s="0" t="inlineStr"/>
      <c r="J469" s="0" t="inlineStr">
        <is>
          <t>No</t>
        </is>
      </c>
    </row>
    <row r="470">
      <c r="A470" s="0" t="inlineStr"/>
      <c r="B470" s="0" t="inlineStr"/>
      <c r="C470" s="19" t="inlineStr"/>
      <c r="D470" s="0" t="inlineStr"/>
      <c r="E470" s="0" t="inlineStr"/>
      <c r="F470" s="0" t="inlineStr"/>
      <c r="G470" s="0" t="inlineStr"/>
      <c r="H470" s="0" t="inlineStr"/>
      <c r="I470" s="0" t="inlineStr"/>
      <c r="J470" s="0" t="inlineStr">
        <is>
          <t>No</t>
        </is>
      </c>
    </row>
    <row r="471">
      <c r="A471" s="0" t="inlineStr"/>
      <c r="B471" s="0" t="inlineStr"/>
      <c r="C471" s="19" t="inlineStr"/>
      <c r="D471" s="0" t="inlineStr"/>
      <c r="E471" s="0" t="inlineStr"/>
      <c r="F471" s="0" t="inlineStr"/>
      <c r="G471" s="0" t="inlineStr"/>
      <c r="H471" s="0" t="inlineStr"/>
      <c r="I471" s="0" t="inlineStr"/>
      <c r="J471" s="0" t="inlineStr">
        <is>
          <t>No</t>
        </is>
      </c>
    </row>
    <row r="472">
      <c r="A472" s="0" t="inlineStr"/>
      <c r="B472" s="0" t="inlineStr"/>
      <c r="C472" s="19" t="inlineStr"/>
      <c r="D472" s="0" t="inlineStr"/>
      <c r="E472" s="0" t="inlineStr"/>
      <c r="F472" s="0" t="inlineStr"/>
      <c r="G472" s="0" t="inlineStr"/>
      <c r="H472" s="0" t="inlineStr"/>
      <c r="I472" s="0" t="inlineStr"/>
      <c r="J472" s="0" t="inlineStr">
        <is>
          <t>No</t>
        </is>
      </c>
    </row>
    <row r="473">
      <c r="A473" s="0" t="inlineStr"/>
      <c r="B473" s="0" t="inlineStr"/>
      <c r="C473" s="19" t="inlineStr"/>
      <c r="D473" s="0" t="inlineStr"/>
      <c r="E473" s="0" t="inlineStr"/>
      <c r="F473" s="0" t="inlineStr"/>
      <c r="G473" s="0" t="inlineStr"/>
      <c r="H473" s="0" t="inlineStr"/>
      <c r="I473" s="0" t="inlineStr"/>
      <c r="J473" s="0" t="inlineStr">
        <is>
          <t>No</t>
        </is>
      </c>
    </row>
    <row r="474">
      <c r="A474" s="0" t="inlineStr"/>
      <c r="B474" s="0" t="inlineStr"/>
      <c r="C474" s="19" t="inlineStr"/>
      <c r="D474" s="0" t="inlineStr"/>
      <c r="E474" s="0" t="inlineStr"/>
      <c r="F474" s="0" t="inlineStr"/>
      <c r="G474" s="0" t="inlineStr"/>
      <c r="H474" s="0" t="inlineStr"/>
      <c r="I474" s="0" t="inlineStr"/>
      <c r="J474" s="0" t="inlineStr">
        <is>
          <t>No</t>
        </is>
      </c>
    </row>
    <row r="475">
      <c r="A475" s="0" t="inlineStr"/>
      <c r="B475" s="0" t="inlineStr"/>
      <c r="C475" s="19" t="inlineStr"/>
      <c r="D475" s="0" t="inlineStr"/>
      <c r="E475" s="0" t="inlineStr"/>
      <c r="F475" s="0" t="inlineStr"/>
      <c r="G475" s="0" t="inlineStr"/>
      <c r="H475" s="0" t="inlineStr"/>
      <c r="I475" s="0" t="inlineStr"/>
      <c r="J475" s="0" t="inlineStr">
        <is>
          <t>No</t>
        </is>
      </c>
    </row>
    <row r="476">
      <c r="A476" s="0" t="inlineStr"/>
      <c r="B476" s="0" t="inlineStr"/>
      <c r="C476" s="19" t="inlineStr"/>
      <c r="D476" s="0" t="inlineStr"/>
      <c r="E476" s="0" t="inlineStr"/>
      <c r="F476" s="0" t="inlineStr"/>
      <c r="G476" s="0" t="inlineStr"/>
      <c r="H476" s="0" t="inlineStr"/>
      <c r="I476" s="0" t="inlineStr"/>
      <c r="J476" s="0" t="inlineStr">
        <is>
          <t>No</t>
        </is>
      </c>
    </row>
    <row r="477">
      <c r="A477" s="0" t="inlineStr"/>
      <c r="B477" s="0" t="inlineStr"/>
      <c r="C477" s="19" t="inlineStr"/>
      <c r="D477" s="0" t="inlineStr"/>
      <c r="E477" s="0" t="inlineStr"/>
      <c r="F477" s="0" t="inlineStr"/>
      <c r="G477" s="0" t="inlineStr"/>
      <c r="H477" s="0" t="inlineStr"/>
      <c r="I477" s="0" t="inlineStr"/>
      <c r="J477" s="0" t="inlineStr">
        <is>
          <t>No</t>
        </is>
      </c>
    </row>
    <row r="478">
      <c r="A478" s="0" t="inlineStr"/>
      <c r="B478" s="0" t="inlineStr"/>
      <c r="C478" s="19" t="inlineStr"/>
      <c r="D478" s="0" t="inlineStr"/>
      <c r="E478" s="0" t="inlineStr"/>
      <c r="F478" s="0" t="inlineStr"/>
      <c r="G478" s="0" t="inlineStr"/>
      <c r="H478" s="0" t="inlineStr"/>
      <c r="I478" s="0" t="inlineStr"/>
      <c r="J478" s="0" t="inlineStr">
        <is>
          <t>No</t>
        </is>
      </c>
    </row>
    <row r="479">
      <c r="A479" s="0" t="inlineStr"/>
      <c r="B479" s="0" t="inlineStr"/>
      <c r="C479" s="19" t="inlineStr"/>
      <c r="D479" s="0" t="inlineStr"/>
      <c r="E479" s="0" t="inlineStr"/>
      <c r="F479" s="0" t="inlineStr"/>
      <c r="G479" s="0" t="inlineStr"/>
      <c r="H479" s="0" t="inlineStr"/>
      <c r="I479" s="0" t="inlineStr"/>
      <c r="J479" s="0" t="inlineStr">
        <is>
          <t>No</t>
        </is>
      </c>
    </row>
    <row r="480">
      <c r="A480" s="0" t="inlineStr"/>
      <c r="B480" s="0" t="inlineStr"/>
      <c r="C480" s="19" t="inlineStr"/>
      <c r="D480" s="0" t="inlineStr"/>
      <c r="E480" s="0" t="inlineStr"/>
      <c r="F480" s="0" t="inlineStr"/>
      <c r="G480" s="0" t="inlineStr"/>
      <c r="H480" s="0" t="inlineStr"/>
      <c r="I480" s="0" t="inlineStr"/>
      <c r="J480" s="0" t="inlineStr">
        <is>
          <t>No</t>
        </is>
      </c>
    </row>
    <row r="481">
      <c r="A481" s="0" t="inlineStr"/>
      <c r="B481" s="0" t="inlineStr"/>
      <c r="C481" s="19" t="inlineStr"/>
      <c r="D481" s="0" t="inlineStr"/>
      <c r="E481" s="0" t="inlineStr"/>
      <c r="F481" s="0" t="inlineStr"/>
      <c r="G481" s="0" t="inlineStr"/>
      <c r="H481" s="0" t="inlineStr"/>
      <c r="I481" s="0" t="inlineStr"/>
      <c r="J481" s="0" t="inlineStr">
        <is>
          <t>No</t>
        </is>
      </c>
    </row>
    <row r="482">
      <c r="A482" s="0" t="inlineStr"/>
      <c r="B482" s="0" t="inlineStr"/>
      <c r="C482" s="19" t="inlineStr"/>
      <c r="D482" s="0" t="inlineStr"/>
      <c r="E482" s="0" t="inlineStr"/>
      <c r="F482" s="0" t="inlineStr"/>
      <c r="G482" s="0" t="inlineStr"/>
      <c r="H482" s="0" t="inlineStr"/>
      <c r="I482" s="0" t="inlineStr"/>
      <c r="J482" s="0" t="inlineStr">
        <is>
          <t>No</t>
        </is>
      </c>
    </row>
    <row r="483">
      <c r="A483" s="0" t="inlineStr"/>
      <c r="B483" s="0" t="inlineStr"/>
      <c r="C483" s="19" t="inlineStr"/>
      <c r="D483" s="0" t="inlineStr"/>
      <c r="E483" s="0" t="inlineStr"/>
      <c r="F483" s="0" t="inlineStr"/>
      <c r="G483" s="0" t="inlineStr"/>
      <c r="H483" s="0" t="inlineStr"/>
      <c r="I483" s="0" t="inlineStr"/>
      <c r="J483" s="0" t="inlineStr">
        <is>
          <t>No</t>
        </is>
      </c>
    </row>
    <row r="484">
      <c r="A484" s="0" t="inlineStr"/>
      <c r="B484" s="0" t="inlineStr"/>
      <c r="C484" s="19" t="inlineStr"/>
      <c r="D484" s="0" t="inlineStr"/>
      <c r="E484" s="0" t="inlineStr"/>
      <c r="F484" s="0" t="inlineStr"/>
      <c r="G484" s="0" t="inlineStr"/>
      <c r="H484" s="0" t="inlineStr"/>
      <c r="I484" s="0" t="inlineStr"/>
      <c r="J484" s="0" t="inlineStr">
        <is>
          <t>No</t>
        </is>
      </c>
    </row>
    <row r="485">
      <c r="A485" s="0" t="inlineStr"/>
      <c r="B485" s="0" t="inlineStr"/>
      <c r="C485" s="19" t="inlineStr"/>
      <c r="D485" s="0" t="inlineStr"/>
      <c r="E485" s="0" t="inlineStr"/>
      <c r="F485" s="0" t="inlineStr"/>
      <c r="G485" s="0" t="inlineStr"/>
      <c r="H485" s="0" t="inlineStr"/>
      <c r="I485" s="0" t="inlineStr"/>
      <c r="J485" s="0" t="inlineStr">
        <is>
          <t>No</t>
        </is>
      </c>
    </row>
    <row r="486">
      <c r="A486" s="0" t="inlineStr"/>
      <c r="B486" s="0" t="inlineStr"/>
      <c r="C486" s="19" t="inlineStr"/>
      <c r="D486" s="0" t="inlineStr"/>
      <c r="E486" s="0" t="inlineStr"/>
      <c r="F486" s="0" t="inlineStr"/>
      <c r="G486" s="0" t="inlineStr"/>
      <c r="H486" s="0" t="inlineStr"/>
      <c r="I486" s="0" t="inlineStr"/>
      <c r="J486" s="0" t="inlineStr">
        <is>
          <t>No</t>
        </is>
      </c>
    </row>
    <row r="487">
      <c r="A487" s="0" t="inlineStr"/>
      <c r="B487" s="0" t="inlineStr"/>
      <c r="C487" s="19" t="inlineStr"/>
      <c r="D487" s="0" t="inlineStr"/>
      <c r="E487" s="0" t="inlineStr"/>
      <c r="F487" s="0" t="inlineStr"/>
      <c r="G487" s="0" t="inlineStr"/>
      <c r="H487" s="0" t="inlineStr"/>
      <c r="I487" s="0" t="inlineStr"/>
      <c r="J487" s="0" t="inlineStr">
        <is>
          <t>No</t>
        </is>
      </c>
    </row>
    <row r="488">
      <c r="A488" s="0" t="inlineStr"/>
      <c r="B488" s="0" t="inlineStr"/>
      <c r="C488" s="19" t="inlineStr"/>
      <c r="D488" s="0" t="inlineStr"/>
      <c r="E488" s="0" t="inlineStr"/>
      <c r="F488" s="0" t="inlineStr"/>
      <c r="G488" s="0" t="inlineStr"/>
      <c r="H488" s="0" t="inlineStr"/>
      <c r="I488" s="0" t="inlineStr"/>
      <c r="J488" s="0" t="inlineStr">
        <is>
          <t>No</t>
        </is>
      </c>
    </row>
    <row r="489">
      <c r="A489" s="0" t="inlineStr"/>
      <c r="B489" s="0" t="inlineStr"/>
      <c r="C489" s="19" t="inlineStr"/>
      <c r="D489" s="0" t="inlineStr"/>
      <c r="E489" s="0" t="inlineStr"/>
      <c r="F489" s="0" t="inlineStr"/>
      <c r="G489" s="0" t="inlineStr"/>
      <c r="H489" s="0" t="inlineStr"/>
      <c r="I489" s="0" t="inlineStr"/>
      <c r="J489" s="0" t="inlineStr">
        <is>
          <t>No</t>
        </is>
      </c>
    </row>
    <row r="490">
      <c r="A490" s="0" t="inlineStr"/>
      <c r="B490" s="0" t="inlineStr"/>
      <c r="C490" s="19" t="inlineStr"/>
      <c r="D490" s="0" t="inlineStr"/>
      <c r="E490" s="0" t="inlineStr"/>
      <c r="F490" s="0" t="inlineStr"/>
      <c r="G490" s="0" t="inlineStr"/>
      <c r="H490" s="0" t="inlineStr"/>
      <c r="I490" s="0" t="inlineStr"/>
      <c r="J490" s="0" t="inlineStr">
        <is>
          <t>No</t>
        </is>
      </c>
    </row>
    <row r="491">
      <c r="A491" s="0" t="inlineStr"/>
      <c r="B491" s="0" t="inlineStr"/>
      <c r="C491" s="19" t="inlineStr"/>
      <c r="D491" s="0" t="inlineStr"/>
      <c r="E491" s="0" t="inlineStr"/>
      <c r="F491" s="0" t="inlineStr"/>
      <c r="G491" s="0" t="inlineStr"/>
      <c r="H491" s="0" t="inlineStr"/>
      <c r="I491" s="0" t="inlineStr"/>
      <c r="J491" s="0" t="inlineStr">
        <is>
          <t>No</t>
        </is>
      </c>
    </row>
    <row r="492">
      <c r="A492" s="0" t="inlineStr"/>
      <c r="B492" s="0" t="inlineStr"/>
      <c r="C492" s="19" t="inlineStr"/>
      <c r="D492" s="0" t="inlineStr"/>
      <c r="E492" s="0" t="inlineStr"/>
      <c r="F492" s="0" t="inlineStr"/>
      <c r="G492" s="0" t="inlineStr"/>
      <c r="H492" s="0" t="inlineStr"/>
      <c r="I492" s="0" t="inlineStr"/>
      <c r="J492" s="0" t="inlineStr">
        <is>
          <t>No</t>
        </is>
      </c>
    </row>
    <row r="493">
      <c r="A493" s="0" t="inlineStr"/>
      <c r="B493" s="0" t="inlineStr"/>
      <c r="C493" s="19" t="inlineStr"/>
      <c r="D493" s="0" t="inlineStr"/>
      <c r="E493" s="0" t="inlineStr"/>
      <c r="F493" s="0" t="inlineStr"/>
      <c r="G493" s="0" t="inlineStr"/>
      <c r="H493" s="0" t="inlineStr"/>
      <c r="I493" s="0" t="inlineStr"/>
      <c r="J493" s="0" t="inlineStr">
        <is>
          <t>No</t>
        </is>
      </c>
    </row>
    <row r="494">
      <c r="A494" s="0" t="inlineStr"/>
      <c r="B494" s="0" t="inlineStr"/>
      <c r="C494" s="19" t="inlineStr"/>
      <c r="D494" s="0" t="inlineStr"/>
      <c r="E494" s="0" t="inlineStr"/>
      <c r="F494" s="0" t="inlineStr"/>
      <c r="G494" s="0" t="inlineStr"/>
      <c r="H494" s="0" t="inlineStr"/>
      <c r="I494" s="0" t="inlineStr"/>
      <c r="J494" s="0" t="inlineStr">
        <is>
          <t>No</t>
        </is>
      </c>
    </row>
    <row r="495">
      <c r="A495" s="0" t="inlineStr"/>
      <c r="B495" s="0" t="inlineStr"/>
      <c r="C495" s="19" t="inlineStr"/>
      <c r="D495" s="0" t="inlineStr"/>
      <c r="E495" s="0" t="inlineStr"/>
      <c r="F495" s="0" t="inlineStr"/>
      <c r="G495" s="0" t="inlineStr"/>
      <c r="H495" s="0" t="inlineStr"/>
      <c r="I495" s="0" t="inlineStr"/>
      <c r="J495" s="0" t="inlineStr">
        <is>
          <t>No</t>
        </is>
      </c>
    </row>
    <row r="496">
      <c r="A496" s="0" t="inlineStr"/>
      <c r="B496" s="0" t="inlineStr"/>
      <c r="C496" s="19" t="inlineStr"/>
      <c r="D496" s="0" t="inlineStr"/>
      <c r="E496" s="0" t="inlineStr"/>
      <c r="F496" s="0" t="inlineStr"/>
      <c r="G496" s="0" t="inlineStr"/>
      <c r="H496" s="0" t="inlineStr"/>
      <c r="I496" s="0" t="inlineStr"/>
      <c r="J496" s="0" t="inlineStr">
        <is>
          <t>No</t>
        </is>
      </c>
    </row>
    <row r="497">
      <c r="A497" s="0" t="inlineStr"/>
      <c r="B497" s="0" t="inlineStr"/>
      <c r="C497" s="19" t="inlineStr"/>
      <c r="D497" s="0" t="inlineStr"/>
      <c r="E497" s="0" t="inlineStr"/>
      <c r="F497" s="0" t="inlineStr"/>
      <c r="G497" s="0" t="inlineStr"/>
      <c r="H497" s="0" t="inlineStr"/>
      <c r="I497" s="0" t="inlineStr"/>
      <c r="J497" s="0" t="inlineStr">
        <is>
          <t>No</t>
        </is>
      </c>
    </row>
    <row r="498">
      <c r="A498" s="0" t="inlineStr"/>
      <c r="B498" s="0" t="inlineStr"/>
      <c r="C498" s="19" t="inlineStr"/>
      <c r="D498" s="0" t="inlineStr"/>
      <c r="E498" s="0" t="inlineStr"/>
      <c r="F498" s="0" t="inlineStr"/>
      <c r="G498" s="0" t="inlineStr"/>
      <c r="H498" s="0" t="inlineStr"/>
      <c r="I498" s="0" t="inlineStr"/>
      <c r="J498" s="0" t="inlineStr">
        <is>
          <t>No</t>
        </is>
      </c>
    </row>
    <row r="499">
      <c r="A499" s="0" t="inlineStr"/>
      <c r="B499" s="0" t="inlineStr"/>
      <c r="C499" s="19" t="inlineStr"/>
      <c r="D499" s="0" t="inlineStr"/>
      <c r="E499" s="0" t="inlineStr"/>
      <c r="F499" s="0" t="inlineStr"/>
      <c r="G499" s="0" t="inlineStr"/>
      <c r="H499" s="0" t="inlineStr"/>
      <c r="I499" s="0" t="inlineStr"/>
      <c r="J499" s="0" t="inlineStr">
        <is>
          <t>No</t>
        </is>
      </c>
    </row>
    <row r="500">
      <c r="A500" s="0" t="inlineStr"/>
      <c r="B500" s="0" t="inlineStr"/>
      <c r="C500" s="19" t="inlineStr"/>
      <c r="D500" s="0" t="inlineStr"/>
      <c r="E500" s="0" t="inlineStr"/>
      <c r="F500" s="0" t="inlineStr"/>
      <c r="G500" s="0" t="inlineStr"/>
      <c r="H500" s="0" t="inlineStr"/>
      <c r="I500" s="0" t="inlineStr"/>
      <c r="J500" s="0" t="inlineStr">
        <is>
          <t>No</t>
        </is>
      </c>
    </row>
    <row r="501">
      <c r="A501" s="0" t="inlineStr"/>
      <c r="B501" s="0" t="inlineStr"/>
      <c r="C501" s="19" t="inlineStr"/>
      <c r="D501" s="0" t="inlineStr"/>
      <c r="E501" s="0" t="inlineStr"/>
      <c r="F501" s="0" t="inlineStr"/>
      <c r="G501" s="0" t="inlineStr"/>
      <c r="H501" s="0" t="inlineStr"/>
      <c r="I501" s="0" t="inlineStr"/>
      <c r="J501" s="0" t="inlineStr">
        <is>
          <t>No</t>
        </is>
      </c>
    </row>
  </sheetData>
  <dataValidations count="3">
    <dataValidation sqref="A2:A501" showDropDown="0" showInputMessage="0" showErrorMessage="0" allowBlank="1" type="list">
      <formula1>"JUL : 31,AUG : 32,AUG : 33,AUG : 34,AUG : 35,SEP : 36,SEP : 37,SEP : 38,SEP : 39,OCT : 40,OCT : 41,OCT : 42,OCT : 43,OCT : 44,NOV : 45,NOV : 46,NOV : 47,NOV : 48,DEC : 49,DEC : 50,DEC : 51,DEC : 52"</formula1>
    </dataValidation>
    <dataValidation sqref="J2:J501" showDropDown="0" showInputMessage="0" showErrorMessage="0" allowBlank="1" type="list">
      <formula1>"No,Yes"</formula1>
    </dataValidation>
    <dataValidation sqref="F2:F501" showDropDown="0" showInputMessage="0" showErrorMessage="0" allowBlank="1" type="list">
      <formula1>"Friend,Family,Colleague,Customer,Prospect,Other"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14" customWidth="1" style="3" min="2" max="2"/>
    <col width="14" customWidth="1" style="3" min="3" max="3"/>
    <col width="10" customWidth="1" style="3" min="4" max="4"/>
    <col width="28" customWidth="1" style="3" min="5" max="5"/>
    <col width="24" customWidth="1" style="3" min="6" max="6"/>
    <col width="13" customWidth="1" style="3" min="7" max="7"/>
    <col width="24" customWidth="1" style="3" min="8" max="8"/>
    <col width="13" customWidth="1" style="3" min="9" max="9"/>
    <col width="24" customWidth="1" style="3" min="10" max="10"/>
    <col width="22" customWidth="1" style="3" min="11" max="11"/>
    <col width="22" customWidth="1" style="3" min="12" max="12"/>
    <col width="24" customWidth="1" style="3" min="13" max="13"/>
    <col width="35" customWidth="1" style="3" min="14" max="14"/>
    <col width="40" customWidth="1" style="3" min="15" max="15"/>
    <col width="55" customWidth="1" style="3" min="17" max="17"/>
  </cols>
  <sheetData>
    <row r="1">
      <c r="A1" s="22" t="inlineStr">
        <is>
          <t>Date</t>
        </is>
      </c>
      <c r="B1" s="22" t="inlineStr">
        <is>
          <t>Day</t>
        </is>
      </c>
      <c r="C1" s="22" t="inlineStr">
        <is>
          <t>Sales Month</t>
        </is>
      </c>
      <c r="D1" s="22" t="inlineStr">
        <is>
          <t>Week No</t>
        </is>
      </c>
      <c r="E1" s="22" t="inlineStr">
        <is>
          <t>Name</t>
        </is>
      </c>
      <c r="F1" s="22" t="inlineStr">
        <is>
          <t>Info</t>
        </is>
      </c>
      <c r="G1" s="22" t="inlineStr">
        <is>
          <t>Info_Date</t>
        </is>
      </c>
      <c r="H1" s="22" t="inlineStr">
        <is>
          <t>Invite</t>
        </is>
      </c>
      <c r="I1" s="22" t="inlineStr">
        <is>
          <t>Invite_Date</t>
        </is>
      </c>
      <c r="J1" s="22" t="inlineStr">
        <is>
          <t>Plan</t>
        </is>
      </c>
      <c r="K1" s="22" t="inlineStr">
        <is>
          <t>New Number</t>
        </is>
      </c>
      <c r="L1" s="22" t="inlineStr">
        <is>
          <t>New Connection</t>
        </is>
      </c>
      <c r="M1" s="22" t="inlineStr">
        <is>
          <t>New Location</t>
        </is>
      </c>
      <c r="N1" s="22" t="inlineStr">
        <is>
          <t>Comments</t>
        </is>
      </c>
      <c r="O1" s="22" t="inlineStr">
        <is>
          <t>Notes</t>
        </is>
      </c>
      <c r="Q1" s="23" t="inlineStr">
        <is>
          <t>DAILY TRACKER</t>
        </is>
      </c>
    </row>
    <row r="2">
      <c r="A2" s="24" t="n">
        <v>46235</v>
      </c>
      <c r="B2" s="25" t="inlineStr">
        <is>
          <t>Saturday</t>
        </is>
      </c>
      <c r="C2" s="25" t="inlineStr">
        <is>
          <t>AUG</t>
        </is>
      </c>
      <c r="D2" s="25" t="n">
        <v>31</v>
      </c>
      <c r="E2" s="25" t="n"/>
      <c r="F2" s="25" t="n"/>
      <c r="G2" s="24" t="n"/>
      <c r="H2" s="25" t="n"/>
      <c r="I2" s="24" t="n"/>
      <c r="J2" s="25" t="n"/>
      <c r="K2" s="25" t="n"/>
      <c r="L2" s="25" t="n"/>
      <c r="M2" s="25" t="n"/>
      <c r="N2" s="25" t="n"/>
      <c r="O2" s="25" t="n"/>
      <c r="Q2" s="0" t="inlineStr">
        <is>
          <t>01-Aug-2026 to 31-Dec-2026</t>
        </is>
      </c>
    </row>
    <row r="3">
      <c r="A3" s="16" t="n">
        <v>46235</v>
      </c>
      <c r="B3" s="9" t="inlineStr">
        <is>
          <t>Saturday</t>
        </is>
      </c>
      <c r="C3" s="9" t="inlineStr">
        <is>
          <t>AUG</t>
        </is>
      </c>
      <c r="D3" s="9" t="n">
        <v>31</v>
      </c>
      <c r="E3" s="9" t="n"/>
      <c r="F3" s="9" t="n"/>
      <c r="G3" s="16" t="n"/>
      <c r="H3" s="9" t="n"/>
      <c r="I3" s="16" t="n"/>
      <c r="J3" s="9" t="n"/>
      <c r="K3" s="9" t="n"/>
      <c r="L3" s="9" t="n"/>
      <c r="M3" s="9" t="n"/>
      <c r="N3" s="9" t="n"/>
      <c r="O3" s="9" t="n"/>
      <c r="Q3" s="9" t="inlineStr">
        <is>
          <t>Every calendar day has exactly 5 rows. Select a Name from the dropdown and enter your daily activity.</t>
        </is>
      </c>
    </row>
    <row r="4">
      <c r="A4" s="16" t="n">
        <v>46235</v>
      </c>
      <c r="B4" s="9" t="inlineStr">
        <is>
          <t>Saturday</t>
        </is>
      </c>
      <c r="C4" s="9" t="inlineStr">
        <is>
          <t>AUG</t>
        </is>
      </c>
      <c r="D4" s="9" t="n">
        <v>31</v>
      </c>
      <c r="E4" s="9" t="n"/>
      <c r="F4" s="9" t="n"/>
      <c r="G4" s="16" t="n"/>
      <c r="H4" s="9" t="n"/>
      <c r="I4" s="16" t="n"/>
      <c r="J4" s="9" t="n"/>
      <c r="K4" s="9" t="n"/>
      <c r="L4" s="9" t="n"/>
      <c r="M4" s="9" t="n"/>
      <c r="N4" s="9" t="n"/>
      <c r="O4" s="9" t="n"/>
    </row>
    <row r="5">
      <c r="A5" s="16" t="n">
        <v>46235</v>
      </c>
      <c r="B5" s="9" t="inlineStr">
        <is>
          <t>Saturday</t>
        </is>
      </c>
      <c r="C5" s="9" t="inlineStr">
        <is>
          <t>AUG</t>
        </is>
      </c>
      <c r="D5" s="9" t="n">
        <v>31</v>
      </c>
      <c r="E5" s="9" t="n"/>
      <c r="F5" s="9" t="n"/>
      <c r="G5" s="16" t="n"/>
      <c r="H5" s="9" t="n"/>
      <c r="I5" s="16" t="n"/>
      <c r="J5" s="9" t="n"/>
      <c r="K5" s="9" t="n"/>
      <c r="L5" s="9" t="n"/>
      <c r="M5" s="9" t="n"/>
      <c r="N5" s="9" t="n"/>
      <c r="O5" s="9" t="n"/>
    </row>
    <row r="6">
      <c r="A6" s="16" t="n">
        <v>46235</v>
      </c>
      <c r="B6" s="9" t="inlineStr">
        <is>
          <t>Saturday</t>
        </is>
      </c>
      <c r="C6" s="9" t="inlineStr">
        <is>
          <t>AUG</t>
        </is>
      </c>
      <c r="D6" s="9" t="n">
        <v>31</v>
      </c>
      <c r="E6" s="9" t="n"/>
      <c r="F6" s="9" t="n"/>
      <c r="G6" s="16" t="n"/>
      <c r="H6" s="9" t="n"/>
      <c r="I6" s="16" t="n"/>
      <c r="J6" s="9" t="n"/>
      <c r="K6" s="9" t="n"/>
      <c r="L6" s="9" t="n"/>
      <c r="M6" s="9" t="n"/>
      <c r="N6" s="9" t="n"/>
      <c r="O6" s="9" t="n"/>
    </row>
    <row r="7">
      <c r="A7" s="24" t="n">
        <v>46236</v>
      </c>
      <c r="B7" s="25" t="inlineStr">
        <is>
          <t>Sunday</t>
        </is>
      </c>
      <c r="C7" s="25" t="inlineStr">
        <is>
          <t>AUG</t>
        </is>
      </c>
      <c r="D7" s="25" t="n">
        <v>31</v>
      </c>
      <c r="E7" s="25" t="n"/>
      <c r="F7" s="25" t="n"/>
      <c r="G7" s="24" t="n"/>
      <c r="H7" s="25" t="n"/>
      <c r="I7" s="24" t="n"/>
      <c r="J7" s="25" t="n"/>
      <c r="K7" s="25" t="n"/>
      <c r="L7" s="25" t="n"/>
      <c r="M7" s="25" t="n"/>
      <c r="N7" s="25" t="n"/>
      <c r="O7" s="25" t="n"/>
    </row>
    <row r="8">
      <c r="A8" s="16" t="n">
        <v>46236</v>
      </c>
      <c r="B8" s="9" t="inlineStr">
        <is>
          <t>Sunday</t>
        </is>
      </c>
      <c r="C8" s="9" t="inlineStr">
        <is>
          <t>AUG</t>
        </is>
      </c>
      <c r="D8" s="9" t="n">
        <v>31</v>
      </c>
      <c r="E8" s="9" t="n"/>
      <c r="F8" s="9" t="n"/>
      <c r="G8" s="16" t="n"/>
      <c r="H8" s="9" t="n"/>
      <c r="I8" s="16" t="n"/>
      <c r="J8" s="9" t="n"/>
      <c r="K8" s="9" t="n"/>
      <c r="L8" s="9" t="n"/>
      <c r="M8" s="9" t="n"/>
      <c r="N8" s="9" t="n"/>
      <c r="O8" s="9" t="n"/>
    </row>
    <row r="9">
      <c r="A9" s="16" t="n">
        <v>46236</v>
      </c>
      <c r="B9" s="9" t="inlineStr">
        <is>
          <t>Sunday</t>
        </is>
      </c>
      <c r="C9" s="9" t="inlineStr">
        <is>
          <t>AUG</t>
        </is>
      </c>
      <c r="D9" s="9" t="n">
        <v>31</v>
      </c>
      <c r="E9" s="9" t="n"/>
      <c r="F9" s="9" t="n"/>
      <c r="G9" s="16" t="n"/>
      <c r="H9" s="9" t="n"/>
      <c r="I9" s="16" t="n"/>
      <c r="J9" s="9" t="n"/>
      <c r="K9" s="9" t="n"/>
      <c r="L9" s="9" t="n"/>
      <c r="M9" s="9" t="n"/>
      <c r="N9" s="9" t="n"/>
      <c r="O9" s="9" t="n"/>
    </row>
    <row r="10">
      <c r="A10" s="16" t="n">
        <v>46236</v>
      </c>
      <c r="B10" s="9" t="inlineStr">
        <is>
          <t>Sunday</t>
        </is>
      </c>
      <c r="C10" s="9" t="inlineStr">
        <is>
          <t>AUG</t>
        </is>
      </c>
      <c r="D10" s="9" t="n">
        <v>31</v>
      </c>
      <c r="E10" s="9" t="n"/>
      <c r="F10" s="9" t="n"/>
      <c r="G10" s="16" t="n"/>
      <c r="H10" s="9" t="n"/>
      <c r="I10" s="16" t="n"/>
      <c r="J10" s="9" t="n"/>
      <c r="K10" s="9" t="n"/>
      <c r="L10" s="9" t="n"/>
      <c r="M10" s="9" t="n"/>
      <c r="N10" s="9" t="n"/>
      <c r="O10" s="9" t="n"/>
    </row>
    <row r="11">
      <c r="A11" s="16" t="n">
        <v>46236</v>
      </c>
      <c r="B11" s="9" t="inlineStr">
        <is>
          <t>Sunday</t>
        </is>
      </c>
      <c r="C11" s="9" t="inlineStr">
        <is>
          <t>AUG</t>
        </is>
      </c>
      <c r="D11" s="9" t="n">
        <v>31</v>
      </c>
      <c r="E11" s="9" t="n"/>
      <c r="F11" s="9" t="n"/>
      <c r="G11" s="16" t="n"/>
      <c r="H11" s="9" t="n"/>
      <c r="I11" s="16" t="n"/>
      <c r="J11" s="9" t="n"/>
      <c r="K11" s="9" t="n"/>
      <c r="L11" s="9" t="n"/>
      <c r="M11" s="9" t="n"/>
      <c r="N11" s="9" t="n"/>
      <c r="O11" s="9" t="n"/>
    </row>
    <row r="12">
      <c r="A12" s="24" t="n">
        <v>46237</v>
      </c>
      <c r="B12" s="25" t="inlineStr">
        <is>
          <t>Monday</t>
        </is>
      </c>
      <c r="C12" s="25" t="inlineStr">
        <is>
          <t>AUG</t>
        </is>
      </c>
      <c r="D12" s="25" t="n">
        <v>31</v>
      </c>
      <c r="E12" s="25" t="n"/>
      <c r="F12" s="25" t="n"/>
      <c r="G12" s="24" t="n"/>
      <c r="H12" s="25" t="n"/>
      <c r="I12" s="24" t="n"/>
      <c r="J12" s="25" t="n"/>
      <c r="K12" s="25" t="n"/>
      <c r="L12" s="25" t="n"/>
      <c r="M12" s="25" t="n"/>
      <c r="N12" s="25" t="n"/>
      <c r="O12" s="25" t="n"/>
    </row>
    <row r="13">
      <c r="A13" s="16" t="n">
        <v>46237</v>
      </c>
      <c r="B13" s="9" t="inlineStr">
        <is>
          <t>Monday</t>
        </is>
      </c>
      <c r="C13" s="9" t="inlineStr">
        <is>
          <t>AUG</t>
        </is>
      </c>
      <c r="D13" s="9" t="n">
        <v>31</v>
      </c>
      <c r="E13" s="9" t="n"/>
      <c r="F13" s="9" t="n"/>
      <c r="G13" s="16" t="n"/>
      <c r="H13" s="9" t="n"/>
      <c r="I13" s="16" t="n"/>
      <c r="J13" s="9" t="n"/>
      <c r="K13" s="9" t="n"/>
      <c r="L13" s="9" t="n"/>
      <c r="M13" s="9" t="n"/>
      <c r="N13" s="9" t="n"/>
      <c r="O13" s="9" t="n"/>
    </row>
    <row r="14">
      <c r="A14" s="16" t="n">
        <v>46237</v>
      </c>
      <c r="B14" s="9" t="inlineStr">
        <is>
          <t>Monday</t>
        </is>
      </c>
      <c r="C14" s="9" t="inlineStr">
        <is>
          <t>AUG</t>
        </is>
      </c>
      <c r="D14" s="9" t="n">
        <v>31</v>
      </c>
      <c r="E14" s="9" t="n"/>
      <c r="F14" s="9" t="n"/>
      <c r="G14" s="16" t="n"/>
      <c r="H14" s="9" t="n"/>
      <c r="I14" s="16" t="n"/>
      <c r="J14" s="9" t="n"/>
      <c r="K14" s="9" t="n"/>
      <c r="L14" s="9" t="n"/>
      <c r="M14" s="9" t="n"/>
      <c r="N14" s="9" t="n"/>
      <c r="O14" s="9" t="n"/>
    </row>
    <row r="15">
      <c r="A15" s="16" t="n">
        <v>46237</v>
      </c>
      <c r="B15" s="9" t="inlineStr">
        <is>
          <t>Monday</t>
        </is>
      </c>
      <c r="C15" s="9" t="inlineStr">
        <is>
          <t>AUG</t>
        </is>
      </c>
      <c r="D15" s="9" t="n">
        <v>31</v>
      </c>
      <c r="E15" s="9" t="n"/>
      <c r="F15" s="9" t="n"/>
      <c r="G15" s="16" t="n"/>
      <c r="H15" s="9" t="n"/>
      <c r="I15" s="16" t="n"/>
      <c r="J15" s="9" t="n"/>
      <c r="K15" s="9" t="n"/>
      <c r="L15" s="9" t="n"/>
      <c r="M15" s="9" t="n"/>
      <c r="N15" s="9" t="n"/>
      <c r="O15" s="9" t="n"/>
    </row>
    <row r="16">
      <c r="A16" s="16" t="n">
        <v>46237</v>
      </c>
      <c r="B16" s="9" t="inlineStr">
        <is>
          <t>Monday</t>
        </is>
      </c>
      <c r="C16" s="9" t="inlineStr">
        <is>
          <t>AUG</t>
        </is>
      </c>
      <c r="D16" s="9" t="n">
        <v>31</v>
      </c>
      <c r="E16" s="9" t="n"/>
      <c r="F16" s="9" t="n"/>
      <c r="G16" s="16" t="n"/>
      <c r="H16" s="9" t="n"/>
      <c r="I16" s="16" t="n"/>
      <c r="J16" s="9" t="n"/>
      <c r="K16" s="9" t="n"/>
      <c r="L16" s="9" t="n"/>
      <c r="M16" s="9" t="n"/>
      <c r="N16" s="9" t="n"/>
      <c r="O16" s="9" t="n"/>
    </row>
    <row r="17">
      <c r="A17" s="24" t="n">
        <v>46238</v>
      </c>
      <c r="B17" s="25" t="inlineStr">
        <is>
          <t>Tuesday</t>
        </is>
      </c>
      <c r="C17" s="25" t="inlineStr">
        <is>
          <t>AUG</t>
        </is>
      </c>
      <c r="D17" s="25" t="n">
        <v>31</v>
      </c>
      <c r="E17" s="25" t="n"/>
      <c r="F17" s="25" t="n"/>
      <c r="G17" s="24" t="n"/>
      <c r="H17" s="25" t="n"/>
      <c r="I17" s="24" t="n"/>
      <c r="J17" s="25" t="n"/>
      <c r="K17" s="25" t="n"/>
      <c r="L17" s="25" t="n"/>
      <c r="M17" s="25" t="n"/>
      <c r="N17" s="25" t="n"/>
      <c r="O17" s="25" t="n"/>
    </row>
    <row r="18">
      <c r="A18" s="16" t="n">
        <v>46238</v>
      </c>
      <c r="B18" s="9" t="inlineStr">
        <is>
          <t>Tuesday</t>
        </is>
      </c>
      <c r="C18" s="9" t="inlineStr">
        <is>
          <t>AUG</t>
        </is>
      </c>
      <c r="D18" s="9" t="n">
        <v>31</v>
      </c>
      <c r="E18" s="9" t="n"/>
      <c r="F18" s="9" t="n"/>
      <c r="G18" s="16" t="n"/>
      <c r="H18" s="9" t="n"/>
      <c r="I18" s="16" t="n"/>
      <c r="J18" s="9" t="n"/>
      <c r="K18" s="9" t="n"/>
      <c r="L18" s="9" t="n"/>
      <c r="M18" s="9" t="n"/>
      <c r="N18" s="9" t="n"/>
      <c r="O18" s="9" t="n"/>
    </row>
    <row r="19">
      <c r="A19" s="16" t="n">
        <v>46238</v>
      </c>
      <c r="B19" s="9" t="inlineStr">
        <is>
          <t>Tuesday</t>
        </is>
      </c>
      <c r="C19" s="9" t="inlineStr">
        <is>
          <t>AUG</t>
        </is>
      </c>
      <c r="D19" s="9" t="n">
        <v>31</v>
      </c>
      <c r="E19" s="9" t="n"/>
      <c r="F19" s="9" t="n"/>
      <c r="G19" s="16" t="n"/>
      <c r="H19" s="9" t="n"/>
      <c r="I19" s="16" t="n"/>
      <c r="J19" s="9" t="n"/>
      <c r="K19" s="9" t="n"/>
      <c r="L19" s="9" t="n"/>
      <c r="M19" s="9" t="n"/>
      <c r="N19" s="9" t="n"/>
      <c r="O19" s="9" t="n"/>
    </row>
    <row r="20">
      <c r="A20" s="16" t="n">
        <v>46238</v>
      </c>
      <c r="B20" s="9" t="inlineStr">
        <is>
          <t>Tuesday</t>
        </is>
      </c>
      <c r="C20" s="9" t="inlineStr">
        <is>
          <t>AUG</t>
        </is>
      </c>
      <c r="D20" s="9" t="n">
        <v>31</v>
      </c>
      <c r="E20" s="9" t="n"/>
      <c r="F20" s="9" t="n"/>
      <c r="G20" s="16" t="n"/>
      <c r="H20" s="9" t="n"/>
      <c r="I20" s="16" t="n"/>
      <c r="J20" s="9" t="n"/>
      <c r="K20" s="9" t="n"/>
      <c r="L20" s="9" t="n"/>
      <c r="M20" s="9" t="n"/>
      <c r="N20" s="9" t="n"/>
      <c r="O20" s="9" t="n"/>
    </row>
    <row r="21">
      <c r="A21" s="16" t="n">
        <v>46238</v>
      </c>
      <c r="B21" s="9" t="inlineStr">
        <is>
          <t>Tuesday</t>
        </is>
      </c>
      <c r="C21" s="9" t="inlineStr">
        <is>
          <t>AUG</t>
        </is>
      </c>
      <c r="D21" s="9" t="n">
        <v>31</v>
      </c>
      <c r="E21" s="9" t="n"/>
      <c r="F21" s="9" t="n"/>
      <c r="G21" s="16" t="n"/>
      <c r="H21" s="9" t="n"/>
      <c r="I21" s="16" t="n"/>
      <c r="J21" s="9" t="n"/>
      <c r="K21" s="9" t="n"/>
      <c r="L21" s="9" t="n"/>
      <c r="M21" s="9" t="n"/>
      <c r="N21" s="9" t="n"/>
      <c r="O21" s="9" t="n"/>
    </row>
    <row r="22">
      <c r="A22" s="24" t="n">
        <v>46239</v>
      </c>
      <c r="B22" s="25" t="inlineStr">
        <is>
          <t>Wednesday</t>
        </is>
      </c>
      <c r="C22" s="25" t="inlineStr">
        <is>
          <t>AUG</t>
        </is>
      </c>
      <c r="D22" s="25" t="n">
        <v>31</v>
      </c>
      <c r="E22" s="25" t="n"/>
      <c r="F22" s="25" t="n"/>
      <c r="G22" s="24" t="n"/>
      <c r="H22" s="25" t="n"/>
      <c r="I22" s="24" t="n"/>
      <c r="J22" s="25" t="n"/>
      <c r="K22" s="25" t="n"/>
      <c r="L22" s="25" t="n"/>
      <c r="M22" s="25" t="n"/>
      <c r="N22" s="25" t="n"/>
      <c r="O22" s="25" t="n"/>
    </row>
    <row r="23">
      <c r="A23" s="16" t="n">
        <v>46239</v>
      </c>
      <c r="B23" s="9" t="inlineStr">
        <is>
          <t>Wednesday</t>
        </is>
      </c>
      <c r="C23" s="9" t="inlineStr">
        <is>
          <t>AUG</t>
        </is>
      </c>
      <c r="D23" s="9" t="n">
        <v>31</v>
      </c>
      <c r="E23" s="9" t="n"/>
      <c r="F23" s="9" t="n"/>
      <c r="G23" s="16" t="n"/>
      <c r="H23" s="9" t="n"/>
      <c r="I23" s="16" t="n"/>
      <c r="J23" s="9" t="n"/>
      <c r="K23" s="9" t="n"/>
      <c r="L23" s="9" t="n"/>
      <c r="M23" s="9" t="n"/>
      <c r="N23" s="9" t="n"/>
      <c r="O23" s="9" t="n"/>
    </row>
    <row r="24">
      <c r="A24" s="16" t="n">
        <v>46239</v>
      </c>
      <c r="B24" s="9" t="inlineStr">
        <is>
          <t>Wednesday</t>
        </is>
      </c>
      <c r="C24" s="9" t="inlineStr">
        <is>
          <t>AUG</t>
        </is>
      </c>
      <c r="D24" s="9" t="n">
        <v>31</v>
      </c>
      <c r="E24" s="9" t="n"/>
      <c r="F24" s="9" t="n"/>
      <c r="G24" s="16" t="n"/>
      <c r="H24" s="9" t="n"/>
      <c r="I24" s="16" t="n"/>
      <c r="J24" s="9" t="n"/>
      <c r="K24" s="9" t="n"/>
      <c r="L24" s="9" t="n"/>
      <c r="M24" s="9" t="n"/>
      <c r="N24" s="9" t="n"/>
      <c r="O24" s="9" t="n"/>
    </row>
    <row r="25">
      <c r="A25" s="16" t="n">
        <v>46239</v>
      </c>
      <c r="B25" s="9" t="inlineStr">
        <is>
          <t>Wednesday</t>
        </is>
      </c>
      <c r="C25" s="9" t="inlineStr">
        <is>
          <t>AUG</t>
        </is>
      </c>
      <c r="D25" s="9" t="n">
        <v>31</v>
      </c>
      <c r="E25" s="9" t="n"/>
      <c r="F25" s="9" t="n"/>
      <c r="G25" s="16" t="n"/>
      <c r="H25" s="9" t="n"/>
      <c r="I25" s="16" t="n"/>
      <c r="J25" s="9" t="n"/>
      <c r="K25" s="9" t="n"/>
      <c r="L25" s="9" t="n"/>
      <c r="M25" s="9" t="n"/>
      <c r="N25" s="9" t="n"/>
      <c r="O25" s="9" t="n"/>
    </row>
    <row r="26">
      <c r="A26" s="16" t="n">
        <v>46239</v>
      </c>
      <c r="B26" s="9" t="inlineStr">
        <is>
          <t>Wednesday</t>
        </is>
      </c>
      <c r="C26" s="9" t="inlineStr">
        <is>
          <t>AUG</t>
        </is>
      </c>
      <c r="D26" s="9" t="n">
        <v>31</v>
      </c>
      <c r="E26" s="9" t="n"/>
      <c r="F26" s="9" t="n"/>
      <c r="G26" s="16" t="n"/>
      <c r="H26" s="9" t="n"/>
      <c r="I26" s="16" t="n"/>
      <c r="J26" s="9" t="n"/>
      <c r="K26" s="9" t="n"/>
      <c r="L26" s="9" t="n"/>
      <c r="M26" s="9" t="n"/>
      <c r="N26" s="9" t="n"/>
      <c r="O26" s="9" t="n"/>
    </row>
    <row r="27">
      <c r="A27" s="24" t="n">
        <v>46240</v>
      </c>
      <c r="B27" s="25" t="inlineStr">
        <is>
          <t>Thursday</t>
        </is>
      </c>
      <c r="C27" s="25" t="inlineStr">
        <is>
          <t>AUG</t>
        </is>
      </c>
      <c r="D27" s="25" t="n">
        <v>31</v>
      </c>
      <c r="E27" s="25" t="n"/>
      <c r="F27" s="25" t="n"/>
      <c r="G27" s="24" t="n"/>
      <c r="H27" s="25" t="n"/>
      <c r="I27" s="24" t="n"/>
      <c r="J27" s="25" t="n"/>
      <c r="K27" s="25" t="n"/>
      <c r="L27" s="25" t="n"/>
      <c r="M27" s="25" t="n"/>
      <c r="N27" s="25" t="n"/>
      <c r="O27" s="25" t="n"/>
    </row>
    <row r="28">
      <c r="A28" s="16" t="n">
        <v>46240</v>
      </c>
      <c r="B28" s="9" t="inlineStr">
        <is>
          <t>Thursday</t>
        </is>
      </c>
      <c r="C28" s="9" t="inlineStr">
        <is>
          <t>AUG</t>
        </is>
      </c>
      <c r="D28" s="9" t="n">
        <v>31</v>
      </c>
      <c r="E28" s="9" t="n"/>
      <c r="F28" s="9" t="n"/>
      <c r="G28" s="16" t="n"/>
      <c r="H28" s="9" t="n"/>
      <c r="I28" s="16" t="n"/>
      <c r="J28" s="9" t="n"/>
      <c r="K28" s="9" t="n"/>
      <c r="L28" s="9" t="n"/>
      <c r="M28" s="9" t="n"/>
      <c r="N28" s="9" t="n"/>
      <c r="O28" s="9" t="n"/>
    </row>
    <row r="29">
      <c r="A29" s="16" t="n">
        <v>46240</v>
      </c>
      <c r="B29" s="9" t="inlineStr">
        <is>
          <t>Thursday</t>
        </is>
      </c>
      <c r="C29" s="9" t="inlineStr">
        <is>
          <t>AUG</t>
        </is>
      </c>
      <c r="D29" s="9" t="n">
        <v>31</v>
      </c>
      <c r="E29" s="9" t="n"/>
      <c r="F29" s="9" t="n"/>
      <c r="G29" s="16" t="n"/>
      <c r="H29" s="9" t="n"/>
      <c r="I29" s="16" t="n"/>
      <c r="J29" s="9" t="n"/>
      <c r="K29" s="9" t="n"/>
      <c r="L29" s="9" t="n"/>
      <c r="M29" s="9" t="n"/>
      <c r="N29" s="9" t="n"/>
      <c r="O29" s="9" t="n"/>
    </row>
    <row r="30">
      <c r="A30" s="16" t="n">
        <v>46240</v>
      </c>
      <c r="B30" s="9" t="inlineStr">
        <is>
          <t>Thursday</t>
        </is>
      </c>
      <c r="C30" s="9" t="inlineStr">
        <is>
          <t>AUG</t>
        </is>
      </c>
      <c r="D30" s="9" t="n">
        <v>31</v>
      </c>
      <c r="E30" s="9" t="n"/>
      <c r="F30" s="9" t="n"/>
      <c r="G30" s="16" t="n"/>
      <c r="H30" s="9" t="n"/>
      <c r="I30" s="16" t="n"/>
      <c r="J30" s="9" t="n"/>
      <c r="K30" s="9" t="n"/>
      <c r="L30" s="9" t="n"/>
      <c r="M30" s="9" t="n"/>
      <c r="N30" s="9" t="n"/>
      <c r="O30" s="9" t="n"/>
    </row>
    <row r="31">
      <c r="A31" s="16" t="n">
        <v>46240</v>
      </c>
      <c r="B31" s="9" t="inlineStr">
        <is>
          <t>Thursday</t>
        </is>
      </c>
      <c r="C31" s="9" t="inlineStr">
        <is>
          <t>AUG</t>
        </is>
      </c>
      <c r="D31" s="9" t="n">
        <v>31</v>
      </c>
      <c r="E31" s="9" t="n"/>
      <c r="F31" s="9" t="n"/>
      <c r="G31" s="16" t="n"/>
      <c r="H31" s="9" t="n"/>
      <c r="I31" s="16" t="n"/>
      <c r="J31" s="9" t="n"/>
      <c r="K31" s="9" t="n"/>
      <c r="L31" s="9" t="n"/>
      <c r="M31" s="9" t="n"/>
      <c r="N31" s="9" t="n"/>
      <c r="O31" s="9" t="n"/>
    </row>
    <row r="32">
      <c r="A32" s="24" t="n">
        <v>46241</v>
      </c>
      <c r="B32" s="25" t="inlineStr">
        <is>
          <t>Friday</t>
        </is>
      </c>
      <c r="C32" s="25" t="inlineStr">
        <is>
          <t>AUG</t>
        </is>
      </c>
      <c r="D32" s="25" t="n">
        <v>32</v>
      </c>
      <c r="E32" s="25" t="n"/>
      <c r="F32" s="25" t="n"/>
      <c r="G32" s="24" t="n"/>
      <c r="H32" s="25" t="n"/>
      <c r="I32" s="24" t="n"/>
      <c r="J32" s="25" t="n"/>
      <c r="K32" s="25" t="n"/>
      <c r="L32" s="25" t="n"/>
      <c r="M32" s="25" t="n"/>
      <c r="N32" s="25" t="n"/>
      <c r="O32" s="25" t="n"/>
    </row>
    <row r="33">
      <c r="A33" s="16" t="n">
        <v>46241</v>
      </c>
      <c r="B33" s="9" t="inlineStr">
        <is>
          <t>Friday</t>
        </is>
      </c>
      <c r="C33" s="9" t="inlineStr">
        <is>
          <t>AUG</t>
        </is>
      </c>
      <c r="D33" s="9" t="n">
        <v>32</v>
      </c>
      <c r="E33" s="9" t="n"/>
      <c r="F33" s="9" t="n"/>
      <c r="G33" s="16" t="n"/>
      <c r="H33" s="9" t="n"/>
      <c r="I33" s="16" t="n"/>
      <c r="J33" s="9" t="n"/>
      <c r="K33" s="9" t="n"/>
      <c r="L33" s="9" t="n"/>
      <c r="M33" s="9" t="n"/>
      <c r="N33" s="9" t="n"/>
      <c r="O33" s="9" t="n"/>
    </row>
    <row r="34">
      <c r="A34" s="16" t="n">
        <v>46241</v>
      </c>
      <c r="B34" s="9" t="inlineStr">
        <is>
          <t>Friday</t>
        </is>
      </c>
      <c r="C34" s="9" t="inlineStr">
        <is>
          <t>AUG</t>
        </is>
      </c>
      <c r="D34" s="9" t="n">
        <v>32</v>
      </c>
      <c r="E34" s="9" t="n"/>
      <c r="F34" s="9" t="n"/>
      <c r="G34" s="16" t="n"/>
      <c r="H34" s="9" t="n"/>
      <c r="I34" s="16" t="n"/>
      <c r="J34" s="9" t="n"/>
      <c r="K34" s="9" t="n"/>
      <c r="L34" s="9" t="n"/>
      <c r="M34" s="9" t="n"/>
      <c r="N34" s="9" t="n"/>
      <c r="O34" s="9" t="n"/>
    </row>
    <row r="35">
      <c r="A35" s="16" t="n">
        <v>46241</v>
      </c>
      <c r="B35" s="9" t="inlineStr">
        <is>
          <t>Friday</t>
        </is>
      </c>
      <c r="C35" s="9" t="inlineStr">
        <is>
          <t>AUG</t>
        </is>
      </c>
      <c r="D35" s="9" t="n">
        <v>32</v>
      </c>
      <c r="E35" s="9" t="n"/>
      <c r="F35" s="9" t="n"/>
      <c r="G35" s="16" t="n"/>
      <c r="H35" s="9" t="n"/>
      <c r="I35" s="16" t="n"/>
      <c r="J35" s="9" t="n"/>
      <c r="K35" s="9" t="n"/>
      <c r="L35" s="9" t="n"/>
      <c r="M35" s="9" t="n"/>
      <c r="N35" s="9" t="n"/>
      <c r="O35" s="9" t="n"/>
    </row>
    <row r="36">
      <c r="A36" s="16" t="n">
        <v>46241</v>
      </c>
      <c r="B36" s="9" t="inlineStr">
        <is>
          <t>Friday</t>
        </is>
      </c>
      <c r="C36" s="9" t="inlineStr">
        <is>
          <t>AUG</t>
        </is>
      </c>
      <c r="D36" s="9" t="n">
        <v>32</v>
      </c>
      <c r="E36" s="9" t="n"/>
      <c r="F36" s="9" t="n"/>
      <c r="G36" s="16" t="n"/>
      <c r="H36" s="9" t="n"/>
      <c r="I36" s="16" t="n"/>
      <c r="J36" s="9" t="n"/>
      <c r="K36" s="9" t="n"/>
      <c r="L36" s="9" t="n"/>
      <c r="M36" s="9" t="n"/>
      <c r="N36" s="9" t="n"/>
      <c r="O36" s="9" t="n"/>
    </row>
    <row r="37">
      <c r="A37" s="24" t="n">
        <v>46242</v>
      </c>
      <c r="B37" s="25" t="inlineStr">
        <is>
          <t>Saturday</t>
        </is>
      </c>
      <c r="C37" s="25" t="inlineStr">
        <is>
          <t>AUG</t>
        </is>
      </c>
      <c r="D37" s="25" t="n">
        <v>32</v>
      </c>
      <c r="E37" s="25" t="n"/>
      <c r="F37" s="25" t="n"/>
      <c r="G37" s="24" t="n"/>
      <c r="H37" s="25" t="n"/>
      <c r="I37" s="24" t="n"/>
      <c r="J37" s="25" t="n"/>
      <c r="K37" s="25" t="n"/>
      <c r="L37" s="25" t="n"/>
      <c r="M37" s="25" t="n"/>
      <c r="N37" s="25" t="n"/>
      <c r="O37" s="25" t="n"/>
    </row>
    <row r="38">
      <c r="A38" s="16" t="n">
        <v>46242</v>
      </c>
      <c r="B38" s="9" t="inlineStr">
        <is>
          <t>Saturday</t>
        </is>
      </c>
      <c r="C38" s="9" t="inlineStr">
        <is>
          <t>AUG</t>
        </is>
      </c>
      <c r="D38" s="9" t="n">
        <v>32</v>
      </c>
      <c r="E38" s="9" t="n"/>
      <c r="F38" s="9" t="n"/>
      <c r="G38" s="16" t="n"/>
      <c r="H38" s="9" t="n"/>
      <c r="I38" s="16" t="n"/>
      <c r="J38" s="9" t="n"/>
      <c r="K38" s="9" t="n"/>
      <c r="L38" s="9" t="n"/>
      <c r="M38" s="9" t="n"/>
      <c r="N38" s="9" t="n"/>
      <c r="O38" s="9" t="n"/>
    </row>
    <row r="39">
      <c r="A39" s="16" t="n">
        <v>46242</v>
      </c>
      <c r="B39" s="9" t="inlineStr">
        <is>
          <t>Saturday</t>
        </is>
      </c>
      <c r="C39" s="9" t="inlineStr">
        <is>
          <t>AUG</t>
        </is>
      </c>
      <c r="D39" s="9" t="n">
        <v>32</v>
      </c>
      <c r="E39" s="9" t="n"/>
      <c r="F39" s="9" t="n"/>
      <c r="G39" s="16" t="n"/>
      <c r="H39" s="9" t="n"/>
      <c r="I39" s="16" t="n"/>
      <c r="J39" s="9" t="n"/>
      <c r="K39" s="9" t="n"/>
      <c r="L39" s="9" t="n"/>
      <c r="M39" s="9" t="n"/>
      <c r="N39" s="9" t="n"/>
      <c r="O39" s="9" t="n"/>
    </row>
    <row r="40">
      <c r="A40" s="16" t="n">
        <v>46242</v>
      </c>
      <c r="B40" s="9" t="inlineStr">
        <is>
          <t>Saturday</t>
        </is>
      </c>
      <c r="C40" s="9" t="inlineStr">
        <is>
          <t>AUG</t>
        </is>
      </c>
      <c r="D40" s="9" t="n">
        <v>32</v>
      </c>
      <c r="E40" s="9" t="n"/>
      <c r="F40" s="9" t="n"/>
      <c r="G40" s="16" t="n"/>
      <c r="H40" s="9" t="n"/>
      <c r="I40" s="16" t="n"/>
      <c r="J40" s="9" t="n"/>
      <c r="K40" s="9" t="n"/>
      <c r="L40" s="9" t="n"/>
      <c r="M40" s="9" t="n"/>
      <c r="N40" s="9" t="n"/>
      <c r="O40" s="9" t="n"/>
    </row>
    <row r="41">
      <c r="A41" s="16" t="n">
        <v>46242</v>
      </c>
      <c r="B41" s="9" t="inlineStr">
        <is>
          <t>Saturday</t>
        </is>
      </c>
      <c r="C41" s="9" t="inlineStr">
        <is>
          <t>AUG</t>
        </is>
      </c>
      <c r="D41" s="9" t="n">
        <v>32</v>
      </c>
      <c r="E41" s="9" t="n"/>
      <c r="F41" s="9" t="n"/>
      <c r="G41" s="16" t="n"/>
      <c r="H41" s="9" t="n"/>
      <c r="I41" s="16" t="n"/>
      <c r="J41" s="9" t="n"/>
      <c r="K41" s="9" t="n"/>
      <c r="L41" s="9" t="n"/>
      <c r="M41" s="9" t="n"/>
      <c r="N41" s="9" t="n"/>
      <c r="O41" s="9" t="n"/>
    </row>
    <row r="42">
      <c r="A42" s="24" t="n">
        <v>46243</v>
      </c>
      <c r="B42" s="25" t="inlineStr">
        <is>
          <t>Sunday</t>
        </is>
      </c>
      <c r="C42" s="25" t="inlineStr">
        <is>
          <t>AUG</t>
        </is>
      </c>
      <c r="D42" s="25" t="n">
        <v>32</v>
      </c>
      <c r="E42" s="25" t="n"/>
      <c r="F42" s="25" t="n"/>
      <c r="G42" s="24" t="n"/>
      <c r="H42" s="25" t="n"/>
      <c r="I42" s="24" t="n"/>
      <c r="J42" s="25" t="n"/>
      <c r="K42" s="25" t="n"/>
      <c r="L42" s="25" t="n"/>
      <c r="M42" s="25" t="n"/>
      <c r="N42" s="25" t="n"/>
      <c r="O42" s="25" t="n"/>
    </row>
    <row r="43">
      <c r="A43" s="16" t="n">
        <v>46243</v>
      </c>
      <c r="B43" s="9" t="inlineStr">
        <is>
          <t>Sunday</t>
        </is>
      </c>
      <c r="C43" s="9" t="inlineStr">
        <is>
          <t>AUG</t>
        </is>
      </c>
      <c r="D43" s="9" t="n">
        <v>32</v>
      </c>
      <c r="E43" s="9" t="n"/>
      <c r="F43" s="9" t="n"/>
      <c r="G43" s="16" t="n"/>
      <c r="H43" s="9" t="n"/>
      <c r="I43" s="16" t="n"/>
      <c r="J43" s="9" t="n"/>
      <c r="K43" s="9" t="n"/>
      <c r="L43" s="9" t="n"/>
      <c r="M43" s="9" t="n"/>
      <c r="N43" s="9" t="n"/>
      <c r="O43" s="9" t="n"/>
    </row>
    <row r="44">
      <c r="A44" s="16" t="n">
        <v>46243</v>
      </c>
      <c r="B44" s="9" t="inlineStr">
        <is>
          <t>Sunday</t>
        </is>
      </c>
      <c r="C44" s="9" t="inlineStr">
        <is>
          <t>AUG</t>
        </is>
      </c>
      <c r="D44" s="9" t="n">
        <v>32</v>
      </c>
      <c r="E44" s="9" t="n"/>
      <c r="F44" s="9" t="n"/>
      <c r="G44" s="16" t="n"/>
      <c r="H44" s="9" t="n"/>
      <c r="I44" s="16" t="n"/>
      <c r="J44" s="9" t="n"/>
      <c r="K44" s="9" t="n"/>
      <c r="L44" s="9" t="n"/>
      <c r="M44" s="9" t="n"/>
      <c r="N44" s="9" t="n"/>
      <c r="O44" s="9" t="n"/>
    </row>
    <row r="45">
      <c r="A45" s="16" t="n">
        <v>46243</v>
      </c>
      <c r="B45" s="9" t="inlineStr">
        <is>
          <t>Sunday</t>
        </is>
      </c>
      <c r="C45" s="9" t="inlineStr">
        <is>
          <t>AUG</t>
        </is>
      </c>
      <c r="D45" s="9" t="n">
        <v>32</v>
      </c>
      <c r="E45" s="9" t="n"/>
      <c r="F45" s="9" t="n"/>
      <c r="G45" s="16" t="n"/>
      <c r="H45" s="9" t="n"/>
      <c r="I45" s="16" t="n"/>
      <c r="J45" s="9" t="n"/>
      <c r="K45" s="9" t="n"/>
      <c r="L45" s="9" t="n"/>
      <c r="M45" s="9" t="n"/>
      <c r="N45" s="9" t="n"/>
      <c r="O45" s="9" t="n"/>
    </row>
    <row r="46">
      <c r="A46" s="16" t="n">
        <v>46243</v>
      </c>
      <c r="B46" s="9" t="inlineStr">
        <is>
          <t>Sunday</t>
        </is>
      </c>
      <c r="C46" s="9" t="inlineStr">
        <is>
          <t>AUG</t>
        </is>
      </c>
      <c r="D46" s="9" t="n">
        <v>32</v>
      </c>
      <c r="E46" s="9" t="n"/>
      <c r="F46" s="9" t="n"/>
      <c r="G46" s="16" t="n"/>
      <c r="H46" s="9" t="n"/>
      <c r="I46" s="16" t="n"/>
      <c r="J46" s="9" t="n"/>
      <c r="K46" s="9" t="n"/>
      <c r="L46" s="9" t="n"/>
      <c r="M46" s="9" t="n"/>
      <c r="N46" s="9" t="n"/>
      <c r="O46" s="9" t="n"/>
    </row>
    <row r="47">
      <c r="A47" s="24" t="n">
        <v>46244</v>
      </c>
      <c r="B47" s="25" t="inlineStr">
        <is>
          <t>Monday</t>
        </is>
      </c>
      <c r="C47" s="25" t="inlineStr">
        <is>
          <t>AUG</t>
        </is>
      </c>
      <c r="D47" s="25" t="n">
        <v>32</v>
      </c>
      <c r="E47" s="25" t="n"/>
      <c r="F47" s="25" t="n"/>
      <c r="G47" s="24" t="n"/>
      <c r="H47" s="25" t="n"/>
      <c r="I47" s="24" t="n"/>
      <c r="J47" s="25" t="n"/>
      <c r="K47" s="25" t="n"/>
      <c r="L47" s="25" t="n"/>
      <c r="M47" s="25" t="n"/>
      <c r="N47" s="25" t="n"/>
      <c r="O47" s="25" t="n"/>
    </row>
    <row r="48">
      <c r="A48" s="16" t="n">
        <v>46244</v>
      </c>
      <c r="B48" s="9" t="inlineStr">
        <is>
          <t>Monday</t>
        </is>
      </c>
      <c r="C48" s="9" t="inlineStr">
        <is>
          <t>AUG</t>
        </is>
      </c>
      <c r="D48" s="9" t="n">
        <v>32</v>
      </c>
      <c r="E48" s="9" t="n"/>
      <c r="F48" s="9" t="n"/>
      <c r="G48" s="16" t="n"/>
      <c r="H48" s="9" t="n"/>
      <c r="I48" s="16" t="n"/>
      <c r="J48" s="9" t="n"/>
      <c r="K48" s="9" t="n"/>
      <c r="L48" s="9" t="n"/>
      <c r="M48" s="9" t="n"/>
      <c r="N48" s="9" t="n"/>
      <c r="O48" s="9" t="n"/>
    </row>
    <row r="49">
      <c r="A49" s="16" t="n">
        <v>46244</v>
      </c>
      <c r="B49" s="9" t="inlineStr">
        <is>
          <t>Monday</t>
        </is>
      </c>
      <c r="C49" s="9" t="inlineStr">
        <is>
          <t>AUG</t>
        </is>
      </c>
      <c r="D49" s="9" t="n">
        <v>32</v>
      </c>
      <c r="E49" s="9" t="n"/>
      <c r="F49" s="9" t="n"/>
      <c r="G49" s="16" t="n"/>
      <c r="H49" s="9" t="n"/>
      <c r="I49" s="16" t="n"/>
      <c r="J49" s="9" t="n"/>
      <c r="K49" s="9" t="n"/>
      <c r="L49" s="9" t="n"/>
      <c r="M49" s="9" t="n"/>
      <c r="N49" s="9" t="n"/>
      <c r="O49" s="9" t="n"/>
    </row>
    <row r="50">
      <c r="A50" s="16" t="n">
        <v>46244</v>
      </c>
      <c r="B50" s="9" t="inlineStr">
        <is>
          <t>Monday</t>
        </is>
      </c>
      <c r="C50" s="9" t="inlineStr">
        <is>
          <t>AUG</t>
        </is>
      </c>
      <c r="D50" s="9" t="n">
        <v>32</v>
      </c>
      <c r="E50" s="9" t="n"/>
      <c r="F50" s="9" t="n"/>
      <c r="G50" s="16" t="n"/>
      <c r="H50" s="9" t="n"/>
      <c r="I50" s="16" t="n"/>
      <c r="J50" s="9" t="n"/>
      <c r="K50" s="9" t="n"/>
      <c r="L50" s="9" t="n"/>
      <c r="M50" s="9" t="n"/>
      <c r="N50" s="9" t="n"/>
      <c r="O50" s="9" t="n"/>
    </row>
    <row r="51">
      <c r="A51" s="16" t="n">
        <v>46244</v>
      </c>
      <c r="B51" s="9" t="inlineStr">
        <is>
          <t>Monday</t>
        </is>
      </c>
      <c r="C51" s="9" t="inlineStr">
        <is>
          <t>AUG</t>
        </is>
      </c>
      <c r="D51" s="9" t="n">
        <v>32</v>
      </c>
      <c r="E51" s="9" t="n"/>
      <c r="F51" s="9" t="n"/>
      <c r="G51" s="16" t="n"/>
      <c r="H51" s="9" t="n"/>
      <c r="I51" s="16" t="n"/>
      <c r="J51" s="9" t="n"/>
      <c r="K51" s="9" t="n"/>
      <c r="L51" s="9" t="n"/>
      <c r="M51" s="9" t="n"/>
      <c r="N51" s="9" t="n"/>
      <c r="O51" s="9" t="n"/>
    </row>
    <row r="52">
      <c r="A52" s="24" t="n">
        <v>46245</v>
      </c>
      <c r="B52" s="25" t="inlineStr">
        <is>
          <t>Tuesday</t>
        </is>
      </c>
      <c r="C52" s="25" t="inlineStr">
        <is>
          <t>AUG</t>
        </is>
      </c>
      <c r="D52" s="25" t="n">
        <v>32</v>
      </c>
      <c r="E52" s="25" t="n"/>
      <c r="F52" s="25" t="n"/>
      <c r="G52" s="24" t="n"/>
      <c r="H52" s="25" t="n"/>
      <c r="I52" s="24" t="n"/>
      <c r="J52" s="25" t="n"/>
      <c r="K52" s="25" t="n"/>
      <c r="L52" s="25" t="n"/>
      <c r="M52" s="25" t="n"/>
      <c r="N52" s="25" t="n"/>
      <c r="O52" s="25" t="n"/>
    </row>
    <row r="53">
      <c r="A53" s="16" t="n">
        <v>46245</v>
      </c>
      <c r="B53" s="9" t="inlineStr">
        <is>
          <t>Tuesday</t>
        </is>
      </c>
      <c r="C53" s="9" t="inlineStr">
        <is>
          <t>AUG</t>
        </is>
      </c>
      <c r="D53" s="9" t="n">
        <v>32</v>
      </c>
      <c r="E53" s="9" t="n"/>
      <c r="F53" s="9" t="n"/>
      <c r="G53" s="16" t="n"/>
      <c r="H53" s="9" t="n"/>
      <c r="I53" s="16" t="n"/>
      <c r="J53" s="9" t="n"/>
      <c r="K53" s="9" t="n"/>
      <c r="L53" s="9" t="n"/>
      <c r="M53" s="9" t="n"/>
      <c r="N53" s="9" t="n"/>
      <c r="O53" s="9" t="n"/>
    </row>
    <row r="54">
      <c r="A54" s="16" t="n">
        <v>46245</v>
      </c>
      <c r="B54" s="9" t="inlineStr">
        <is>
          <t>Tuesday</t>
        </is>
      </c>
      <c r="C54" s="9" t="inlineStr">
        <is>
          <t>AUG</t>
        </is>
      </c>
      <c r="D54" s="9" t="n">
        <v>32</v>
      </c>
      <c r="E54" s="9" t="n"/>
      <c r="F54" s="9" t="n"/>
      <c r="G54" s="16" t="n"/>
      <c r="H54" s="9" t="n"/>
      <c r="I54" s="16" t="n"/>
      <c r="J54" s="9" t="n"/>
      <c r="K54" s="9" t="n"/>
      <c r="L54" s="9" t="n"/>
      <c r="M54" s="9" t="n"/>
      <c r="N54" s="9" t="n"/>
      <c r="O54" s="9" t="n"/>
    </row>
    <row r="55">
      <c r="A55" s="16" t="n">
        <v>46245</v>
      </c>
      <c r="B55" s="9" t="inlineStr">
        <is>
          <t>Tuesday</t>
        </is>
      </c>
      <c r="C55" s="9" t="inlineStr">
        <is>
          <t>AUG</t>
        </is>
      </c>
      <c r="D55" s="9" t="n">
        <v>32</v>
      </c>
      <c r="E55" s="9" t="n"/>
      <c r="F55" s="9" t="n"/>
      <c r="G55" s="16" t="n"/>
      <c r="H55" s="9" t="n"/>
      <c r="I55" s="16" t="n"/>
      <c r="J55" s="9" t="n"/>
      <c r="K55" s="9" t="n"/>
      <c r="L55" s="9" t="n"/>
      <c r="M55" s="9" t="n"/>
      <c r="N55" s="9" t="n"/>
      <c r="O55" s="9" t="n"/>
    </row>
    <row r="56">
      <c r="A56" s="16" t="n">
        <v>46245</v>
      </c>
      <c r="B56" s="9" t="inlineStr">
        <is>
          <t>Tuesday</t>
        </is>
      </c>
      <c r="C56" s="9" t="inlineStr">
        <is>
          <t>AUG</t>
        </is>
      </c>
      <c r="D56" s="9" t="n">
        <v>32</v>
      </c>
      <c r="E56" s="9" t="n"/>
      <c r="F56" s="9" t="n"/>
      <c r="G56" s="16" t="n"/>
      <c r="H56" s="9" t="n"/>
      <c r="I56" s="16" t="n"/>
      <c r="J56" s="9" t="n"/>
      <c r="K56" s="9" t="n"/>
      <c r="L56" s="9" t="n"/>
      <c r="M56" s="9" t="n"/>
      <c r="N56" s="9" t="n"/>
      <c r="O56" s="9" t="n"/>
    </row>
    <row r="57">
      <c r="A57" s="24" t="n">
        <v>46246</v>
      </c>
      <c r="B57" s="25" t="inlineStr">
        <is>
          <t>Wednesday</t>
        </is>
      </c>
      <c r="C57" s="25" t="inlineStr">
        <is>
          <t>AUG</t>
        </is>
      </c>
      <c r="D57" s="25" t="n">
        <v>32</v>
      </c>
      <c r="E57" s="25" t="n"/>
      <c r="F57" s="25" t="n"/>
      <c r="G57" s="24" t="n"/>
      <c r="H57" s="25" t="n"/>
      <c r="I57" s="24" t="n"/>
      <c r="J57" s="25" t="n"/>
      <c r="K57" s="25" t="n"/>
      <c r="L57" s="25" t="n"/>
      <c r="M57" s="25" t="n"/>
      <c r="N57" s="25" t="n"/>
      <c r="O57" s="25" t="n"/>
    </row>
    <row r="58">
      <c r="A58" s="16" t="n">
        <v>46246</v>
      </c>
      <c r="B58" s="9" t="inlineStr">
        <is>
          <t>Wednesday</t>
        </is>
      </c>
      <c r="C58" s="9" t="inlineStr">
        <is>
          <t>AUG</t>
        </is>
      </c>
      <c r="D58" s="9" t="n">
        <v>32</v>
      </c>
      <c r="E58" s="9" t="n"/>
      <c r="F58" s="9" t="n"/>
      <c r="G58" s="16" t="n"/>
      <c r="H58" s="9" t="n"/>
      <c r="I58" s="16" t="n"/>
      <c r="J58" s="9" t="n"/>
      <c r="K58" s="9" t="n"/>
      <c r="L58" s="9" t="n"/>
      <c r="M58" s="9" t="n"/>
      <c r="N58" s="9" t="n"/>
      <c r="O58" s="9" t="n"/>
    </row>
    <row r="59">
      <c r="A59" s="16" t="n">
        <v>46246</v>
      </c>
      <c r="B59" s="9" t="inlineStr">
        <is>
          <t>Wednesday</t>
        </is>
      </c>
      <c r="C59" s="9" t="inlineStr">
        <is>
          <t>AUG</t>
        </is>
      </c>
      <c r="D59" s="9" t="n">
        <v>32</v>
      </c>
      <c r="E59" s="9" t="n"/>
      <c r="F59" s="9" t="n"/>
      <c r="G59" s="16" t="n"/>
      <c r="H59" s="9" t="n"/>
      <c r="I59" s="16" t="n"/>
      <c r="J59" s="9" t="n"/>
      <c r="K59" s="9" t="n"/>
      <c r="L59" s="9" t="n"/>
      <c r="M59" s="9" t="n"/>
      <c r="N59" s="9" t="n"/>
      <c r="O59" s="9" t="n"/>
    </row>
    <row r="60">
      <c r="A60" s="16" t="n">
        <v>46246</v>
      </c>
      <c r="B60" s="9" t="inlineStr">
        <is>
          <t>Wednesday</t>
        </is>
      </c>
      <c r="C60" s="9" t="inlineStr">
        <is>
          <t>AUG</t>
        </is>
      </c>
      <c r="D60" s="9" t="n">
        <v>32</v>
      </c>
      <c r="E60" s="9" t="n"/>
      <c r="F60" s="9" t="n"/>
      <c r="G60" s="16" t="n"/>
      <c r="H60" s="9" t="n"/>
      <c r="I60" s="16" t="n"/>
      <c r="J60" s="9" t="n"/>
      <c r="K60" s="9" t="n"/>
      <c r="L60" s="9" t="n"/>
      <c r="M60" s="9" t="n"/>
      <c r="N60" s="9" t="n"/>
      <c r="O60" s="9" t="n"/>
    </row>
    <row r="61">
      <c r="A61" s="16" t="n">
        <v>46246</v>
      </c>
      <c r="B61" s="9" t="inlineStr">
        <is>
          <t>Wednesday</t>
        </is>
      </c>
      <c r="C61" s="9" t="inlineStr">
        <is>
          <t>AUG</t>
        </is>
      </c>
      <c r="D61" s="9" t="n">
        <v>32</v>
      </c>
      <c r="E61" s="9" t="n"/>
      <c r="F61" s="9" t="n"/>
      <c r="G61" s="16" t="n"/>
      <c r="H61" s="9" t="n"/>
      <c r="I61" s="16" t="n"/>
      <c r="J61" s="9" t="n"/>
      <c r="K61" s="9" t="n"/>
      <c r="L61" s="9" t="n"/>
      <c r="M61" s="9" t="n"/>
      <c r="N61" s="9" t="n"/>
      <c r="O61" s="9" t="n"/>
    </row>
    <row r="62">
      <c r="A62" s="24" t="n">
        <v>46247</v>
      </c>
      <c r="B62" s="25" t="inlineStr">
        <is>
          <t>Thursday</t>
        </is>
      </c>
      <c r="C62" s="25" t="inlineStr">
        <is>
          <t>AUG</t>
        </is>
      </c>
      <c r="D62" s="25" t="n">
        <v>32</v>
      </c>
      <c r="E62" s="25" t="n"/>
      <c r="F62" s="25" t="n"/>
      <c r="G62" s="24" t="n"/>
      <c r="H62" s="25" t="n"/>
      <c r="I62" s="24" t="n"/>
      <c r="J62" s="25" t="n"/>
      <c r="K62" s="25" t="n"/>
      <c r="L62" s="25" t="n"/>
      <c r="M62" s="25" t="n"/>
      <c r="N62" s="25" t="n"/>
      <c r="O62" s="25" t="n"/>
    </row>
    <row r="63">
      <c r="A63" s="16" t="n">
        <v>46247</v>
      </c>
      <c r="B63" s="9" t="inlineStr">
        <is>
          <t>Thursday</t>
        </is>
      </c>
      <c r="C63" s="9" t="inlineStr">
        <is>
          <t>AUG</t>
        </is>
      </c>
      <c r="D63" s="9" t="n">
        <v>32</v>
      </c>
      <c r="E63" s="9" t="n"/>
      <c r="F63" s="9" t="n"/>
      <c r="G63" s="16" t="n"/>
      <c r="H63" s="9" t="n"/>
      <c r="I63" s="16" t="n"/>
      <c r="J63" s="9" t="n"/>
      <c r="K63" s="9" t="n"/>
      <c r="L63" s="9" t="n"/>
      <c r="M63" s="9" t="n"/>
      <c r="N63" s="9" t="n"/>
      <c r="O63" s="9" t="n"/>
    </row>
    <row r="64">
      <c r="A64" s="16" t="n">
        <v>46247</v>
      </c>
      <c r="B64" s="9" t="inlineStr">
        <is>
          <t>Thursday</t>
        </is>
      </c>
      <c r="C64" s="9" t="inlineStr">
        <is>
          <t>AUG</t>
        </is>
      </c>
      <c r="D64" s="9" t="n">
        <v>32</v>
      </c>
      <c r="E64" s="9" t="n"/>
      <c r="F64" s="9" t="n"/>
      <c r="G64" s="16" t="n"/>
      <c r="H64" s="9" t="n"/>
      <c r="I64" s="16" t="n"/>
      <c r="J64" s="9" t="n"/>
      <c r="K64" s="9" t="n"/>
      <c r="L64" s="9" t="n"/>
      <c r="M64" s="9" t="n"/>
      <c r="N64" s="9" t="n"/>
      <c r="O64" s="9" t="n"/>
    </row>
    <row r="65">
      <c r="A65" s="16" t="n">
        <v>46247</v>
      </c>
      <c r="B65" s="9" t="inlineStr">
        <is>
          <t>Thursday</t>
        </is>
      </c>
      <c r="C65" s="9" t="inlineStr">
        <is>
          <t>AUG</t>
        </is>
      </c>
      <c r="D65" s="9" t="n">
        <v>32</v>
      </c>
      <c r="E65" s="9" t="n"/>
      <c r="F65" s="9" t="n"/>
      <c r="G65" s="16" t="n"/>
      <c r="H65" s="9" t="n"/>
      <c r="I65" s="16" t="n"/>
      <c r="J65" s="9" t="n"/>
      <c r="K65" s="9" t="n"/>
      <c r="L65" s="9" t="n"/>
      <c r="M65" s="9" t="n"/>
      <c r="N65" s="9" t="n"/>
      <c r="O65" s="9" t="n"/>
    </row>
    <row r="66">
      <c r="A66" s="16" t="n">
        <v>46247</v>
      </c>
      <c r="B66" s="9" t="inlineStr">
        <is>
          <t>Thursday</t>
        </is>
      </c>
      <c r="C66" s="9" t="inlineStr">
        <is>
          <t>AUG</t>
        </is>
      </c>
      <c r="D66" s="9" t="n">
        <v>32</v>
      </c>
      <c r="E66" s="9" t="n"/>
      <c r="F66" s="9" t="n"/>
      <c r="G66" s="16" t="n"/>
      <c r="H66" s="9" t="n"/>
      <c r="I66" s="16" t="n"/>
      <c r="J66" s="9" t="n"/>
      <c r="K66" s="9" t="n"/>
      <c r="L66" s="9" t="n"/>
      <c r="M66" s="9" t="n"/>
      <c r="N66" s="9" t="n"/>
      <c r="O66" s="9" t="n"/>
    </row>
    <row r="67">
      <c r="A67" s="24" t="n">
        <v>46248</v>
      </c>
      <c r="B67" s="25" t="inlineStr">
        <is>
          <t>Friday</t>
        </is>
      </c>
      <c r="C67" s="25" t="inlineStr">
        <is>
          <t>AUG</t>
        </is>
      </c>
      <c r="D67" s="25" t="n">
        <v>33</v>
      </c>
      <c r="E67" s="25" t="n"/>
      <c r="F67" s="25" t="n"/>
      <c r="G67" s="24" t="n"/>
      <c r="H67" s="25" t="n"/>
      <c r="I67" s="24" t="n"/>
      <c r="J67" s="25" t="n"/>
      <c r="K67" s="25" t="n"/>
      <c r="L67" s="25" t="n"/>
      <c r="M67" s="25" t="n"/>
      <c r="N67" s="25" t="n"/>
      <c r="O67" s="25" t="n"/>
    </row>
    <row r="68">
      <c r="A68" s="16" t="n">
        <v>46248</v>
      </c>
      <c r="B68" s="9" t="inlineStr">
        <is>
          <t>Friday</t>
        </is>
      </c>
      <c r="C68" s="9" t="inlineStr">
        <is>
          <t>AUG</t>
        </is>
      </c>
      <c r="D68" s="9" t="n">
        <v>33</v>
      </c>
      <c r="E68" s="9" t="n"/>
      <c r="F68" s="9" t="n"/>
      <c r="G68" s="16" t="n"/>
      <c r="H68" s="9" t="n"/>
      <c r="I68" s="16" t="n"/>
      <c r="J68" s="9" t="n"/>
      <c r="K68" s="9" t="n"/>
      <c r="L68" s="9" t="n"/>
      <c r="M68" s="9" t="n"/>
      <c r="N68" s="9" t="n"/>
      <c r="O68" s="9" t="n"/>
    </row>
    <row r="69">
      <c r="A69" s="16" t="n">
        <v>46248</v>
      </c>
      <c r="B69" s="9" t="inlineStr">
        <is>
          <t>Friday</t>
        </is>
      </c>
      <c r="C69" s="9" t="inlineStr">
        <is>
          <t>AUG</t>
        </is>
      </c>
      <c r="D69" s="9" t="n">
        <v>33</v>
      </c>
      <c r="E69" s="9" t="n"/>
      <c r="F69" s="9" t="n"/>
      <c r="G69" s="16" t="n"/>
      <c r="H69" s="9" t="n"/>
      <c r="I69" s="16" t="n"/>
      <c r="J69" s="9" t="n"/>
      <c r="K69" s="9" t="n"/>
      <c r="L69" s="9" t="n"/>
      <c r="M69" s="9" t="n"/>
      <c r="N69" s="9" t="n"/>
      <c r="O69" s="9" t="n"/>
    </row>
    <row r="70">
      <c r="A70" s="16" t="n">
        <v>46248</v>
      </c>
      <c r="B70" s="9" t="inlineStr">
        <is>
          <t>Friday</t>
        </is>
      </c>
      <c r="C70" s="9" t="inlineStr">
        <is>
          <t>AUG</t>
        </is>
      </c>
      <c r="D70" s="9" t="n">
        <v>33</v>
      </c>
      <c r="E70" s="9" t="n"/>
      <c r="F70" s="9" t="n"/>
      <c r="G70" s="16" t="n"/>
      <c r="H70" s="9" t="n"/>
      <c r="I70" s="16" t="n"/>
      <c r="J70" s="9" t="n"/>
      <c r="K70" s="9" t="n"/>
      <c r="L70" s="9" t="n"/>
      <c r="M70" s="9" t="n"/>
      <c r="N70" s="9" t="n"/>
      <c r="O70" s="9" t="n"/>
    </row>
    <row r="71">
      <c r="A71" s="16" t="n">
        <v>46248</v>
      </c>
      <c r="B71" s="9" t="inlineStr">
        <is>
          <t>Friday</t>
        </is>
      </c>
      <c r="C71" s="9" t="inlineStr">
        <is>
          <t>AUG</t>
        </is>
      </c>
      <c r="D71" s="9" t="n">
        <v>33</v>
      </c>
      <c r="E71" s="9" t="n"/>
      <c r="F71" s="9" t="n"/>
      <c r="G71" s="16" t="n"/>
      <c r="H71" s="9" t="n"/>
      <c r="I71" s="16" t="n"/>
      <c r="J71" s="9" t="n"/>
      <c r="K71" s="9" t="n"/>
      <c r="L71" s="9" t="n"/>
      <c r="M71" s="9" t="n"/>
      <c r="N71" s="9" t="n"/>
      <c r="O71" s="9" t="n"/>
    </row>
    <row r="72">
      <c r="A72" s="24" t="n">
        <v>46249</v>
      </c>
      <c r="B72" s="25" t="inlineStr">
        <is>
          <t>Saturday</t>
        </is>
      </c>
      <c r="C72" s="25" t="inlineStr">
        <is>
          <t>AUG</t>
        </is>
      </c>
      <c r="D72" s="25" t="n">
        <v>33</v>
      </c>
      <c r="E72" s="25" t="n"/>
      <c r="F72" s="25" t="n"/>
      <c r="G72" s="24" t="n"/>
      <c r="H72" s="25" t="n"/>
      <c r="I72" s="24" t="n"/>
      <c r="J72" s="25" t="n"/>
      <c r="K72" s="25" t="n"/>
      <c r="L72" s="25" t="n"/>
      <c r="M72" s="25" t="n"/>
      <c r="N72" s="25" t="n"/>
      <c r="O72" s="25" t="n"/>
    </row>
    <row r="73">
      <c r="A73" s="16" t="n">
        <v>46249</v>
      </c>
      <c r="B73" s="9" t="inlineStr">
        <is>
          <t>Saturday</t>
        </is>
      </c>
      <c r="C73" s="9" t="inlineStr">
        <is>
          <t>AUG</t>
        </is>
      </c>
      <c r="D73" s="9" t="n">
        <v>33</v>
      </c>
      <c r="E73" s="9" t="n"/>
      <c r="F73" s="9" t="n"/>
      <c r="G73" s="16" t="n"/>
      <c r="H73" s="9" t="n"/>
      <c r="I73" s="16" t="n"/>
      <c r="J73" s="9" t="n"/>
      <c r="K73" s="9" t="n"/>
      <c r="L73" s="9" t="n"/>
      <c r="M73" s="9" t="n"/>
      <c r="N73" s="9" t="n"/>
      <c r="O73" s="9" t="n"/>
    </row>
    <row r="74">
      <c r="A74" s="16" t="n">
        <v>46249</v>
      </c>
      <c r="B74" s="9" t="inlineStr">
        <is>
          <t>Saturday</t>
        </is>
      </c>
      <c r="C74" s="9" t="inlineStr">
        <is>
          <t>AUG</t>
        </is>
      </c>
      <c r="D74" s="9" t="n">
        <v>33</v>
      </c>
      <c r="E74" s="9" t="n"/>
      <c r="F74" s="9" t="n"/>
      <c r="G74" s="16" t="n"/>
      <c r="H74" s="9" t="n"/>
      <c r="I74" s="16" t="n"/>
      <c r="J74" s="9" t="n"/>
      <c r="K74" s="9" t="n"/>
      <c r="L74" s="9" t="n"/>
      <c r="M74" s="9" t="n"/>
      <c r="N74" s="9" t="n"/>
      <c r="O74" s="9" t="n"/>
    </row>
    <row r="75">
      <c r="A75" s="16" t="n">
        <v>46249</v>
      </c>
      <c r="B75" s="9" t="inlineStr">
        <is>
          <t>Saturday</t>
        </is>
      </c>
      <c r="C75" s="9" t="inlineStr">
        <is>
          <t>AUG</t>
        </is>
      </c>
      <c r="D75" s="9" t="n">
        <v>33</v>
      </c>
      <c r="E75" s="9" t="n"/>
      <c r="F75" s="9" t="n"/>
      <c r="G75" s="16" t="n"/>
      <c r="H75" s="9" t="n"/>
      <c r="I75" s="16" t="n"/>
      <c r="J75" s="9" t="n"/>
      <c r="K75" s="9" t="n"/>
      <c r="L75" s="9" t="n"/>
      <c r="M75" s="9" t="n"/>
      <c r="N75" s="9" t="n"/>
      <c r="O75" s="9" t="n"/>
    </row>
    <row r="76">
      <c r="A76" s="16" t="n">
        <v>46249</v>
      </c>
      <c r="B76" s="9" t="inlineStr">
        <is>
          <t>Saturday</t>
        </is>
      </c>
      <c r="C76" s="9" t="inlineStr">
        <is>
          <t>AUG</t>
        </is>
      </c>
      <c r="D76" s="9" t="n">
        <v>33</v>
      </c>
      <c r="E76" s="9" t="n"/>
      <c r="F76" s="9" t="n"/>
      <c r="G76" s="16" t="n"/>
      <c r="H76" s="9" t="n"/>
      <c r="I76" s="16" t="n"/>
      <c r="J76" s="9" t="n"/>
      <c r="K76" s="9" t="n"/>
      <c r="L76" s="9" t="n"/>
      <c r="M76" s="9" t="n"/>
      <c r="N76" s="9" t="n"/>
      <c r="O76" s="9" t="n"/>
    </row>
    <row r="77">
      <c r="A77" s="24" t="n">
        <v>46250</v>
      </c>
      <c r="B77" s="25" t="inlineStr">
        <is>
          <t>Sunday</t>
        </is>
      </c>
      <c r="C77" s="25" t="inlineStr">
        <is>
          <t>AUG</t>
        </is>
      </c>
      <c r="D77" s="25" t="n">
        <v>33</v>
      </c>
      <c r="E77" s="25" t="n"/>
      <c r="F77" s="25" t="n"/>
      <c r="G77" s="24" t="n"/>
      <c r="H77" s="25" t="n"/>
      <c r="I77" s="24" t="n"/>
      <c r="J77" s="25" t="n"/>
      <c r="K77" s="25" t="n"/>
      <c r="L77" s="25" t="n"/>
      <c r="M77" s="25" t="n"/>
      <c r="N77" s="25" t="n"/>
      <c r="O77" s="25" t="n"/>
    </row>
    <row r="78">
      <c r="A78" s="16" t="n">
        <v>46250</v>
      </c>
      <c r="B78" s="9" t="inlineStr">
        <is>
          <t>Sunday</t>
        </is>
      </c>
      <c r="C78" s="9" t="inlineStr">
        <is>
          <t>AUG</t>
        </is>
      </c>
      <c r="D78" s="9" t="n">
        <v>33</v>
      </c>
      <c r="E78" s="9" t="n"/>
      <c r="F78" s="9" t="n"/>
      <c r="G78" s="16" t="n"/>
      <c r="H78" s="9" t="n"/>
      <c r="I78" s="16" t="n"/>
      <c r="J78" s="9" t="n"/>
      <c r="K78" s="9" t="n"/>
      <c r="L78" s="9" t="n"/>
      <c r="M78" s="9" t="n"/>
      <c r="N78" s="9" t="n"/>
      <c r="O78" s="9" t="n"/>
    </row>
    <row r="79">
      <c r="A79" s="16" t="n">
        <v>46250</v>
      </c>
      <c r="B79" s="9" t="inlineStr">
        <is>
          <t>Sunday</t>
        </is>
      </c>
      <c r="C79" s="9" t="inlineStr">
        <is>
          <t>AUG</t>
        </is>
      </c>
      <c r="D79" s="9" t="n">
        <v>33</v>
      </c>
      <c r="E79" s="9" t="n"/>
      <c r="F79" s="9" t="n"/>
      <c r="G79" s="16" t="n"/>
      <c r="H79" s="9" t="n"/>
      <c r="I79" s="16" t="n"/>
      <c r="J79" s="9" t="n"/>
      <c r="K79" s="9" t="n"/>
      <c r="L79" s="9" t="n"/>
      <c r="M79" s="9" t="n"/>
      <c r="N79" s="9" t="n"/>
      <c r="O79" s="9" t="n"/>
    </row>
    <row r="80">
      <c r="A80" s="16" t="n">
        <v>46250</v>
      </c>
      <c r="B80" s="9" t="inlineStr">
        <is>
          <t>Sunday</t>
        </is>
      </c>
      <c r="C80" s="9" t="inlineStr">
        <is>
          <t>AUG</t>
        </is>
      </c>
      <c r="D80" s="9" t="n">
        <v>33</v>
      </c>
      <c r="E80" s="9" t="n"/>
      <c r="F80" s="9" t="n"/>
      <c r="G80" s="16" t="n"/>
      <c r="H80" s="9" t="n"/>
      <c r="I80" s="16" t="n"/>
      <c r="J80" s="9" t="n"/>
      <c r="K80" s="9" t="n"/>
      <c r="L80" s="9" t="n"/>
      <c r="M80" s="9" t="n"/>
      <c r="N80" s="9" t="n"/>
      <c r="O80" s="9" t="n"/>
    </row>
    <row r="81">
      <c r="A81" s="16" t="n">
        <v>46250</v>
      </c>
      <c r="B81" s="9" t="inlineStr">
        <is>
          <t>Sunday</t>
        </is>
      </c>
      <c r="C81" s="9" t="inlineStr">
        <is>
          <t>AUG</t>
        </is>
      </c>
      <c r="D81" s="9" t="n">
        <v>33</v>
      </c>
      <c r="E81" s="9" t="n"/>
      <c r="F81" s="9" t="n"/>
      <c r="G81" s="16" t="n"/>
      <c r="H81" s="9" t="n"/>
      <c r="I81" s="16" t="n"/>
      <c r="J81" s="9" t="n"/>
      <c r="K81" s="9" t="n"/>
      <c r="L81" s="9" t="n"/>
      <c r="M81" s="9" t="n"/>
      <c r="N81" s="9" t="n"/>
      <c r="O81" s="9" t="n"/>
    </row>
    <row r="82">
      <c r="A82" s="24" t="n">
        <v>46251</v>
      </c>
      <c r="B82" s="25" t="inlineStr">
        <is>
          <t>Monday</t>
        </is>
      </c>
      <c r="C82" s="25" t="inlineStr">
        <is>
          <t>AUG</t>
        </is>
      </c>
      <c r="D82" s="25" t="n">
        <v>33</v>
      </c>
      <c r="E82" s="25" t="n"/>
      <c r="F82" s="25" t="n"/>
      <c r="G82" s="24" t="n"/>
      <c r="H82" s="25" t="n"/>
      <c r="I82" s="24" t="n"/>
      <c r="J82" s="25" t="n"/>
      <c r="K82" s="25" t="n"/>
      <c r="L82" s="25" t="n"/>
      <c r="M82" s="25" t="n"/>
      <c r="N82" s="25" t="n"/>
      <c r="O82" s="25" t="n"/>
    </row>
    <row r="83">
      <c r="A83" s="16" t="n">
        <v>46251</v>
      </c>
      <c r="B83" s="9" t="inlineStr">
        <is>
          <t>Monday</t>
        </is>
      </c>
      <c r="C83" s="9" t="inlineStr">
        <is>
          <t>AUG</t>
        </is>
      </c>
      <c r="D83" s="9" t="n">
        <v>33</v>
      </c>
      <c r="E83" s="9" t="n"/>
      <c r="F83" s="9" t="n"/>
      <c r="G83" s="16" t="n"/>
      <c r="H83" s="9" t="n"/>
      <c r="I83" s="16" t="n"/>
      <c r="J83" s="9" t="n"/>
      <c r="K83" s="9" t="n"/>
      <c r="L83" s="9" t="n"/>
      <c r="M83" s="9" t="n"/>
      <c r="N83" s="9" t="n"/>
      <c r="O83" s="9" t="n"/>
    </row>
    <row r="84">
      <c r="A84" s="16" t="n">
        <v>46251</v>
      </c>
      <c r="B84" s="9" t="inlineStr">
        <is>
          <t>Monday</t>
        </is>
      </c>
      <c r="C84" s="9" t="inlineStr">
        <is>
          <t>AUG</t>
        </is>
      </c>
      <c r="D84" s="9" t="n">
        <v>33</v>
      </c>
      <c r="E84" s="9" t="n"/>
      <c r="F84" s="9" t="n"/>
      <c r="G84" s="16" t="n"/>
      <c r="H84" s="9" t="n"/>
      <c r="I84" s="16" t="n"/>
      <c r="J84" s="9" t="n"/>
      <c r="K84" s="9" t="n"/>
      <c r="L84" s="9" t="n"/>
      <c r="M84" s="9" t="n"/>
      <c r="N84" s="9" t="n"/>
      <c r="O84" s="9" t="n"/>
    </row>
    <row r="85">
      <c r="A85" s="16" t="n">
        <v>46251</v>
      </c>
      <c r="B85" s="9" t="inlineStr">
        <is>
          <t>Monday</t>
        </is>
      </c>
      <c r="C85" s="9" t="inlineStr">
        <is>
          <t>AUG</t>
        </is>
      </c>
      <c r="D85" s="9" t="n">
        <v>33</v>
      </c>
      <c r="E85" s="9" t="n"/>
      <c r="F85" s="9" t="n"/>
      <c r="G85" s="16" t="n"/>
      <c r="H85" s="9" t="n"/>
      <c r="I85" s="16" t="n"/>
      <c r="J85" s="9" t="n"/>
      <c r="K85" s="9" t="n"/>
      <c r="L85" s="9" t="n"/>
      <c r="M85" s="9" t="n"/>
      <c r="N85" s="9" t="n"/>
      <c r="O85" s="9" t="n"/>
    </row>
    <row r="86">
      <c r="A86" s="16" t="n">
        <v>46251</v>
      </c>
      <c r="B86" s="9" t="inlineStr">
        <is>
          <t>Monday</t>
        </is>
      </c>
      <c r="C86" s="9" t="inlineStr">
        <is>
          <t>AUG</t>
        </is>
      </c>
      <c r="D86" s="9" t="n">
        <v>33</v>
      </c>
      <c r="E86" s="9" t="n"/>
      <c r="F86" s="9" t="n"/>
      <c r="G86" s="16" t="n"/>
      <c r="H86" s="9" t="n"/>
      <c r="I86" s="16" t="n"/>
      <c r="J86" s="9" t="n"/>
      <c r="K86" s="9" t="n"/>
      <c r="L86" s="9" t="n"/>
      <c r="M86" s="9" t="n"/>
      <c r="N86" s="9" t="n"/>
      <c r="O86" s="9" t="n"/>
    </row>
    <row r="87">
      <c r="A87" s="24" t="n">
        <v>46252</v>
      </c>
      <c r="B87" s="25" t="inlineStr">
        <is>
          <t>Tuesday</t>
        </is>
      </c>
      <c r="C87" s="25" t="inlineStr">
        <is>
          <t>AUG</t>
        </is>
      </c>
      <c r="D87" s="25" t="n">
        <v>33</v>
      </c>
      <c r="E87" s="25" t="n"/>
      <c r="F87" s="25" t="n"/>
      <c r="G87" s="24" t="n"/>
      <c r="H87" s="25" t="n"/>
      <c r="I87" s="24" t="n"/>
      <c r="J87" s="25" t="n"/>
      <c r="K87" s="25" t="n"/>
      <c r="L87" s="25" t="n"/>
      <c r="M87" s="25" t="n"/>
      <c r="N87" s="25" t="n"/>
      <c r="O87" s="25" t="n"/>
    </row>
    <row r="88">
      <c r="A88" s="16" t="n">
        <v>46252</v>
      </c>
      <c r="B88" s="9" t="inlineStr">
        <is>
          <t>Tuesday</t>
        </is>
      </c>
      <c r="C88" s="9" t="inlineStr">
        <is>
          <t>AUG</t>
        </is>
      </c>
      <c r="D88" s="9" t="n">
        <v>33</v>
      </c>
      <c r="E88" s="9" t="n"/>
      <c r="F88" s="9" t="n"/>
      <c r="G88" s="16" t="n"/>
      <c r="H88" s="9" t="n"/>
      <c r="I88" s="16" t="n"/>
      <c r="J88" s="9" t="n"/>
      <c r="K88" s="9" t="n"/>
      <c r="L88" s="9" t="n"/>
      <c r="M88" s="9" t="n"/>
      <c r="N88" s="9" t="n"/>
      <c r="O88" s="9" t="n"/>
    </row>
    <row r="89">
      <c r="A89" s="16" t="n">
        <v>46252</v>
      </c>
      <c r="B89" s="9" t="inlineStr">
        <is>
          <t>Tuesday</t>
        </is>
      </c>
      <c r="C89" s="9" t="inlineStr">
        <is>
          <t>AUG</t>
        </is>
      </c>
      <c r="D89" s="9" t="n">
        <v>33</v>
      </c>
      <c r="E89" s="9" t="n"/>
      <c r="F89" s="9" t="n"/>
      <c r="G89" s="16" t="n"/>
      <c r="H89" s="9" t="n"/>
      <c r="I89" s="16" t="n"/>
      <c r="J89" s="9" t="n"/>
      <c r="K89" s="9" t="n"/>
      <c r="L89" s="9" t="n"/>
      <c r="M89" s="9" t="n"/>
      <c r="N89" s="9" t="n"/>
      <c r="O89" s="9" t="n"/>
    </row>
    <row r="90">
      <c r="A90" s="16" t="n">
        <v>46252</v>
      </c>
      <c r="B90" s="9" t="inlineStr">
        <is>
          <t>Tuesday</t>
        </is>
      </c>
      <c r="C90" s="9" t="inlineStr">
        <is>
          <t>AUG</t>
        </is>
      </c>
      <c r="D90" s="9" t="n">
        <v>33</v>
      </c>
      <c r="E90" s="9" t="n"/>
      <c r="F90" s="9" t="n"/>
      <c r="G90" s="16" t="n"/>
      <c r="H90" s="9" t="n"/>
      <c r="I90" s="16" t="n"/>
      <c r="J90" s="9" t="n"/>
      <c r="K90" s="9" t="n"/>
      <c r="L90" s="9" t="n"/>
      <c r="M90" s="9" t="n"/>
      <c r="N90" s="9" t="n"/>
      <c r="O90" s="9" t="n"/>
    </row>
    <row r="91">
      <c r="A91" s="16" t="n">
        <v>46252</v>
      </c>
      <c r="B91" s="9" t="inlineStr">
        <is>
          <t>Tuesday</t>
        </is>
      </c>
      <c r="C91" s="9" t="inlineStr">
        <is>
          <t>AUG</t>
        </is>
      </c>
      <c r="D91" s="9" t="n">
        <v>33</v>
      </c>
      <c r="E91" s="9" t="n"/>
      <c r="F91" s="9" t="n"/>
      <c r="G91" s="16" t="n"/>
      <c r="H91" s="9" t="n"/>
      <c r="I91" s="16" t="n"/>
      <c r="J91" s="9" t="n"/>
      <c r="K91" s="9" t="n"/>
      <c r="L91" s="9" t="n"/>
      <c r="M91" s="9" t="n"/>
      <c r="N91" s="9" t="n"/>
      <c r="O91" s="9" t="n"/>
    </row>
    <row r="92">
      <c r="A92" s="24" t="n">
        <v>46253</v>
      </c>
      <c r="B92" s="25" t="inlineStr">
        <is>
          <t>Wednesday</t>
        </is>
      </c>
      <c r="C92" s="25" t="inlineStr">
        <is>
          <t>AUG</t>
        </is>
      </c>
      <c r="D92" s="25" t="n">
        <v>33</v>
      </c>
      <c r="E92" s="25" t="n"/>
      <c r="F92" s="25" t="n"/>
      <c r="G92" s="24" t="n"/>
      <c r="H92" s="25" t="n"/>
      <c r="I92" s="24" t="n"/>
      <c r="J92" s="25" t="n"/>
      <c r="K92" s="25" t="n"/>
      <c r="L92" s="25" t="n"/>
      <c r="M92" s="25" t="n"/>
      <c r="N92" s="25" t="n"/>
      <c r="O92" s="25" t="n"/>
    </row>
    <row r="93">
      <c r="A93" s="16" t="n">
        <v>46253</v>
      </c>
      <c r="B93" s="9" t="inlineStr">
        <is>
          <t>Wednesday</t>
        </is>
      </c>
      <c r="C93" s="9" t="inlineStr">
        <is>
          <t>AUG</t>
        </is>
      </c>
      <c r="D93" s="9" t="n">
        <v>33</v>
      </c>
      <c r="E93" s="9" t="n"/>
      <c r="F93" s="9" t="n"/>
      <c r="G93" s="16" t="n"/>
      <c r="H93" s="9" t="n"/>
      <c r="I93" s="16" t="n"/>
      <c r="J93" s="9" t="n"/>
      <c r="K93" s="9" t="n"/>
      <c r="L93" s="9" t="n"/>
      <c r="M93" s="9" t="n"/>
      <c r="N93" s="9" t="n"/>
      <c r="O93" s="9" t="n"/>
    </row>
    <row r="94">
      <c r="A94" s="16" t="n">
        <v>46253</v>
      </c>
      <c r="B94" s="9" t="inlineStr">
        <is>
          <t>Wednesday</t>
        </is>
      </c>
      <c r="C94" s="9" t="inlineStr">
        <is>
          <t>AUG</t>
        </is>
      </c>
      <c r="D94" s="9" t="n">
        <v>33</v>
      </c>
      <c r="E94" s="9" t="n"/>
      <c r="F94" s="9" t="n"/>
      <c r="G94" s="16" t="n"/>
      <c r="H94" s="9" t="n"/>
      <c r="I94" s="16" t="n"/>
      <c r="J94" s="9" t="n"/>
      <c r="K94" s="9" t="n"/>
      <c r="L94" s="9" t="n"/>
      <c r="M94" s="9" t="n"/>
      <c r="N94" s="9" t="n"/>
      <c r="O94" s="9" t="n"/>
    </row>
    <row r="95">
      <c r="A95" s="16" t="n">
        <v>46253</v>
      </c>
      <c r="B95" s="9" t="inlineStr">
        <is>
          <t>Wednesday</t>
        </is>
      </c>
      <c r="C95" s="9" t="inlineStr">
        <is>
          <t>AUG</t>
        </is>
      </c>
      <c r="D95" s="9" t="n">
        <v>33</v>
      </c>
      <c r="E95" s="9" t="n"/>
      <c r="F95" s="9" t="n"/>
      <c r="G95" s="16" t="n"/>
      <c r="H95" s="9" t="n"/>
      <c r="I95" s="16" t="n"/>
      <c r="J95" s="9" t="n"/>
      <c r="K95" s="9" t="n"/>
      <c r="L95" s="9" t="n"/>
      <c r="M95" s="9" t="n"/>
      <c r="N95" s="9" t="n"/>
      <c r="O95" s="9" t="n"/>
    </row>
    <row r="96">
      <c r="A96" s="16" t="n">
        <v>46253</v>
      </c>
      <c r="B96" s="9" t="inlineStr">
        <is>
          <t>Wednesday</t>
        </is>
      </c>
      <c r="C96" s="9" t="inlineStr">
        <is>
          <t>AUG</t>
        </is>
      </c>
      <c r="D96" s="9" t="n">
        <v>33</v>
      </c>
      <c r="E96" s="9" t="n"/>
      <c r="F96" s="9" t="n"/>
      <c r="G96" s="16" t="n"/>
      <c r="H96" s="9" t="n"/>
      <c r="I96" s="16" t="n"/>
      <c r="J96" s="9" t="n"/>
      <c r="K96" s="9" t="n"/>
      <c r="L96" s="9" t="n"/>
      <c r="M96" s="9" t="n"/>
      <c r="N96" s="9" t="n"/>
      <c r="O96" s="9" t="n"/>
    </row>
    <row r="97">
      <c r="A97" s="24" t="n">
        <v>46254</v>
      </c>
      <c r="B97" s="25" t="inlineStr">
        <is>
          <t>Thursday</t>
        </is>
      </c>
      <c r="C97" s="25" t="inlineStr">
        <is>
          <t>AUG</t>
        </is>
      </c>
      <c r="D97" s="25" t="n">
        <v>33</v>
      </c>
      <c r="E97" s="25" t="n"/>
      <c r="F97" s="25" t="n"/>
      <c r="G97" s="24" t="n"/>
      <c r="H97" s="25" t="n"/>
      <c r="I97" s="24" t="n"/>
      <c r="J97" s="25" t="n"/>
      <c r="K97" s="25" t="n"/>
      <c r="L97" s="25" t="n"/>
      <c r="M97" s="25" t="n"/>
      <c r="N97" s="25" t="n"/>
      <c r="O97" s="25" t="n"/>
    </row>
    <row r="98">
      <c r="A98" s="16" t="n">
        <v>46254</v>
      </c>
      <c r="B98" s="9" t="inlineStr">
        <is>
          <t>Thursday</t>
        </is>
      </c>
      <c r="C98" s="9" t="inlineStr">
        <is>
          <t>AUG</t>
        </is>
      </c>
      <c r="D98" s="9" t="n">
        <v>33</v>
      </c>
      <c r="E98" s="9" t="n"/>
      <c r="F98" s="9" t="n"/>
      <c r="G98" s="16" t="n"/>
      <c r="H98" s="9" t="n"/>
      <c r="I98" s="16" t="n"/>
      <c r="J98" s="9" t="n"/>
      <c r="K98" s="9" t="n"/>
      <c r="L98" s="9" t="n"/>
      <c r="M98" s="9" t="n"/>
      <c r="N98" s="9" t="n"/>
      <c r="O98" s="9" t="n"/>
    </row>
    <row r="99">
      <c r="A99" s="16" t="n">
        <v>46254</v>
      </c>
      <c r="B99" s="9" t="inlineStr">
        <is>
          <t>Thursday</t>
        </is>
      </c>
      <c r="C99" s="9" t="inlineStr">
        <is>
          <t>AUG</t>
        </is>
      </c>
      <c r="D99" s="9" t="n">
        <v>33</v>
      </c>
      <c r="E99" s="9" t="n"/>
      <c r="F99" s="9" t="n"/>
      <c r="G99" s="16" t="n"/>
      <c r="H99" s="9" t="n"/>
      <c r="I99" s="16" t="n"/>
      <c r="J99" s="9" t="n"/>
      <c r="K99" s="9" t="n"/>
      <c r="L99" s="9" t="n"/>
      <c r="M99" s="9" t="n"/>
      <c r="N99" s="9" t="n"/>
      <c r="O99" s="9" t="n"/>
    </row>
    <row r="100">
      <c r="A100" s="16" t="n">
        <v>46254</v>
      </c>
      <c r="B100" s="9" t="inlineStr">
        <is>
          <t>Thursday</t>
        </is>
      </c>
      <c r="C100" s="9" t="inlineStr">
        <is>
          <t>AUG</t>
        </is>
      </c>
      <c r="D100" s="9" t="n">
        <v>33</v>
      </c>
      <c r="E100" s="9" t="n"/>
      <c r="F100" s="9" t="n"/>
      <c r="G100" s="16" t="n"/>
      <c r="H100" s="9" t="n"/>
      <c r="I100" s="16" t="n"/>
      <c r="J100" s="9" t="n"/>
      <c r="K100" s="9" t="n"/>
      <c r="L100" s="9" t="n"/>
      <c r="M100" s="9" t="n"/>
      <c r="N100" s="9" t="n"/>
      <c r="O100" s="9" t="n"/>
    </row>
    <row r="101">
      <c r="A101" s="16" t="n">
        <v>46254</v>
      </c>
      <c r="B101" s="9" t="inlineStr">
        <is>
          <t>Thursday</t>
        </is>
      </c>
      <c r="C101" s="9" t="inlineStr">
        <is>
          <t>AUG</t>
        </is>
      </c>
      <c r="D101" s="9" t="n">
        <v>33</v>
      </c>
      <c r="E101" s="9" t="n"/>
      <c r="F101" s="9" t="n"/>
      <c r="G101" s="16" t="n"/>
      <c r="H101" s="9" t="n"/>
      <c r="I101" s="16" t="n"/>
      <c r="J101" s="9" t="n"/>
      <c r="K101" s="9" t="n"/>
      <c r="L101" s="9" t="n"/>
      <c r="M101" s="9" t="n"/>
      <c r="N101" s="9" t="n"/>
      <c r="O101" s="9" t="n"/>
    </row>
    <row r="102">
      <c r="A102" s="24" t="n">
        <v>46255</v>
      </c>
      <c r="B102" s="25" t="inlineStr">
        <is>
          <t>Friday</t>
        </is>
      </c>
      <c r="C102" s="25" t="inlineStr">
        <is>
          <t>AUG</t>
        </is>
      </c>
      <c r="D102" s="25" t="n">
        <v>34</v>
      </c>
      <c r="E102" s="25" t="n"/>
      <c r="F102" s="25" t="n"/>
      <c r="G102" s="24" t="n"/>
      <c r="H102" s="25" t="n"/>
      <c r="I102" s="24" t="n"/>
      <c r="J102" s="25" t="n"/>
      <c r="K102" s="25" t="n"/>
      <c r="L102" s="25" t="n"/>
      <c r="M102" s="25" t="n"/>
      <c r="N102" s="25" t="n"/>
      <c r="O102" s="25" t="n"/>
    </row>
    <row r="103">
      <c r="A103" s="16" t="n">
        <v>46255</v>
      </c>
      <c r="B103" s="9" t="inlineStr">
        <is>
          <t>Friday</t>
        </is>
      </c>
      <c r="C103" s="9" t="inlineStr">
        <is>
          <t>AUG</t>
        </is>
      </c>
      <c r="D103" s="9" t="n">
        <v>34</v>
      </c>
      <c r="E103" s="9" t="n"/>
      <c r="F103" s="9" t="n"/>
      <c r="G103" s="16" t="n"/>
      <c r="H103" s="9" t="n"/>
      <c r="I103" s="16" t="n"/>
      <c r="J103" s="9" t="n"/>
      <c r="K103" s="9" t="n"/>
      <c r="L103" s="9" t="n"/>
      <c r="M103" s="9" t="n"/>
      <c r="N103" s="9" t="n"/>
      <c r="O103" s="9" t="n"/>
    </row>
    <row r="104">
      <c r="A104" s="16" t="n">
        <v>46255</v>
      </c>
      <c r="B104" s="9" t="inlineStr">
        <is>
          <t>Friday</t>
        </is>
      </c>
      <c r="C104" s="9" t="inlineStr">
        <is>
          <t>AUG</t>
        </is>
      </c>
      <c r="D104" s="9" t="n">
        <v>34</v>
      </c>
      <c r="E104" s="9" t="n"/>
      <c r="F104" s="9" t="n"/>
      <c r="G104" s="16" t="n"/>
      <c r="H104" s="9" t="n"/>
      <c r="I104" s="16" t="n"/>
      <c r="J104" s="9" t="n"/>
      <c r="K104" s="9" t="n"/>
      <c r="L104" s="9" t="n"/>
      <c r="M104" s="9" t="n"/>
      <c r="N104" s="9" t="n"/>
      <c r="O104" s="9" t="n"/>
    </row>
    <row r="105">
      <c r="A105" s="16" t="n">
        <v>46255</v>
      </c>
      <c r="B105" s="9" t="inlineStr">
        <is>
          <t>Friday</t>
        </is>
      </c>
      <c r="C105" s="9" t="inlineStr">
        <is>
          <t>AUG</t>
        </is>
      </c>
      <c r="D105" s="9" t="n">
        <v>34</v>
      </c>
      <c r="E105" s="9" t="n"/>
      <c r="F105" s="9" t="n"/>
      <c r="G105" s="16" t="n"/>
      <c r="H105" s="9" t="n"/>
      <c r="I105" s="16" t="n"/>
      <c r="J105" s="9" t="n"/>
      <c r="K105" s="9" t="n"/>
      <c r="L105" s="9" t="n"/>
      <c r="M105" s="9" t="n"/>
      <c r="N105" s="9" t="n"/>
      <c r="O105" s="9" t="n"/>
    </row>
    <row r="106">
      <c r="A106" s="16" t="n">
        <v>46255</v>
      </c>
      <c r="B106" s="9" t="inlineStr">
        <is>
          <t>Friday</t>
        </is>
      </c>
      <c r="C106" s="9" t="inlineStr">
        <is>
          <t>AUG</t>
        </is>
      </c>
      <c r="D106" s="9" t="n">
        <v>34</v>
      </c>
      <c r="E106" s="9" t="n"/>
      <c r="F106" s="9" t="n"/>
      <c r="G106" s="16" t="n"/>
      <c r="H106" s="9" t="n"/>
      <c r="I106" s="16" t="n"/>
      <c r="J106" s="9" t="n"/>
      <c r="K106" s="9" t="n"/>
      <c r="L106" s="9" t="n"/>
      <c r="M106" s="9" t="n"/>
      <c r="N106" s="9" t="n"/>
      <c r="O106" s="9" t="n"/>
    </row>
    <row r="107">
      <c r="A107" s="24" t="n">
        <v>46256</v>
      </c>
      <c r="B107" s="25" t="inlineStr">
        <is>
          <t>Saturday</t>
        </is>
      </c>
      <c r="C107" s="25" t="inlineStr">
        <is>
          <t>AUG</t>
        </is>
      </c>
      <c r="D107" s="25" t="n">
        <v>34</v>
      </c>
      <c r="E107" s="25" t="n"/>
      <c r="F107" s="25" t="n"/>
      <c r="G107" s="24" t="n"/>
      <c r="H107" s="25" t="n"/>
      <c r="I107" s="24" t="n"/>
      <c r="J107" s="25" t="n"/>
      <c r="K107" s="25" t="n"/>
      <c r="L107" s="25" t="n"/>
      <c r="M107" s="25" t="n"/>
      <c r="N107" s="25" t="n"/>
      <c r="O107" s="25" t="n"/>
    </row>
    <row r="108">
      <c r="A108" s="16" t="n">
        <v>46256</v>
      </c>
      <c r="B108" s="9" t="inlineStr">
        <is>
          <t>Saturday</t>
        </is>
      </c>
      <c r="C108" s="9" t="inlineStr">
        <is>
          <t>AUG</t>
        </is>
      </c>
      <c r="D108" s="9" t="n">
        <v>34</v>
      </c>
      <c r="E108" s="9" t="n"/>
      <c r="F108" s="9" t="n"/>
      <c r="G108" s="16" t="n"/>
      <c r="H108" s="9" t="n"/>
      <c r="I108" s="16" t="n"/>
      <c r="J108" s="9" t="n"/>
      <c r="K108" s="9" t="n"/>
      <c r="L108" s="9" t="n"/>
      <c r="M108" s="9" t="n"/>
      <c r="N108" s="9" t="n"/>
      <c r="O108" s="9" t="n"/>
    </row>
    <row r="109">
      <c r="A109" s="16" t="n">
        <v>46256</v>
      </c>
      <c r="B109" s="9" t="inlineStr">
        <is>
          <t>Saturday</t>
        </is>
      </c>
      <c r="C109" s="9" t="inlineStr">
        <is>
          <t>AUG</t>
        </is>
      </c>
      <c r="D109" s="9" t="n">
        <v>34</v>
      </c>
      <c r="E109" s="9" t="n"/>
      <c r="F109" s="9" t="n"/>
      <c r="G109" s="16" t="n"/>
      <c r="H109" s="9" t="n"/>
      <c r="I109" s="16" t="n"/>
      <c r="J109" s="9" t="n"/>
      <c r="K109" s="9" t="n"/>
      <c r="L109" s="9" t="n"/>
      <c r="M109" s="9" t="n"/>
      <c r="N109" s="9" t="n"/>
      <c r="O109" s="9" t="n"/>
    </row>
    <row r="110">
      <c r="A110" s="16" t="n">
        <v>46256</v>
      </c>
      <c r="B110" s="9" t="inlineStr">
        <is>
          <t>Saturday</t>
        </is>
      </c>
      <c r="C110" s="9" t="inlineStr">
        <is>
          <t>AUG</t>
        </is>
      </c>
      <c r="D110" s="9" t="n">
        <v>34</v>
      </c>
      <c r="E110" s="9" t="n"/>
      <c r="F110" s="9" t="n"/>
      <c r="G110" s="16" t="n"/>
      <c r="H110" s="9" t="n"/>
      <c r="I110" s="16" t="n"/>
      <c r="J110" s="9" t="n"/>
      <c r="K110" s="9" t="n"/>
      <c r="L110" s="9" t="n"/>
      <c r="M110" s="9" t="n"/>
      <c r="N110" s="9" t="n"/>
      <c r="O110" s="9" t="n"/>
    </row>
    <row r="111">
      <c r="A111" s="16" t="n">
        <v>46256</v>
      </c>
      <c r="B111" s="9" t="inlineStr">
        <is>
          <t>Saturday</t>
        </is>
      </c>
      <c r="C111" s="9" t="inlineStr">
        <is>
          <t>AUG</t>
        </is>
      </c>
      <c r="D111" s="9" t="n">
        <v>34</v>
      </c>
      <c r="E111" s="9" t="n"/>
      <c r="F111" s="9" t="n"/>
      <c r="G111" s="16" t="n"/>
      <c r="H111" s="9" t="n"/>
      <c r="I111" s="16" t="n"/>
      <c r="J111" s="9" t="n"/>
      <c r="K111" s="9" t="n"/>
      <c r="L111" s="9" t="n"/>
      <c r="M111" s="9" t="n"/>
      <c r="N111" s="9" t="n"/>
      <c r="O111" s="9" t="n"/>
    </row>
    <row r="112">
      <c r="A112" s="24" t="n">
        <v>46257</v>
      </c>
      <c r="B112" s="25" t="inlineStr">
        <is>
          <t>Sunday</t>
        </is>
      </c>
      <c r="C112" s="25" t="inlineStr">
        <is>
          <t>AUG</t>
        </is>
      </c>
      <c r="D112" s="25" t="n">
        <v>34</v>
      </c>
      <c r="E112" s="25" t="n"/>
      <c r="F112" s="25" t="n"/>
      <c r="G112" s="24" t="n"/>
      <c r="H112" s="25" t="n"/>
      <c r="I112" s="24" t="n"/>
      <c r="J112" s="25" t="n"/>
      <c r="K112" s="25" t="n"/>
      <c r="L112" s="25" t="n"/>
      <c r="M112" s="25" t="n"/>
      <c r="N112" s="25" t="n"/>
      <c r="O112" s="25" t="n"/>
    </row>
    <row r="113">
      <c r="A113" s="16" t="n">
        <v>46257</v>
      </c>
      <c r="B113" s="9" t="inlineStr">
        <is>
          <t>Sunday</t>
        </is>
      </c>
      <c r="C113" s="9" t="inlineStr">
        <is>
          <t>AUG</t>
        </is>
      </c>
      <c r="D113" s="9" t="n">
        <v>34</v>
      </c>
      <c r="E113" s="9" t="n"/>
      <c r="F113" s="9" t="n"/>
      <c r="G113" s="16" t="n"/>
      <c r="H113" s="9" t="n"/>
      <c r="I113" s="16" t="n"/>
      <c r="J113" s="9" t="n"/>
      <c r="K113" s="9" t="n"/>
      <c r="L113" s="9" t="n"/>
      <c r="M113" s="9" t="n"/>
      <c r="N113" s="9" t="n"/>
      <c r="O113" s="9" t="n"/>
    </row>
    <row r="114">
      <c r="A114" s="16" t="n">
        <v>46257</v>
      </c>
      <c r="B114" s="9" t="inlineStr">
        <is>
          <t>Sunday</t>
        </is>
      </c>
      <c r="C114" s="9" t="inlineStr">
        <is>
          <t>AUG</t>
        </is>
      </c>
      <c r="D114" s="9" t="n">
        <v>34</v>
      </c>
      <c r="E114" s="9" t="n"/>
      <c r="F114" s="9" t="n"/>
      <c r="G114" s="16" t="n"/>
      <c r="H114" s="9" t="n"/>
      <c r="I114" s="16" t="n"/>
      <c r="J114" s="9" t="n"/>
      <c r="K114" s="9" t="n"/>
      <c r="L114" s="9" t="n"/>
      <c r="M114" s="9" t="n"/>
      <c r="N114" s="9" t="n"/>
      <c r="O114" s="9" t="n"/>
    </row>
    <row r="115">
      <c r="A115" s="16" t="n">
        <v>46257</v>
      </c>
      <c r="B115" s="9" t="inlineStr">
        <is>
          <t>Sunday</t>
        </is>
      </c>
      <c r="C115" s="9" t="inlineStr">
        <is>
          <t>AUG</t>
        </is>
      </c>
      <c r="D115" s="9" t="n">
        <v>34</v>
      </c>
      <c r="E115" s="9" t="n"/>
      <c r="F115" s="9" t="n"/>
      <c r="G115" s="16" t="n"/>
      <c r="H115" s="9" t="n"/>
      <c r="I115" s="16" t="n"/>
      <c r="J115" s="9" t="n"/>
      <c r="K115" s="9" t="n"/>
      <c r="L115" s="9" t="n"/>
      <c r="M115" s="9" t="n"/>
      <c r="N115" s="9" t="n"/>
      <c r="O115" s="9" t="n"/>
    </row>
    <row r="116">
      <c r="A116" s="16" t="n">
        <v>46257</v>
      </c>
      <c r="B116" s="9" t="inlineStr">
        <is>
          <t>Sunday</t>
        </is>
      </c>
      <c r="C116" s="9" t="inlineStr">
        <is>
          <t>AUG</t>
        </is>
      </c>
      <c r="D116" s="9" t="n">
        <v>34</v>
      </c>
      <c r="E116" s="9" t="n"/>
      <c r="F116" s="9" t="n"/>
      <c r="G116" s="16" t="n"/>
      <c r="H116" s="9" t="n"/>
      <c r="I116" s="16" t="n"/>
      <c r="J116" s="9" t="n"/>
      <c r="K116" s="9" t="n"/>
      <c r="L116" s="9" t="n"/>
      <c r="M116" s="9" t="n"/>
      <c r="N116" s="9" t="n"/>
      <c r="O116" s="9" t="n"/>
    </row>
    <row r="117">
      <c r="A117" s="24" t="n">
        <v>46258</v>
      </c>
      <c r="B117" s="25" t="inlineStr">
        <is>
          <t>Monday</t>
        </is>
      </c>
      <c r="C117" s="25" t="inlineStr">
        <is>
          <t>AUG</t>
        </is>
      </c>
      <c r="D117" s="25" t="n">
        <v>34</v>
      </c>
      <c r="E117" s="25" t="n"/>
      <c r="F117" s="25" t="n"/>
      <c r="G117" s="24" t="n"/>
      <c r="H117" s="25" t="n"/>
      <c r="I117" s="24" t="n"/>
      <c r="J117" s="25" t="n"/>
      <c r="K117" s="25" t="n"/>
      <c r="L117" s="25" t="n"/>
      <c r="M117" s="25" t="n"/>
      <c r="N117" s="25" t="n"/>
      <c r="O117" s="25" t="n"/>
    </row>
    <row r="118">
      <c r="A118" s="16" t="n">
        <v>46258</v>
      </c>
      <c r="B118" s="9" t="inlineStr">
        <is>
          <t>Monday</t>
        </is>
      </c>
      <c r="C118" s="9" t="inlineStr">
        <is>
          <t>AUG</t>
        </is>
      </c>
      <c r="D118" s="9" t="n">
        <v>34</v>
      </c>
      <c r="E118" s="9" t="n"/>
      <c r="F118" s="9" t="n"/>
      <c r="G118" s="16" t="n"/>
      <c r="H118" s="9" t="n"/>
      <c r="I118" s="16" t="n"/>
      <c r="J118" s="9" t="n"/>
      <c r="K118" s="9" t="n"/>
      <c r="L118" s="9" t="n"/>
      <c r="M118" s="9" t="n"/>
      <c r="N118" s="9" t="n"/>
      <c r="O118" s="9" t="n"/>
    </row>
    <row r="119">
      <c r="A119" s="16" t="n">
        <v>46258</v>
      </c>
      <c r="B119" s="9" t="inlineStr">
        <is>
          <t>Monday</t>
        </is>
      </c>
      <c r="C119" s="9" t="inlineStr">
        <is>
          <t>AUG</t>
        </is>
      </c>
      <c r="D119" s="9" t="n">
        <v>34</v>
      </c>
      <c r="E119" s="9" t="n"/>
      <c r="F119" s="9" t="n"/>
      <c r="G119" s="16" t="n"/>
      <c r="H119" s="9" t="n"/>
      <c r="I119" s="16" t="n"/>
      <c r="J119" s="9" t="n"/>
      <c r="K119" s="9" t="n"/>
      <c r="L119" s="9" t="n"/>
      <c r="M119" s="9" t="n"/>
      <c r="N119" s="9" t="n"/>
      <c r="O119" s="9" t="n"/>
    </row>
    <row r="120">
      <c r="A120" s="16" t="n">
        <v>46258</v>
      </c>
      <c r="B120" s="9" t="inlineStr">
        <is>
          <t>Monday</t>
        </is>
      </c>
      <c r="C120" s="9" t="inlineStr">
        <is>
          <t>AUG</t>
        </is>
      </c>
      <c r="D120" s="9" t="n">
        <v>34</v>
      </c>
      <c r="E120" s="9" t="n"/>
      <c r="F120" s="9" t="n"/>
      <c r="G120" s="16" t="n"/>
      <c r="H120" s="9" t="n"/>
      <c r="I120" s="16" t="n"/>
      <c r="J120" s="9" t="n"/>
      <c r="K120" s="9" t="n"/>
      <c r="L120" s="9" t="n"/>
      <c r="M120" s="9" t="n"/>
      <c r="N120" s="9" t="n"/>
      <c r="O120" s="9" t="n"/>
    </row>
    <row r="121">
      <c r="A121" s="16" t="n">
        <v>46258</v>
      </c>
      <c r="B121" s="9" t="inlineStr">
        <is>
          <t>Monday</t>
        </is>
      </c>
      <c r="C121" s="9" t="inlineStr">
        <is>
          <t>AUG</t>
        </is>
      </c>
      <c r="D121" s="9" t="n">
        <v>34</v>
      </c>
      <c r="E121" s="9" t="n"/>
      <c r="F121" s="9" t="n"/>
      <c r="G121" s="16" t="n"/>
      <c r="H121" s="9" t="n"/>
      <c r="I121" s="16" t="n"/>
      <c r="J121" s="9" t="n"/>
      <c r="K121" s="9" t="n"/>
      <c r="L121" s="9" t="n"/>
      <c r="M121" s="9" t="n"/>
      <c r="N121" s="9" t="n"/>
      <c r="O121" s="9" t="n"/>
    </row>
    <row r="122">
      <c r="A122" s="24" t="n">
        <v>46259</v>
      </c>
      <c r="B122" s="25" t="inlineStr">
        <is>
          <t>Tuesday</t>
        </is>
      </c>
      <c r="C122" s="25" t="inlineStr">
        <is>
          <t>AUG</t>
        </is>
      </c>
      <c r="D122" s="25" t="n">
        <v>34</v>
      </c>
      <c r="E122" s="25" t="n"/>
      <c r="F122" s="25" t="n"/>
      <c r="G122" s="24" t="n"/>
      <c r="H122" s="25" t="n"/>
      <c r="I122" s="24" t="n"/>
      <c r="J122" s="25" t="n"/>
      <c r="K122" s="25" t="n"/>
      <c r="L122" s="25" t="n"/>
      <c r="M122" s="25" t="n"/>
      <c r="N122" s="25" t="n"/>
      <c r="O122" s="25" t="n"/>
    </row>
    <row r="123">
      <c r="A123" s="16" t="n">
        <v>46259</v>
      </c>
      <c r="B123" s="9" t="inlineStr">
        <is>
          <t>Tuesday</t>
        </is>
      </c>
      <c r="C123" s="9" t="inlineStr">
        <is>
          <t>AUG</t>
        </is>
      </c>
      <c r="D123" s="9" t="n">
        <v>34</v>
      </c>
      <c r="E123" s="9" t="n"/>
      <c r="F123" s="9" t="n"/>
      <c r="G123" s="16" t="n"/>
      <c r="H123" s="9" t="n"/>
      <c r="I123" s="16" t="n"/>
      <c r="J123" s="9" t="n"/>
      <c r="K123" s="9" t="n"/>
      <c r="L123" s="9" t="n"/>
      <c r="M123" s="9" t="n"/>
      <c r="N123" s="9" t="n"/>
      <c r="O123" s="9" t="n"/>
    </row>
    <row r="124">
      <c r="A124" s="16" t="n">
        <v>46259</v>
      </c>
      <c r="B124" s="9" t="inlineStr">
        <is>
          <t>Tuesday</t>
        </is>
      </c>
      <c r="C124" s="9" t="inlineStr">
        <is>
          <t>AUG</t>
        </is>
      </c>
      <c r="D124" s="9" t="n">
        <v>34</v>
      </c>
      <c r="E124" s="9" t="n"/>
      <c r="F124" s="9" t="n"/>
      <c r="G124" s="16" t="n"/>
      <c r="H124" s="9" t="n"/>
      <c r="I124" s="16" t="n"/>
      <c r="J124" s="9" t="n"/>
      <c r="K124" s="9" t="n"/>
      <c r="L124" s="9" t="n"/>
      <c r="M124" s="9" t="n"/>
      <c r="N124" s="9" t="n"/>
      <c r="O124" s="9" t="n"/>
    </row>
    <row r="125">
      <c r="A125" s="16" t="n">
        <v>46259</v>
      </c>
      <c r="B125" s="9" t="inlineStr">
        <is>
          <t>Tuesday</t>
        </is>
      </c>
      <c r="C125" s="9" t="inlineStr">
        <is>
          <t>AUG</t>
        </is>
      </c>
      <c r="D125" s="9" t="n">
        <v>34</v>
      </c>
      <c r="E125" s="9" t="n"/>
      <c r="F125" s="9" t="n"/>
      <c r="G125" s="16" t="n"/>
      <c r="H125" s="9" t="n"/>
      <c r="I125" s="16" t="n"/>
      <c r="J125" s="9" t="n"/>
      <c r="K125" s="9" t="n"/>
      <c r="L125" s="9" t="n"/>
      <c r="M125" s="9" t="n"/>
      <c r="N125" s="9" t="n"/>
      <c r="O125" s="9" t="n"/>
    </row>
    <row r="126">
      <c r="A126" s="16" t="n">
        <v>46259</v>
      </c>
      <c r="B126" s="9" t="inlineStr">
        <is>
          <t>Tuesday</t>
        </is>
      </c>
      <c r="C126" s="9" t="inlineStr">
        <is>
          <t>AUG</t>
        </is>
      </c>
      <c r="D126" s="9" t="n">
        <v>34</v>
      </c>
      <c r="E126" s="9" t="n"/>
      <c r="F126" s="9" t="n"/>
      <c r="G126" s="16" t="n"/>
      <c r="H126" s="9" t="n"/>
      <c r="I126" s="16" t="n"/>
      <c r="J126" s="9" t="n"/>
      <c r="K126" s="9" t="n"/>
      <c r="L126" s="9" t="n"/>
      <c r="M126" s="9" t="n"/>
      <c r="N126" s="9" t="n"/>
      <c r="O126" s="9" t="n"/>
    </row>
    <row r="127">
      <c r="A127" s="24" t="n">
        <v>46260</v>
      </c>
      <c r="B127" s="25" t="inlineStr">
        <is>
          <t>Wednesday</t>
        </is>
      </c>
      <c r="C127" s="25" t="inlineStr">
        <is>
          <t>AUG</t>
        </is>
      </c>
      <c r="D127" s="25" t="n">
        <v>34</v>
      </c>
      <c r="E127" s="25" t="n"/>
      <c r="F127" s="25" t="n"/>
      <c r="G127" s="24" t="n"/>
      <c r="H127" s="25" t="n"/>
      <c r="I127" s="24" t="n"/>
      <c r="J127" s="25" t="n"/>
      <c r="K127" s="25" t="n"/>
      <c r="L127" s="25" t="n"/>
      <c r="M127" s="25" t="n"/>
      <c r="N127" s="25" t="n"/>
      <c r="O127" s="25" t="n"/>
    </row>
    <row r="128">
      <c r="A128" s="16" t="n">
        <v>46260</v>
      </c>
      <c r="B128" s="9" t="inlineStr">
        <is>
          <t>Wednesday</t>
        </is>
      </c>
      <c r="C128" s="9" t="inlineStr">
        <is>
          <t>AUG</t>
        </is>
      </c>
      <c r="D128" s="9" t="n">
        <v>34</v>
      </c>
      <c r="E128" s="9" t="n"/>
      <c r="F128" s="9" t="n"/>
      <c r="G128" s="16" t="n"/>
      <c r="H128" s="9" t="n"/>
      <c r="I128" s="16" t="n"/>
      <c r="J128" s="9" t="n"/>
      <c r="K128" s="9" t="n"/>
      <c r="L128" s="9" t="n"/>
      <c r="M128" s="9" t="n"/>
      <c r="N128" s="9" t="n"/>
      <c r="O128" s="9" t="n"/>
    </row>
    <row r="129">
      <c r="A129" s="16" t="n">
        <v>46260</v>
      </c>
      <c r="B129" s="9" t="inlineStr">
        <is>
          <t>Wednesday</t>
        </is>
      </c>
      <c r="C129" s="9" t="inlineStr">
        <is>
          <t>AUG</t>
        </is>
      </c>
      <c r="D129" s="9" t="n">
        <v>34</v>
      </c>
      <c r="E129" s="9" t="n"/>
      <c r="F129" s="9" t="n"/>
      <c r="G129" s="16" t="n"/>
      <c r="H129" s="9" t="n"/>
      <c r="I129" s="16" t="n"/>
      <c r="J129" s="9" t="n"/>
      <c r="K129" s="9" t="n"/>
      <c r="L129" s="9" t="n"/>
      <c r="M129" s="9" t="n"/>
      <c r="N129" s="9" t="n"/>
      <c r="O129" s="9" t="n"/>
    </row>
    <row r="130">
      <c r="A130" s="16" t="n">
        <v>46260</v>
      </c>
      <c r="B130" s="9" t="inlineStr">
        <is>
          <t>Wednesday</t>
        </is>
      </c>
      <c r="C130" s="9" t="inlineStr">
        <is>
          <t>AUG</t>
        </is>
      </c>
      <c r="D130" s="9" t="n">
        <v>34</v>
      </c>
      <c r="E130" s="9" t="n"/>
      <c r="F130" s="9" t="n"/>
      <c r="G130" s="16" t="n"/>
      <c r="H130" s="9" t="n"/>
      <c r="I130" s="16" t="n"/>
      <c r="J130" s="9" t="n"/>
      <c r="K130" s="9" t="n"/>
      <c r="L130" s="9" t="n"/>
      <c r="M130" s="9" t="n"/>
      <c r="N130" s="9" t="n"/>
      <c r="O130" s="9" t="n"/>
    </row>
    <row r="131">
      <c r="A131" s="16" t="n">
        <v>46260</v>
      </c>
      <c r="B131" s="9" t="inlineStr">
        <is>
          <t>Wednesday</t>
        </is>
      </c>
      <c r="C131" s="9" t="inlineStr">
        <is>
          <t>AUG</t>
        </is>
      </c>
      <c r="D131" s="9" t="n">
        <v>34</v>
      </c>
      <c r="E131" s="9" t="n"/>
      <c r="F131" s="9" t="n"/>
      <c r="G131" s="16" t="n"/>
      <c r="H131" s="9" t="n"/>
      <c r="I131" s="16" t="n"/>
      <c r="J131" s="9" t="n"/>
      <c r="K131" s="9" t="n"/>
      <c r="L131" s="9" t="n"/>
      <c r="M131" s="9" t="n"/>
      <c r="N131" s="9" t="n"/>
      <c r="O131" s="9" t="n"/>
    </row>
    <row r="132">
      <c r="A132" s="24" t="n">
        <v>46261</v>
      </c>
      <c r="B132" s="25" t="inlineStr">
        <is>
          <t>Thursday</t>
        </is>
      </c>
      <c r="C132" s="25" t="inlineStr">
        <is>
          <t>AUG</t>
        </is>
      </c>
      <c r="D132" s="25" t="n">
        <v>34</v>
      </c>
      <c r="E132" s="25" t="n"/>
      <c r="F132" s="25" t="n"/>
      <c r="G132" s="24" t="n"/>
      <c r="H132" s="25" t="n"/>
      <c r="I132" s="24" t="n"/>
      <c r="J132" s="25" t="n"/>
      <c r="K132" s="25" t="n"/>
      <c r="L132" s="25" t="n"/>
      <c r="M132" s="25" t="n"/>
      <c r="N132" s="25" t="n"/>
      <c r="O132" s="25" t="n"/>
    </row>
    <row r="133">
      <c r="A133" s="16" t="n">
        <v>46261</v>
      </c>
      <c r="B133" s="9" t="inlineStr">
        <is>
          <t>Thursday</t>
        </is>
      </c>
      <c r="C133" s="9" t="inlineStr">
        <is>
          <t>AUG</t>
        </is>
      </c>
      <c r="D133" s="9" t="n">
        <v>34</v>
      </c>
      <c r="E133" s="9" t="n"/>
      <c r="F133" s="9" t="n"/>
      <c r="G133" s="16" t="n"/>
      <c r="H133" s="9" t="n"/>
      <c r="I133" s="16" t="n"/>
      <c r="J133" s="9" t="n"/>
      <c r="K133" s="9" t="n"/>
      <c r="L133" s="9" t="n"/>
      <c r="M133" s="9" t="n"/>
      <c r="N133" s="9" t="n"/>
      <c r="O133" s="9" t="n"/>
    </row>
    <row r="134">
      <c r="A134" s="16" t="n">
        <v>46261</v>
      </c>
      <c r="B134" s="9" t="inlineStr">
        <is>
          <t>Thursday</t>
        </is>
      </c>
      <c r="C134" s="9" t="inlineStr">
        <is>
          <t>AUG</t>
        </is>
      </c>
      <c r="D134" s="9" t="n">
        <v>34</v>
      </c>
      <c r="E134" s="9" t="n"/>
      <c r="F134" s="9" t="n"/>
      <c r="G134" s="16" t="n"/>
      <c r="H134" s="9" t="n"/>
      <c r="I134" s="16" t="n"/>
      <c r="J134" s="9" t="n"/>
      <c r="K134" s="9" t="n"/>
      <c r="L134" s="9" t="n"/>
      <c r="M134" s="9" t="n"/>
      <c r="N134" s="9" t="n"/>
      <c r="O134" s="9" t="n"/>
    </row>
    <row r="135">
      <c r="A135" s="16" t="n">
        <v>46261</v>
      </c>
      <c r="B135" s="9" t="inlineStr">
        <is>
          <t>Thursday</t>
        </is>
      </c>
      <c r="C135" s="9" t="inlineStr">
        <is>
          <t>AUG</t>
        </is>
      </c>
      <c r="D135" s="9" t="n">
        <v>34</v>
      </c>
      <c r="E135" s="9" t="n"/>
      <c r="F135" s="9" t="n"/>
      <c r="G135" s="16" t="n"/>
      <c r="H135" s="9" t="n"/>
      <c r="I135" s="16" t="n"/>
      <c r="J135" s="9" t="n"/>
      <c r="K135" s="9" t="n"/>
      <c r="L135" s="9" t="n"/>
      <c r="M135" s="9" t="n"/>
      <c r="N135" s="9" t="n"/>
      <c r="O135" s="9" t="n"/>
    </row>
    <row r="136">
      <c r="A136" s="16" t="n">
        <v>46261</v>
      </c>
      <c r="B136" s="9" t="inlineStr">
        <is>
          <t>Thursday</t>
        </is>
      </c>
      <c r="C136" s="9" t="inlineStr">
        <is>
          <t>AUG</t>
        </is>
      </c>
      <c r="D136" s="9" t="n">
        <v>34</v>
      </c>
      <c r="E136" s="9" t="n"/>
      <c r="F136" s="9" t="n"/>
      <c r="G136" s="16" t="n"/>
      <c r="H136" s="9" t="n"/>
      <c r="I136" s="16" t="n"/>
      <c r="J136" s="9" t="n"/>
      <c r="K136" s="9" t="n"/>
      <c r="L136" s="9" t="n"/>
      <c r="M136" s="9" t="n"/>
      <c r="N136" s="9" t="n"/>
      <c r="O136" s="9" t="n"/>
    </row>
    <row r="137">
      <c r="A137" s="24" t="n">
        <v>46262</v>
      </c>
      <c r="B137" s="25" t="inlineStr">
        <is>
          <t>Friday</t>
        </is>
      </c>
      <c r="C137" s="25" t="inlineStr">
        <is>
          <t>AUG</t>
        </is>
      </c>
      <c r="D137" s="25" t="n">
        <v>35</v>
      </c>
      <c r="E137" s="25" t="n"/>
      <c r="F137" s="25" t="n"/>
      <c r="G137" s="24" t="n"/>
      <c r="H137" s="25" t="n"/>
      <c r="I137" s="24" t="n"/>
      <c r="J137" s="25" t="n"/>
      <c r="K137" s="25" t="n"/>
      <c r="L137" s="25" t="n"/>
      <c r="M137" s="25" t="n"/>
      <c r="N137" s="25" t="n"/>
      <c r="O137" s="25" t="n"/>
    </row>
    <row r="138">
      <c r="A138" s="16" t="n">
        <v>46262</v>
      </c>
      <c r="B138" s="9" t="inlineStr">
        <is>
          <t>Friday</t>
        </is>
      </c>
      <c r="C138" s="9" t="inlineStr">
        <is>
          <t>AUG</t>
        </is>
      </c>
      <c r="D138" s="9" t="n">
        <v>35</v>
      </c>
      <c r="E138" s="9" t="n"/>
      <c r="F138" s="9" t="n"/>
      <c r="G138" s="16" t="n"/>
      <c r="H138" s="9" t="n"/>
      <c r="I138" s="16" t="n"/>
      <c r="J138" s="9" t="n"/>
      <c r="K138" s="9" t="n"/>
      <c r="L138" s="9" t="n"/>
      <c r="M138" s="9" t="n"/>
      <c r="N138" s="9" t="n"/>
      <c r="O138" s="9" t="n"/>
    </row>
    <row r="139">
      <c r="A139" s="16" t="n">
        <v>46262</v>
      </c>
      <c r="B139" s="9" t="inlineStr">
        <is>
          <t>Friday</t>
        </is>
      </c>
      <c r="C139" s="9" t="inlineStr">
        <is>
          <t>AUG</t>
        </is>
      </c>
      <c r="D139" s="9" t="n">
        <v>35</v>
      </c>
      <c r="E139" s="9" t="n"/>
      <c r="F139" s="9" t="n"/>
      <c r="G139" s="16" t="n"/>
      <c r="H139" s="9" t="n"/>
      <c r="I139" s="16" t="n"/>
      <c r="J139" s="9" t="n"/>
      <c r="K139" s="9" t="n"/>
      <c r="L139" s="9" t="n"/>
      <c r="M139" s="9" t="n"/>
      <c r="N139" s="9" t="n"/>
      <c r="O139" s="9" t="n"/>
    </row>
    <row r="140">
      <c r="A140" s="16" t="n">
        <v>46262</v>
      </c>
      <c r="B140" s="9" t="inlineStr">
        <is>
          <t>Friday</t>
        </is>
      </c>
      <c r="C140" s="9" t="inlineStr">
        <is>
          <t>AUG</t>
        </is>
      </c>
      <c r="D140" s="9" t="n">
        <v>35</v>
      </c>
      <c r="E140" s="9" t="n"/>
      <c r="F140" s="9" t="n"/>
      <c r="G140" s="16" t="n"/>
      <c r="H140" s="9" t="n"/>
      <c r="I140" s="16" t="n"/>
      <c r="J140" s="9" t="n"/>
      <c r="K140" s="9" t="n"/>
      <c r="L140" s="9" t="n"/>
      <c r="M140" s="9" t="n"/>
      <c r="N140" s="9" t="n"/>
      <c r="O140" s="9" t="n"/>
    </row>
    <row r="141">
      <c r="A141" s="16" t="n">
        <v>46262</v>
      </c>
      <c r="B141" s="9" t="inlineStr">
        <is>
          <t>Friday</t>
        </is>
      </c>
      <c r="C141" s="9" t="inlineStr">
        <is>
          <t>AUG</t>
        </is>
      </c>
      <c r="D141" s="9" t="n">
        <v>35</v>
      </c>
      <c r="E141" s="9" t="n"/>
      <c r="F141" s="9" t="n"/>
      <c r="G141" s="16" t="n"/>
      <c r="H141" s="9" t="n"/>
      <c r="I141" s="16" t="n"/>
      <c r="J141" s="9" t="n"/>
      <c r="K141" s="9" t="n"/>
      <c r="L141" s="9" t="n"/>
      <c r="M141" s="9" t="n"/>
      <c r="N141" s="9" t="n"/>
      <c r="O141" s="9" t="n"/>
    </row>
    <row r="142">
      <c r="A142" s="24" t="n">
        <v>46263</v>
      </c>
      <c r="B142" s="25" t="inlineStr">
        <is>
          <t>Saturday</t>
        </is>
      </c>
      <c r="C142" s="25" t="inlineStr">
        <is>
          <t>AUG</t>
        </is>
      </c>
      <c r="D142" s="25" t="n">
        <v>35</v>
      </c>
      <c r="E142" s="25" t="n"/>
      <c r="F142" s="25" t="n"/>
      <c r="G142" s="24" t="n"/>
      <c r="H142" s="25" t="n"/>
      <c r="I142" s="24" t="n"/>
      <c r="J142" s="25" t="n"/>
      <c r="K142" s="25" t="n"/>
      <c r="L142" s="25" t="n"/>
      <c r="M142" s="25" t="n"/>
      <c r="N142" s="25" t="n"/>
      <c r="O142" s="25" t="n"/>
    </row>
    <row r="143">
      <c r="A143" s="16" t="n">
        <v>46263</v>
      </c>
      <c r="B143" s="9" t="inlineStr">
        <is>
          <t>Saturday</t>
        </is>
      </c>
      <c r="C143" s="9" t="inlineStr">
        <is>
          <t>AUG</t>
        </is>
      </c>
      <c r="D143" s="9" t="n">
        <v>35</v>
      </c>
      <c r="E143" s="9" t="n"/>
      <c r="F143" s="9" t="n"/>
      <c r="G143" s="16" t="n"/>
      <c r="H143" s="9" t="n"/>
      <c r="I143" s="16" t="n"/>
      <c r="J143" s="9" t="n"/>
      <c r="K143" s="9" t="n"/>
      <c r="L143" s="9" t="n"/>
      <c r="M143" s="9" t="n"/>
      <c r="N143" s="9" t="n"/>
      <c r="O143" s="9" t="n"/>
    </row>
    <row r="144">
      <c r="A144" s="16" t="n">
        <v>46263</v>
      </c>
      <c r="B144" s="9" t="inlineStr">
        <is>
          <t>Saturday</t>
        </is>
      </c>
      <c r="C144" s="9" t="inlineStr">
        <is>
          <t>AUG</t>
        </is>
      </c>
      <c r="D144" s="9" t="n">
        <v>35</v>
      </c>
      <c r="E144" s="9" t="n"/>
      <c r="F144" s="9" t="n"/>
      <c r="G144" s="16" t="n"/>
      <c r="H144" s="9" t="n"/>
      <c r="I144" s="16" t="n"/>
      <c r="J144" s="9" t="n"/>
      <c r="K144" s="9" t="n"/>
      <c r="L144" s="9" t="n"/>
      <c r="M144" s="9" t="n"/>
      <c r="N144" s="9" t="n"/>
      <c r="O144" s="9" t="n"/>
    </row>
    <row r="145">
      <c r="A145" s="16" t="n">
        <v>46263</v>
      </c>
      <c r="B145" s="9" t="inlineStr">
        <is>
          <t>Saturday</t>
        </is>
      </c>
      <c r="C145" s="9" t="inlineStr">
        <is>
          <t>AUG</t>
        </is>
      </c>
      <c r="D145" s="9" t="n">
        <v>35</v>
      </c>
      <c r="E145" s="9" t="n"/>
      <c r="F145" s="9" t="n"/>
      <c r="G145" s="16" t="n"/>
      <c r="H145" s="9" t="n"/>
      <c r="I145" s="16" t="n"/>
      <c r="J145" s="9" t="n"/>
      <c r="K145" s="9" t="n"/>
      <c r="L145" s="9" t="n"/>
      <c r="M145" s="9" t="n"/>
      <c r="N145" s="9" t="n"/>
      <c r="O145" s="9" t="n"/>
    </row>
    <row r="146">
      <c r="A146" s="16" t="n">
        <v>46263</v>
      </c>
      <c r="B146" s="9" t="inlineStr">
        <is>
          <t>Saturday</t>
        </is>
      </c>
      <c r="C146" s="9" t="inlineStr">
        <is>
          <t>AUG</t>
        </is>
      </c>
      <c r="D146" s="9" t="n">
        <v>35</v>
      </c>
      <c r="E146" s="9" t="n"/>
      <c r="F146" s="9" t="n"/>
      <c r="G146" s="16" t="n"/>
      <c r="H146" s="9" t="n"/>
      <c r="I146" s="16" t="n"/>
      <c r="J146" s="9" t="n"/>
      <c r="K146" s="9" t="n"/>
      <c r="L146" s="9" t="n"/>
      <c r="M146" s="9" t="n"/>
      <c r="N146" s="9" t="n"/>
      <c r="O146" s="9" t="n"/>
    </row>
    <row r="147">
      <c r="A147" s="24" t="n">
        <v>46264</v>
      </c>
      <c r="B147" s="25" t="inlineStr">
        <is>
          <t>Sunday</t>
        </is>
      </c>
      <c r="C147" s="25" t="inlineStr">
        <is>
          <t>AUG</t>
        </is>
      </c>
      <c r="D147" s="25" t="n">
        <v>35</v>
      </c>
      <c r="E147" s="25" t="n"/>
      <c r="F147" s="25" t="n"/>
      <c r="G147" s="24" t="n"/>
      <c r="H147" s="25" t="n"/>
      <c r="I147" s="24" t="n"/>
      <c r="J147" s="25" t="n"/>
      <c r="K147" s="25" t="n"/>
      <c r="L147" s="25" t="n"/>
      <c r="M147" s="25" t="n"/>
      <c r="N147" s="25" t="n"/>
      <c r="O147" s="25" t="n"/>
    </row>
    <row r="148">
      <c r="A148" s="16" t="n">
        <v>46264</v>
      </c>
      <c r="B148" s="9" t="inlineStr">
        <is>
          <t>Sunday</t>
        </is>
      </c>
      <c r="C148" s="9" t="inlineStr">
        <is>
          <t>AUG</t>
        </is>
      </c>
      <c r="D148" s="9" t="n">
        <v>35</v>
      </c>
      <c r="E148" s="9" t="n"/>
      <c r="F148" s="9" t="n"/>
      <c r="G148" s="16" t="n"/>
      <c r="H148" s="9" t="n"/>
      <c r="I148" s="16" t="n"/>
      <c r="J148" s="9" t="n"/>
      <c r="K148" s="9" t="n"/>
      <c r="L148" s="9" t="n"/>
      <c r="M148" s="9" t="n"/>
      <c r="N148" s="9" t="n"/>
      <c r="O148" s="9" t="n"/>
    </row>
    <row r="149">
      <c r="A149" s="16" t="n">
        <v>46264</v>
      </c>
      <c r="B149" s="9" t="inlineStr">
        <is>
          <t>Sunday</t>
        </is>
      </c>
      <c r="C149" s="9" t="inlineStr">
        <is>
          <t>AUG</t>
        </is>
      </c>
      <c r="D149" s="9" t="n">
        <v>35</v>
      </c>
      <c r="E149" s="9" t="n"/>
      <c r="F149" s="9" t="n"/>
      <c r="G149" s="16" t="n"/>
      <c r="H149" s="9" t="n"/>
      <c r="I149" s="16" t="n"/>
      <c r="J149" s="9" t="n"/>
      <c r="K149" s="9" t="n"/>
      <c r="L149" s="9" t="n"/>
      <c r="M149" s="9" t="n"/>
      <c r="N149" s="9" t="n"/>
      <c r="O149" s="9" t="n"/>
    </row>
    <row r="150">
      <c r="A150" s="16" t="n">
        <v>46264</v>
      </c>
      <c r="B150" s="9" t="inlineStr">
        <is>
          <t>Sunday</t>
        </is>
      </c>
      <c r="C150" s="9" t="inlineStr">
        <is>
          <t>AUG</t>
        </is>
      </c>
      <c r="D150" s="9" t="n">
        <v>35</v>
      </c>
      <c r="E150" s="9" t="n"/>
      <c r="F150" s="9" t="n"/>
      <c r="G150" s="16" t="n"/>
      <c r="H150" s="9" t="n"/>
      <c r="I150" s="16" t="n"/>
      <c r="J150" s="9" t="n"/>
      <c r="K150" s="9" t="n"/>
      <c r="L150" s="9" t="n"/>
      <c r="M150" s="9" t="n"/>
      <c r="N150" s="9" t="n"/>
      <c r="O150" s="9" t="n"/>
    </row>
    <row r="151">
      <c r="A151" s="16" t="n">
        <v>46264</v>
      </c>
      <c r="B151" s="9" t="inlineStr">
        <is>
          <t>Sunday</t>
        </is>
      </c>
      <c r="C151" s="9" t="inlineStr">
        <is>
          <t>AUG</t>
        </is>
      </c>
      <c r="D151" s="9" t="n">
        <v>35</v>
      </c>
      <c r="E151" s="9" t="n"/>
      <c r="F151" s="9" t="n"/>
      <c r="G151" s="16" t="n"/>
      <c r="H151" s="9" t="n"/>
      <c r="I151" s="16" t="n"/>
      <c r="J151" s="9" t="n"/>
      <c r="K151" s="9" t="n"/>
      <c r="L151" s="9" t="n"/>
      <c r="M151" s="9" t="n"/>
      <c r="N151" s="9" t="n"/>
      <c r="O151" s="9" t="n"/>
    </row>
    <row r="152">
      <c r="A152" s="24" t="n">
        <v>46265</v>
      </c>
      <c r="B152" s="25" t="inlineStr">
        <is>
          <t>Monday</t>
        </is>
      </c>
      <c r="C152" s="25" t="inlineStr">
        <is>
          <t>AUG</t>
        </is>
      </c>
      <c r="D152" s="25" t="n">
        <v>35</v>
      </c>
      <c r="E152" s="25" t="n"/>
      <c r="F152" s="25" t="n"/>
      <c r="G152" s="24" t="n"/>
      <c r="H152" s="25" t="n"/>
      <c r="I152" s="24" t="n"/>
      <c r="J152" s="25" t="n"/>
      <c r="K152" s="25" t="n"/>
      <c r="L152" s="25" t="n"/>
      <c r="M152" s="25" t="n"/>
      <c r="N152" s="25" t="n"/>
      <c r="O152" s="25" t="n"/>
    </row>
    <row r="153">
      <c r="A153" s="16" t="n">
        <v>46265</v>
      </c>
      <c r="B153" s="9" t="inlineStr">
        <is>
          <t>Monday</t>
        </is>
      </c>
      <c r="C153" s="9" t="inlineStr">
        <is>
          <t>AUG</t>
        </is>
      </c>
      <c r="D153" s="9" t="n">
        <v>35</v>
      </c>
      <c r="E153" s="9" t="n"/>
      <c r="F153" s="9" t="n"/>
      <c r="G153" s="16" t="n"/>
      <c r="H153" s="9" t="n"/>
      <c r="I153" s="16" t="n"/>
      <c r="J153" s="9" t="n"/>
      <c r="K153" s="9" t="n"/>
      <c r="L153" s="9" t="n"/>
      <c r="M153" s="9" t="n"/>
      <c r="N153" s="9" t="n"/>
      <c r="O153" s="9" t="n"/>
    </row>
    <row r="154">
      <c r="A154" s="16" t="n">
        <v>46265</v>
      </c>
      <c r="B154" s="9" t="inlineStr">
        <is>
          <t>Monday</t>
        </is>
      </c>
      <c r="C154" s="9" t="inlineStr">
        <is>
          <t>AUG</t>
        </is>
      </c>
      <c r="D154" s="9" t="n">
        <v>35</v>
      </c>
      <c r="E154" s="9" t="n"/>
      <c r="F154" s="9" t="n"/>
      <c r="G154" s="16" t="n"/>
      <c r="H154" s="9" t="n"/>
      <c r="I154" s="16" t="n"/>
      <c r="J154" s="9" t="n"/>
      <c r="K154" s="9" t="n"/>
      <c r="L154" s="9" t="n"/>
      <c r="M154" s="9" t="n"/>
      <c r="N154" s="9" t="n"/>
      <c r="O154" s="9" t="n"/>
    </row>
    <row r="155">
      <c r="A155" s="16" t="n">
        <v>46265</v>
      </c>
      <c r="B155" s="9" t="inlineStr">
        <is>
          <t>Monday</t>
        </is>
      </c>
      <c r="C155" s="9" t="inlineStr">
        <is>
          <t>AUG</t>
        </is>
      </c>
      <c r="D155" s="9" t="n">
        <v>35</v>
      </c>
      <c r="E155" s="9" t="n"/>
      <c r="F155" s="9" t="n"/>
      <c r="G155" s="16" t="n"/>
      <c r="H155" s="9" t="n"/>
      <c r="I155" s="16" t="n"/>
      <c r="J155" s="9" t="n"/>
      <c r="K155" s="9" t="n"/>
      <c r="L155" s="9" t="n"/>
      <c r="M155" s="9" t="n"/>
      <c r="N155" s="9" t="n"/>
      <c r="O155" s="9" t="n"/>
    </row>
    <row r="156">
      <c r="A156" s="16" t="n">
        <v>46265</v>
      </c>
      <c r="B156" s="9" t="inlineStr">
        <is>
          <t>Monday</t>
        </is>
      </c>
      <c r="C156" s="9" t="inlineStr">
        <is>
          <t>AUG</t>
        </is>
      </c>
      <c r="D156" s="9" t="n">
        <v>35</v>
      </c>
      <c r="E156" s="9" t="n"/>
      <c r="F156" s="9" t="n"/>
      <c r="G156" s="16" t="n"/>
      <c r="H156" s="9" t="n"/>
      <c r="I156" s="16" t="n"/>
      <c r="J156" s="9" t="n"/>
      <c r="K156" s="9" t="n"/>
      <c r="L156" s="9" t="n"/>
      <c r="M156" s="9" t="n"/>
      <c r="N156" s="9" t="n"/>
      <c r="O156" s="9" t="n"/>
    </row>
    <row r="157">
      <c r="A157" s="24" t="n">
        <v>46266</v>
      </c>
      <c r="B157" s="25" t="inlineStr">
        <is>
          <t>Tuesday</t>
        </is>
      </c>
      <c r="C157" s="25" t="inlineStr">
        <is>
          <t>SEP</t>
        </is>
      </c>
      <c r="D157" s="25" t="n">
        <v>35</v>
      </c>
      <c r="E157" s="25" t="n"/>
      <c r="F157" s="25" t="n"/>
      <c r="G157" s="24" t="n"/>
      <c r="H157" s="25" t="n"/>
      <c r="I157" s="24" t="n"/>
      <c r="J157" s="25" t="n"/>
      <c r="K157" s="25" t="n"/>
      <c r="L157" s="25" t="n"/>
      <c r="M157" s="25" t="n"/>
      <c r="N157" s="25" t="n"/>
      <c r="O157" s="25" t="n"/>
    </row>
    <row r="158">
      <c r="A158" s="16" t="n">
        <v>46266</v>
      </c>
      <c r="B158" s="9" t="inlineStr">
        <is>
          <t>Tuesday</t>
        </is>
      </c>
      <c r="C158" s="9" t="inlineStr">
        <is>
          <t>SEP</t>
        </is>
      </c>
      <c r="D158" s="9" t="n">
        <v>35</v>
      </c>
      <c r="E158" s="9" t="n"/>
      <c r="F158" s="9" t="n"/>
      <c r="G158" s="16" t="n"/>
      <c r="H158" s="9" t="n"/>
      <c r="I158" s="16" t="n"/>
      <c r="J158" s="9" t="n"/>
      <c r="K158" s="9" t="n"/>
      <c r="L158" s="9" t="n"/>
      <c r="M158" s="9" t="n"/>
      <c r="N158" s="9" t="n"/>
      <c r="O158" s="9" t="n"/>
    </row>
    <row r="159">
      <c r="A159" s="16" t="n">
        <v>46266</v>
      </c>
      <c r="B159" s="9" t="inlineStr">
        <is>
          <t>Tuesday</t>
        </is>
      </c>
      <c r="C159" s="9" t="inlineStr">
        <is>
          <t>SEP</t>
        </is>
      </c>
      <c r="D159" s="9" t="n">
        <v>35</v>
      </c>
      <c r="E159" s="9" t="n"/>
      <c r="F159" s="9" t="n"/>
      <c r="G159" s="16" t="n"/>
      <c r="H159" s="9" t="n"/>
      <c r="I159" s="16" t="n"/>
      <c r="J159" s="9" t="n"/>
      <c r="K159" s="9" t="n"/>
      <c r="L159" s="9" t="n"/>
      <c r="M159" s="9" t="n"/>
      <c r="N159" s="9" t="n"/>
      <c r="O159" s="9" t="n"/>
    </row>
    <row r="160">
      <c r="A160" s="16" t="n">
        <v>46266</v>
      </c>
      <c r="B160" s="9" t="inlineStr">
        <is>
          <t>Tuesday</t>
        </is>
      </c>
      <c r="C160" s="9" t="inlineStr">
        <is>
          <t>SEP</t>
        </is>
      </c>
      <c r="D160" s="9" t="n">
        <v>35</v>
      </c>
      <c r="E160" s="9" t="n"/>
      <c r="F160" s="9" t="n"/>
      <c r="G160" s="16" t="n"/>
      <c r="H160" s="9" t="n"/>
      <c r="I160" s="16" t="n"/>
      <c r="J160" s="9" t="n"/>
      <c r="K160" s="9" t="n"/>
      <c r="L160" s="9" t="n"/>
      <c r="M160" s="9" t="n"/>
      <c r="N160" s="9" t="n"/>
      <c r="O160" s="9" t="n"/>
    </row>
    <row r="161">
      <c r="A161" s="16" t="n">
        <v>46266</v>
      </c>
      <c r="B161" s="9" t="inlineStr">
        <is>
          <t>Tuesday</t>
        </is>
      </c>
      <c r="C161" s="9" t="inlineStr">
        <is>
          <t>SEP</t>
        </is>
      </c>
      <c r="D161" s="9" t="n">
        <v>35</v>
      </c>
      <c r="E161" s="9" t="n"/>
      <c r="F161" s="9" t="n"/>
      <c r="G161" s="16" t="n"/>
      <c r="H161" s="9" t="n"/>
      <c r="I161" s="16" t="n"/>
      <c r="J161" s="9" t="n"/>
      <c r="K161" s="9" t="n"/>
      <c r="L161" s="9" t="n"/>
      <c r="M161" s="9" t="n"/>
      <c r="N161" s="9" t="n"/>
      <c r="O161" s="9" t="n"/>
    </row>
    <row r="162">
      <c r="A162" s="24" t="n">
        <v>46267</v>
      </c>
      <c r="B162" s="25" t="inlineStr">
        <is>
          <t>Wednesday</t>
        </is>
      </c>
      <c r="C162" s="25" t="inlineStr">
        <is>
          <t>SEP</t>
        </is>
      </c>
      <c r="D162" s="25" t="n">
        <v>35</v>
      </c>
      <c r="E162" s="25" t="n"/>
      <c r="F162" s="25" t="n"/>
      <c r="G162" s="24" t="n"/>
      <c r="H162" s="25" t="n"/>
      <c r="I162" s="24" t="n"/>
      <c r="J162" s="25" t="n"/>
      <c r="K162" s="25" t="n"/>
      <c r="L162" s="25" t="n"/>
      <c r="M162" s="25" t="n"/>
      <c r="N162" s="25" t="n"/>
      <c r="O162" s="25" t="n"/>
    </row>
    <row r="163">
      <c r="A163" s="16" t="n">
        <v>46267</v>
      </c>
      <c r="B163" s="9" t="inlineStr">
        <is>
          <t>Wednesday</t>
        </is>
      </c>
      <c r="C163" s="9" t="inlineStr">
        <is>
          <t>SEP</t>
        </is>
      </c>
      <c r="D163" s="9" t="n">
        <v>35</v>
      </c>
      <c r="E163" s="9" t="n"/>
      <c r="F163" s="9" t="n"/>
      <c r="G163" s="16" t="n"/>
      <c r="H163" s="9" t="n"/>
      <c r="I163" s="16" t="n"/>
      <c r="J163" s="9" t="n"/>
      <c r="K163" s="9" t="n"/>
      <c r="L163" s="9" t="n"/>
      <c r="M163" s="9" t="n"/>
      <c r="N163" s="9" t="n"/>
      <c r="O163" s="9" t="n"/>
    </row>
    <row r="164">
      <c r="A164" s="16" t="n">
        <v>46267</v>
      </c>
      <c r="B164" s="9" t="inlineStr">
        <is>
          <t>Wednesday</t>
        </is>
      </c>
      <c r="C164" s="9" t="inlineStr">
        <is>
          <t>SEP</t>
        </is>
      </c>
      <c r="D164" s="9" t="n">
        <v>35</v>
      </c>
      <c r="E164" s="9" t="n"/>
      <c r="F164" s="9" t="n"/>
      <c r="G164" s="16" t="n"/>
      <c r="H164" s="9" t="n"/>
      <c r="I164" s="16" t="n"/>
      <c r="J164" s="9" t="n"/>
      <c r="K164" s="9" t="n"/>
      <c r="L164" s="9" t="n"/>
      <c r="M164" s="9" t="n"/>
      <c r="N164" s="9" t="n"/>
      <c r="O164" s="9" t="n"/>
    </row>
    <row r="165">
      <c r="A165" s="16" t="n">
        <v>46267</v>
      </c>
      <c r="B165" s="9" t="inlineStr">
        <is>
          <t>Wednesday</t>
        </is>
      </c>
      <c r="C165" s="9" t="inlineStr">
        <is>
          <t>SEP</t>
        </is>
      </c>
      <c r="D165" s="9" t="n">
        <v>35</v>
      </c>
      <c r="E165" s="9" t="n"/>
      <c r="F165" s="9" t="n"/>
      <c r="G165" s="16" t="n"/>
      <c r="H165" s="9" t="n"/>
      <c r="I165" s="16" t="n"/>
      <c r="J165" s="9" t="n"/>
      <c r="K165" s="9" t="n"/>
      <c r="L165" s="9" t="n"/>
      <c r="M165" s="9" t="n"/>
      <c r="N165" s="9" t="n"/>
      <c r="O165" s="9" t="n"/>
    </row>
    <row r="166">
      <c r="A166" s="16" t="n">
        <v>46267</v>
      </c>
      <c r="B166" s="9" t="inlineStr">
        <is>
          <t>Wednesday</t>
        </is>
      </c>
      <c r="C166" s="9" t="inlineStr">
        <is>
          <t>SEP</t>
        </is>
      </c>
      <c r="D166" s="9" t="n">
        <v>35</v>
      </c>
      <c r="E166" s="9" t="n"/>
      <c r="F166" s="9" t="n"/>
      <c r="G166" s="16" t="n"/>
      <c r="H166" s="9" t="n"/>
      <c r="I166" s="16" t="n"/>
      <c r="J166" s="9" t="n"/>
      <c r="K166" s="9" t="n"/>
      <c r="L166" s="9" t="n"/>
      <c r="M166" s="9" t="n"/>
      <c r="N166" s="9" t="n"/>
      <c r="O166" s="9" t="n"/>
    </row>
    <row r="167">
      <c r="A167" s="24" t="n">
        <v>46268</v>
      </c>
      <c r="B167" s="25" t="inlineStr">
        <is>
          <t>Thursday</t>
        </is>
      </c>
      <c r="C167" s="25" t="inlineStr">
        <is>
          <t>SEP</t>
        </is>
      </c>
      <c r="D167" s="25" t="n">
        <v>35</v>
      </c>
      <c r="E167" s="25" t="n"/>
      <c r="F167" s="25" t="n"/>
      <c r="G167" s="24" t="n"/>
      <c r="H167" s="25" t="n"/>
      <c r="I167" s="24" t="n"/>
      <c r="J167" s="25" t="n"/>
      <c r="K167" s="25" t="n"/>
      <c r="L167" s="25" t="n"/>
      <c r="M167" s="25" t="n"/>
      <c r="N167" s="25" t="n"/>
      <c r="O167" s="25" t="n"/>
    </row>
    <row r="168">
      <c r="A168" s="16" t="n">
        <v>46268</v>
      </c>
      <c r="B168" s="9" t="inlineStr">
        <is>
          <t>Thursday</t>
        </is>
      </c>
      <c r="C168" s="9" t="inlineStr">
        <is>
          <t>SEP</t>
        </is>
      </c>
      <c r="D168" s="9" t="n">
        <v>35</v>
      </c>
      <c r="E168" s="9" t="n"/>
      <c r="F168" s="9" t="n"/>
      <c r="G168" s="16" t="n"/>
      <c r="H168" s="9" t="n"/>
      <c r="I168" s="16" t="n"/>
      <c r="J168" s="9" t="n"/>
      <c r="K168" s="9" t="n"/>
      <c r="L168" s="9" t="n"/>
      <c r="M168" s="9" t="n"/>
      <c r="N168" s="9" t="n"/>
      <c r="O168" s="9" t="n"/>
    </row>
    <row r="169">
      <c r="A169" s="16" t="n">
        <v>46268</v>
      </c>
      <c r="B169" s="9" t="inlineStr">
        <is>
          <t>Thursday</t>
        </is>
      </c>
      <c r="C169" s="9" t="inlineStr">
        <is>
          <t>SEP</t>
        </is>
      </c>
      <c r="D169" s="9" t="n">
        <v>35</v>
      </c>
      <c r="E169" s="9" t="n"/>
      <c r="F169" s="9" t="n"/>
      <c r="G169" s="16" t="n"/>
      <c r="H169" s="9" t="n"/>
      <c r="I169" s="16" t="n"/>
      <c r="J169" s="9" t="n"/>
      <c r="K169" s="9" t="n"/>
      <c r="L169" s="9" t="n"/>
      <c r="M169" s="9" t="n"/>
      <c r="N169" s="9" t="n"/>
      <c r="O169" s="9" t="n"/>
    </row>
    <row r="170">
      <c r="A170" s="16" t="n">
        <v>46268</v>
      </c>
      <c r="B170" s="9" t="inlineStr">
        <is>
          <t>Thursday</t>
        </is>
      </c>
      <c r="C170" s="9" t="inlineStr">
        <is>
          <t>SEP</t>
        </is>
      </c>
      <c r="D170" s="9" t="n">
        <v>35</v>
      </c>
      <c r="E170" s="9" t="n"/>
      <c r="F170" s="9" t="n"/>
      <c r="G170" s="16" t="n"/>
      <c r="H170" s="9" t="n"/>
      <c r="I170" s="16" t="n"/>
      <c r="J170" s="9" t="n"/>
      <c r="K170" s="9" t="n"/>
      <c r="L170" s="9" t="n"/>
      <c r="M170" s="9" t="n"/>
      <c r="N170" s="9" t="n"/>
      <c r="O170" s="9" t="n"/>
    </row>
    <row r="171">
      <c r="A171" s="16" t="n">
        <v>46268</v>
      </c>
      <c r="B171" s="9" t="inlineStr">
        <is>
          <t>Thursday</t>
        </is>
      </c>
      <c r="C171" s="9" t="inlineStr">
        <is>
          <t>SEP</t>
        </is>
      </c>
      <c r="D171" s="9" t="n">
        <v>35</v>
      </c>
      <c r="E171" s="9" t="n"/>
      <c r="F171" s="9" t="n"/>
      <c r="G171" s="16" t="n"/>
      <c r="H171" s="9" t="n"/>
      <c r="I171" s="16" t="n"/>
      <c r="J171" s="9" t="n"/>
      <c r="K171" s="9" t="n"/>
      <c r="L171" s="9" t="n"/>
      <c r="M171" s="9" t="n"/>
      <c r="N171" s="9" t="n"/>
      <c r="O171" s="9" t="n"/>
    </row>
    <row r="172">
      <c r="A172" s="24" t="n">
        <v>46269</v>
      </c>
      <c r="B172" s="25" t="inlineStr">
        <is>
          <t>Friday</t>
        </is>
      </c>
      <c r="C172" s="25" t="inlineStr">
        <is>
          <t>SEP</t>
        </is>
      </c>
      <c r="D172" s="25" t="n">
        <v>36</v>
      </c>
      <c r="E172" s="25" t="n"/>
      <c r="F172" s="25" t="n"/>
      <c r="G172" s="24" t="n"/>
      <c r="H172" s="25" t="n"/>
      <c r="I172" s="24" t="n"/>
      <c r="J172" s="25" t="n"/>
      <c r="K172" s="25" t="n"/>
      <c r="L172" s="25" t="n"/>
      <c r="M172" s="25" t="n"/>
      <c r="N172" s="25" t="n"/>
      <c r="O172" s="25" t="n"/>
    </row>
    <row r="173">
      <c r="A173" s="16" t="n">
        <v>46269</v>
      </c>
      <c r="B173" s="9" t="inlineStr">
        <is>
          <t>Friday</t>
        </is>
      </c>
      <c r="C173" s="9" t="inlineStr">
        <is>
          <t>SEP</t>
        </is>
      </c>
      <c r="D173" s="9" t="n">
        <v>36</v>
      </c>
      <c r="E173" s="9" t="n"/>
      <c r="F173" s="9" t="n"/>
      <c r="G173" s="16" t="n"/>
      <c r="H173" s="9" t="n"/>
      <c r="I173" s="16" t="n"/>
      <c r="J173" s="9" t="n"/>
      <c r="K173" s="9" t="n"/>
      <c r="L173" s="9" t="n"/>
      <c r="M173" s="9" t="n"/>
      <c r="N173" s="9" t="n"/>
      <c r="O173" s="9" t="n"/>
    </row>
    <row r="174">
      <c r="A174" s="16" t="n">
        <v>46269</v>
      </c>
      <c r="B174" s="9" t="inlineStr">
        <is>
          <t>Friday</t>
        </is>
      </c>
      <c r="C174" s="9" t="inlineStr">
        <is>
          <t>SEP</t>
        </is>
      </c>
      <c r="D174" s="9" t="n">
        <v>36</v>
      </c>
      <c r="E174" s="9" t="n"/>
      <c r="F174" s="9" t="n"/>
      <c r="G174" s="16" t="n"/>
      <c r="H174" s="9" t="n"/>
      <c r="I174" s="16" t="n"/>
      <c r="J174" s="9" t="n"/>
      <c r="K174" s="9" t="n"/>
      <c r="L174" s="9" t="n"/>
      <c r="M174" s="9" t="n"/>
      <c r="N174" s="9" t="n"/>
      <c r="O174" s="9" t="n"/>
    </row>
    <row r="175">
      <c r="A175" s="16" t="n">
        <v>46269</v>
      </c>
      <c r="B175" s="9" t="inlineStr">
        <is>
          <t>Friday</t>
        </is>
      </c>
      <c r="C175" s="9" t="inlineStr">
        <is>
          <t>SEP</t>
        </is>
      </c>
      <c r="D175" s="9" t="n">
        <v>36</v>
      </c>
      <c r="E175" s="9" t="n"/>
      <c r="F175" s="9" t="n"/>
      <c r="G175" s="16" t="n"/>
      <c r="H175" s="9" t="n"/>
      <c r="I175" s="16" t="n"/>
      <c r="J175" s="9" t="n"/>
      <c r="K175" s="9" t="n"/>
      <c r="L175" s="9" t="n"/>
      <c r="M175" s="9" t="n"/>
      <c r="N175" s="9" t="n"/>
      <c r="O175" s="9" t="n"/>
    </row>
    <row r="176">
      <c r="A176" s="16" t="n">
        <v>46269</v>
      </c>
      <c r="B176" s="9" t="inlineStr">
        <is>
          <t>Friday</t>
        </is>
      </c>
      <c r="C176" s="9" t="inlineStr">
        <is>
          <t>SEP</t>
        </is>
      </c>
      <c r="D176" s="9" t="n">
        <v>36</v>
      </c>
      <c r="E176" s="9" t="n"/>
      <c r="F176" s="9" t="n"/>
      <c r="G176" s="16" t="n"/>
      <c r="H176" s="9" t="n"/>
      <c r="I176" s="16" t="n"/>
      <c r="J176" s="9" t="n"/>
      <c r="K176" s="9" t="n"/>
      <c r="L176" s="9" t="n"/>
      <c r="M176" s="9" t="n"/>
      <c r="N176" s="9" t="n"/>
      <c r="O176" s="9" t="n"/>
    </row>
    <row r="177">
      <c r="A177" s="24" t="n">
        <v>46270</v>
      </c>
      <c r="B177" s="25" t="inlineStr">
        <is>
          <t>Saturday</t>
        </is>
      </c>
      <c r="C177" s="25" t="inlineStr">
        <is>
          <t>SEP</t>
        </is>
      </c>
      <c r="D177" s="25" t="n">
        <v>36</v>
      </c>
      <c r="E177" s="25" t="n"/>
      <c r="F177" s="25" t="n"/>
      <c r="G177" s="24" t="n"/>
      <c r="H177" s="25" t="n"/>
      <c r="I177" s="24" t="n"/>
      <c r="J177" s="25" t="n"/>
      <c r="K177" s="25" t="n"/>
      <c r="L177" s="25" t="n"/>
      <c r="M177" s="25" t="n"/>
      <c r="N177" s="25" t="n"/>
      <c r="O177" s="25" t="n"/>
    </row>
    <row r="178">
      <c r="A178" s="16" t="n">
        <v>46270</v>
      </c>
      <c r="B178" s="9" t="inlineStr">
        <is>
          <t>Saturday</t>
        </is>
      </c>
      <c r="C178" s="9" t="inlineStr">
        <is>
          <t>SEP</t>
        </is>
      </c>
      <c r="D178" s="9" t="n">
        <v>36</v>
      </c>
      <c r="E178" s="9" t="n"/>
      <c r="F178" s="9" t="n"/>
      <c r="G178" s="16" t="n"/>
      <c r="H178" s="9" t="n"/>
      <c r="I178" s="16" t="n"/>
      <c r="J178" s="9" t="n"/>
      <c r="K178" s="9" t="n"/>
      <c r="L178" s="9" t="n"/>
      <c r="M178" s="9" t="n"/>
      <c r="N178" s="9" t="n"/>
      <c r="O178" s="9" t="n"/>
    </row>
    <row r="179">
      <c r="A179" s="16" t="n">
        <v>46270</v>
      </c>
      <c r="B179" s="9" t="inlineStr">
        <is>
          <t>Saturday</t>
        </is>
      </c>
      <c r="C179" s="9" t="inlineStr">
        <is>
          <t>SEP</t>
        </is>
      </c>
      <c r="D179" s="9" t="n">
        <v>36</v>
      </c>
      <c r="E179" s="9" t="n"/>
      <c r="F179" s="9" t="n"/>
      <c r="G179" s="16" t="n"/>
      <c r="H179" s="9" t="n"/>
      <c r="I179" s="16" t="n"/>
      <c r="J179" s="9" t="n"/>
      <c r="K179" s="9" t="n"/>
      <c r="L179" s="9" t="n"/>
      <c r="M179" s="9" t="n"/>
      <c r="N179" s="9" t="n"/>
      <c r="O179" s="9" t="n"/>
    </row>
    <row r="180">
      <c r="A180" s="16" t="n">
        <v>46270</v>
      </c>
      <c r="B180" s="9" t="inlineStr">
        <is>
          <t>Saturday</t>
        </is>
      </c>
      <c r="C180" s="9" t="inlineStr">
        <is>
          <t>SEP</t>
        </is>
      </c>
      <c r="D180" s="9" t="n">
        <v>36</v>
      </c>
      <c r="E180" s="9" t="n"/>
      <c r="F180" s="9" t="n"/>
      <c r="G180" s="16" t="n"/>
      <c r="H180" s="9" t="n"/>
      <c r="I180" s="16" t="n"/>
      <c r="J180" s="9" t="n"/>
      <c r="K180" s="9" t="n"/>
      <c r="L180" s="9" t="n"/>
      <c r="M180" s="9" t="n"/>
      <c r="N180" s="9" t="n"/>
      <c r="O180" s="9" t="n"/>
    </row>
    <row r="181">
      <c r="A181" s="16" t="n">
        <v>46270</v>
      </c>
      <c r="B181" s="9" t="inlineStr">
        <is>
          <t>Saturday</t>
        </is>
      </c>
      <c r="C181" s="9" t="inlineStr">
        <is>
          <t>SEP</t>
        </is>
      </c>
      <c r="D181" s="9" t="n">
        <v>36</v>
      </c>
      <c r="E181" s="9" t="n"/>
      <c r="F181" s="9" t="n"/>
      <c r="G181" s="16" t="n"/>
      <c r="H181" s="9" t="n"/>
      <c r="I181" s="16" t="n"/>
      <c r="J181" s="9" t="n"/>
      <c r="K181" s="9" t="n"/>
      <c r="L181" s="9" t="n"/>
      <c r="M181" s="9" t="n"/>
      <c r="N181" s="9" t="n"/>
      <c r="O181" s="9" t="n"/>
    </row>
    <row r="182">
      <c r="A182" s="24" t="n">
        <v>46271</v>
      </c>
      <c r="B182" s="25" t="inlineStr">
        <is>
          <t>Sunday</t>
        </is>
      </c>
      <c r="C182" s="25" t="inlineStr">
        <is>
          <t>SEP</t>
        </is>
      </c>
      <c r="D182" s="25" t="n">
        <v>36</v>
      </c>
      <c r="E182" s="25" t="n"/>
      <c r="F182" s="25" t="n"/>
      <c r="G182" s="24" t="n"/>
      <c r="H182" s="25" t="n"/>
      <c r="I182" s="24" t="n"/>
      <c r="J182" s="25" t="n"/>
      <c r="K182" s="25" t="n"/>
      <c r="L182" s="25" t="n"/>
      <c r="M182" s="25" t="n"/>
      <c r="N182" s="25" t="n"/>
      <c r="O182" s="25" t="n"/>
    </row>
    <row r="183">
      <c r="A183" s="16" t="n">
        <v>46271</v>
      </c>
      <c r="B183" s="9" t="inlineStr">
        <is>
          <t>Sunday</t>
        </is>
      </c>
      <c r="C183" s="9" t="inlineStr">
        <is>
          <t>SEP</t>
        </is>
      </c>
      <c r="D183" s="9" t="n">
        <v>36</v>
      </c>
      <c r="E183" s="9" t="n"/>
      <c r="F183" s="9" t="n"/>
      <c r="G183" s="16" t="n"/>
      <c r="H183" s="9" t="n"/>
      <c r="I183" s="16" t="n"/>
      <c r="J183" s="9" t="n"/>
      <c r="K183" s="9" t="n"/>
      <c r="L183" s="9" t="n"/>
      <c r="M183" s="9" t="n"/>
      <c r="N183" s="9" t="n"/>
      <c r="O183" s="9" t="n"/>
    </row>
    <row r="184">
      <c r="A184" s="16" t="n">
        <v>46271</v>
      </c>
      <c r="B184" s="9" t="inlineStr">
        <is>
          <t>Sunday</t>
        </is>
      </c>
      <c r="C184" s="9" t="inlineStr">
        <is>
          <t>SEP</t>
        </is>
      </c>
      <c r="D184" s="9" t="n">
        <v>36</v>
      </c>
      <c r="E184" s="9" t="n"/>
      <c r="F184" s="9" t="n"/>
      <c r="G184" s="16" t="n"/>
      <c r="H184" s="9" t="n"/>
      <c r="I184" s="16" t="n"/>
      <c r="J184" s="9" t="n"/>
      <c r="K184" s="9" t="n"/>
      <c r="L184" s="9" t="n"/>
      <c r="M184" s="9" t="n"/>
      <c r="N184" s="9" t="n"/>
      <c r="O184" s="9" t="n"/>
    </row>
    <row r="185">
      <c r="A185" s="16" t="n">
        <v>46271</v>
      </c>
      <c r="B185" s="9" t="inlineStr">
        <is>
          <t>Sunday</t>
        </is>
      </c>
      <c r="C185" s="9" t="inlineStr">
        <is>
          <t>SEP</t>
        </is>
      </c>
      <c r="D185" s="9" t="n">
        <v>36</v>
      </c>
      <c r="E185" s="9" t="n"/>
      <c r="F185" s="9" t="n"/>
      <c r="G185" s="16" t="n"/>
      <c r="H185" s="9" t="n"/>
      <c r="I185" s="16" t="n"/>
      <c r="J185" s="9" t="n"/>
      <c r="K185" s="9" t="n"/>
      <c r="L185" s="9" t="n"/>
      <c r="M185" s="9" t="n"/>
      <c r="N185" s="9" t="n"/>
      <c r="O185" s="9" t="n"/>
    </row>
    <row r="186">
      <c r="A186" s="16" t="n">
        <v>46271</v>
      </c>
      <c r="B186" s="9" t="inlineStr">
        <is>
          <t>Sunday</t>
        </is>
      </c>
      <c r="C186" s="9" t="inlineStr">
        <is>
          <t>SEP</t>
        </is>
      </c>
      <c r="D186" s="9" t="n">
        <v>36</v>
      </c>
      <c r="E186" s="9" t="n"/>
      <c r="F186" s="9" t="n"/>
      <c r="G186" s="16" t="n"/>
      <c r="H186" s="9" t="n"/>
      <c r="I186" s="16" t="n"/>
      <c r="J186" s="9" t="n"/>
      <c r="K186" s="9" t="n"/>
      <c r="L186" s="9" t="n"/>
      <c r="M186" s="9" t="n"/>
      <c r="N186" s="9" t="n"/>
      <c r="O186" s="9" t="n"/>
    </row>
    <row r="187">
      <c r="A187" s="24" t="n">
        <v>46272</v>
      </c>
      <c r="B187" s="25" t="inlineStr">
        <is>
          <t>Monday</t>
        </is>
      </c>
      <c r="C187" s="25" t="inlineStr">
        <is>
          <t>SEP</t>
        </is>
      </c>
      <c r="D187" s="25" t="n">
        <v>36</v>
      </c>
      <c r="E187" s="25" t="n"/>
      <c r="F187" s="25" t="n"/>
      <c r="G187" s="24" t="n"/>
      <c r="H187" s="25" t="n"/>
      <c r="I187" s="24" t="n"/>
      <c r="J187" s="25" t="n"/>
      <c r="K187" s="25" t="n"/>
      <c r="L187" s="25" t="n"/>
      <c r="M187" s="25" t="n"/>
      <c r="N187" s="25" t="n"/>
      <c r="O187" s="25" t="n"/>
    </row>
    <row r="188">
      <c r="A188" s="16" t="n">
        <v>46272</v>
      </c>
      <c r="B188" s="9" t="inlineStr">
        <is>
          <t>Monday</t>
        </is>
      </c>
      <c r="C188" s="9" t="inlineStr">
        <is>
          <t>SEP</t>
        </is>
      </c>
      <c r="D188" s="9" t="n">
        <v>36</v>
      </c>
      <c r="E188" s="9" t="n"/>
      <c r="F188" s="9" t="n"/>
      <c r="G188" s="16" t="n"/>
      <c r="H188" s="9" t="n"/>
      <c r="I188" s="16" t="n"/>
      <c r="J188" s="9" t="n"/>
      <c r="K188" s="9" t="n"/>
      <c r="L188" s="9" t="n"/>
      <c r="M188" s="9" t="n"/>
      <c r="N188" s="9" t="n"/>
      <c r="O188" s="9" t="n"/>
    </row>
    <row r="189">
      <c r="A189" s="16" t="n">
        <v>46272</v>
      </c>
      <c r="B189" s="9" t="inlineStr">
        <is>
          <t>Monday</t>
        </is>
      </c>
      <c r="C189" s="9" t="inlineStr">
        <is>
          <t>SEP</t>
        </is>
      </c>
      <c r="D189" s="9" t="n">
        <v>36</v>
      </c>
      <c r="E189" s="9" t="n"/>
      <c r="F189" s="9" t="n"/>
      <c r="G189" s="16" t="n"/>
      <c r="H189" s="9" t="n"/>
      <c r="I189" s="16" t="n"/>
      <c r="J189" s="9" t="n"/>
      <c r="K189" s="9" t="n"/>
      <c r="L189" s="9" t="n"/>
      <c r="M189" s="9" t="n"/>
      <c r="N189" s="9" t="n"/>
      <c r="O189" s="9" t="n"/>
    </row>
    <row r="190">
      <c r="A190" s="16" t="n">
        <v>46272</v>
      </c>
      <c r="B190" s="9" t="inlineStr">
        <is>
          <t>Monday</t>
        </is>
      </c>
      <c r="C190" s="9" t="inlineStr">
        <is>
          <t>SEP</t>
        </is>
      </c>
      <c r="D190" s="9" t="n">
        <v>36</v>
      </c>
      <c r="E190" s="9" t="n"/>
      <c r="F190" s="9" t="n"/>
      <c r="G190" s="16" t="n"/>
      <c r="H190" s="9" t="n"/>
      <c r="I190" s="16" t="n"/>
      <c r="J190" s="9" t="n"/>
      <c r="K190" s="9" t="n"/>
      <c r="L190" s="9" t="n"/>
      <c r="M190" s="9" t="n"/>
      <c r="N190" s="9" t="n"/>
      <c r="O190" s="9" t="n"/>
    </row>
    <row r="191">
      <c r="A191" s="16" t="n">
        <v>46272</v>
      </c>
      <c r="B191" s="9" t="inlineStr">
        <is>
          <t>Monday</t>
        </is>
      </c>
      <c r="C191" s="9" t="inlineStr">
        <is>
          <t>SEP</t>
        </is>
      </c>
      <c r="D191" s="9" t="n">
        <v>36</v>
      </c>
      <c r="E191" s="9" t="n"/>
      <c r="F191" s="9" t="n"/>
      <c r="G191" s="16" t="n"/>
      <c r="H191" s="9" t="n"/>
      <c r="I191" s="16" t="n"/>
      <c r="J191" s="9" t="n"/>
      <c r="K191" s="9" t="n"/>
      <c r="L191" s="9" t="n"/>
      <c r="M191" s="9" t="n"/>
      <c r="N191" s="9" t="n"/>
      <c r="O191" s="9" t="n"/>
    </row>
    <row r="192">
      <c r="A192" s="24" t="n">
        <v>46273</v>
      </c>
      <c r="B192" s="25" t="inlineStr">
        <is>
          <t>Tuesday</t>
        </is>
      </c>
      <c r="C192" s="25" t="inlineStr">
        <is>
          <t>SEP</t>
        </is>
      </c>
      <c r="D192" s="25" t="n">
        <v>36</v>
      </c>
      <c r="E192" s="25" t="n"/>
      <c r="F192" s="25" t="n"/>
      <c r="G192" s="24" t="n"/>
      <c r="H192" s="25" t="n"/>
      <c r="I192" s="24" t="n"/>
      <c r="J192" s="25" t="n"/>
      <c r="K192" s="25" t="n"/>
      <c r="L192" s="25" t="n"/>
      <c r="M192" s="25" t="n"/>
      <c r="N192" s="25" t="n"/>
      <c r="O192" s="25" t="n"/>
    </row>
    <row r="193">
      <c r="A193" s="16" t="n">
        <v>46273</v>
      </c>
      <c r="B193" s="9" t="inlineStr">
        <is>
          <t>Tuesday</t>
        </is>
      </c>
      <c r="C193" s="9" t="inlineStr">
        <is>
          <t>SEP</t>
        </is>
      </c>
      <c r="D193" s="9" t="n">
        <v>36</v>
      </c>
      <c r="E193" s="9" t="n"/>
      <c r="F193" s="9" t="n"/>
      <c r="G193" s="16" t="n"/>
      <c r="H193" s="9" t="n"/>
      <c r="I193" s="16" t="n"/>
      <c r="J193" s="9" t="n"/>
      <c r="K193" s="9" t="n"/>
      <c r="L193" s="9" t="n"/>
      <c r="M193" s="9" t="n"/>
      <c r="N193" s="9" t="n"/>
      <c r="O193" s="9" t="n"/>
    </row>
    <row r="194">
      <c r="A194" s="16" t="n">
        <v>46273</v>
      </c>
      <c r="B194" s="9" t="inlineStr">
        <is>
          <t>Tuesday</t>
        </is>
      </c>
      <c r="C194" s="9" t="inlineStr">
        <is>
          <t>SEP</t>
        </is>
      </c>
      <c r="D194" s="9" t="n">
        <v>36</v>
      </c>
      <c r="E194" s="9" t="n"/>
      <c r="F194" s="9" t="n"/>
      <c r="G194" s="16" t="n"/>
      <c r="H194" s="9" t="n"/>
      <c r="I194" s="16" t="n"/>
      <c r="J194" s="9" t="n"/>
      <c r="K194" s="9" t="n"/>
      <c r="L194" s="9" t="n"/>
      <c r="M194" s="9" t="n"/>
      <c r="N194" s="9" t="n"/>
      <c r="O194" s="9" t="n"/>
    </row>
    <row r="195">
      <c r="A195" s="16" t="n">
        <v>46273</v>
      </c>
      <c r="B195" s="9" t="inlineStr">
        <is>
          <t>Tuesday</t>
        </is>
      </c>
      <c r="C195" s="9" t="inlineStr">
        <is>
          <t>SEP</t>
        </is>
      </c>
      <c r="D195" s="9" t="n">
        <v>36</v>
      </c>
      <c r="E195" s="9" t="n"/>
      <c r="F195" s="9" t="n"/>
      <c r="G195" s="16" t="n"/>
      <c r="H195" s="9" t="n"/>
      <c r="I195" s="16" t="n"/>
      <c r="J195" s="9" t="n"/>
      <c r="K195" s="9" t="n"/>
      <c r="L195" s="9" t="n"/>
      <c r="M195" s="9" t="n"/>
      <c r="N195" s="9" t="n"/>
      <c r="O195" s="9" t="n"/>
    </row>
    <row r="196">
      <c r="A196" s="16" t="n">
        <v>46273</v>
      </c>
      <c r="B196" s="9" t="inlineStr">
        <is>
          <t>Tuesday</t>
        </is>
      </c>
      <c r="C196" s="9" t="inlineStr">
        <is>
          <t>SEP</t>
        </is>
      </c>
      <c r="D196" s="9" t="n">
        <v>36</v>
      </c>
      <c r="E196" s="9" t="n"/>
      <c r="F196" s="9" t="n"/>
      <c r="G196" s="16" t="n"/>
      <c r="H196" s="9" t="n"/>
      <c r="I196" s="16" t="n"/>
      <c r="J196" s="9" t="n"/>
      <c r="K196" s="9" t="n"/>
      <c r="L196" s="9" t="n"/>
      <c r="M196" s="9" t="n"/>
      <c r="N196" s="9" t="n"/>
      <c r="O196" s="9" t="n"/>
    </row>
    <row r="197">
      <c r="A197" s="24" t="n">
        <v>46274</v>
      </c>
      <c r="B197" s="25" t="inlineStr">
        <is>
          <t>Wednesday</t>
        </is>
      </c>
      <c r="C197" s="25" t="inlineStr">
        <is>
          <t>SEP</t>
        </is>
      </c>
      <c r="D197" s="25" t="n">
        <v>36</v>
      </c>
      <c r="E197" s="25" t="n"/>
      <c r="F197" s="25" t="n"/>
      <c r="G197" s="24" t="n"/>
      <c r="H197" s="25" t="n"/>
      <c r="I197" s="24" t="n"/>
      <c r="J197" s="25" t="n"/>
      <c r="K197" s="25" t="n"/>
      <c r="L197" s="25" t="n"/>
      <c r="M197" s="25" t="n"/>
      <c r="N197" s="25" t="n"/>
      <c r="O197" s="25" t="n"/>
    </row>
    <row r="198">
      <c r="A198" s="16" t="n">
        <v>46274</v>
      </c>
      <c r="B198" s="9" t="inlineStr">
        <is>
          <t>Wednesday</t>
        </is>
      </c>
      <c r="C198" s="9" t="inlineStr">
        <is>
          <t>SEP</t>
        </is>
      </c>
      <c r="D198" s="9" t="n">
        <v>36</v>
      </c>
      <c r="E198" s="9" t="n"/>
      <c r="F198" s="9" t="n"/>
      <c r="G198" s="16" t="n"/>
      <c r="H198" s="9" t="n"/>
      <c r="I198" s="16" t="n"/>
      <c r="J198" s="9" t="n"/>
      <c r="K198" s="9" t="n"/>
      <c r="L198" s="9" t="n"/>
      <c r="M198" s="9" t="n"/>
      <c r="N198" s="9" t="n"/>
      <c r="O198" s="9" t="n"/>
    </row>
    <row r="199">
      <c r="A199" s="16" t="n">
        <v>46274</v>
      </c>
      <c r="B199" s="9" t="inlineStr">
        <is>
          <t>Wednesday</t>
        </is>
      </c>
      <c r="C199" s="9" t="inlineStr">
        <is>
          <t>SEP</t>
        </is>
      </c>
      <c r="D199" s="9" t="n">
        <v>36</v>
      </c>
      <c r="E199" s="9" t="n"/>
      <c r="F199" s="9" t="n"/>
      <c r="G199" s="16" t="n"/>
      <c r="H199" s="9" t="n"/>
      <c r="I199" s="16" t="n"/>
      <c r="J199" s="9" t="n"/>
      <c r="K199" s="9" t="n"/>
      <c r="L199" s="9" t="n"/>
      <c r="M199" s="9" t="n"/>
      <c r="N199" s="9" t="n"/>
      <c r="O199" s="9" t="n"/>
    </row>
    <row r="200">
      <c r="A200" s="16" t="n">
        <v>46274</v>
      </c>
      <c r="B200" s="9" t="inlineStr">
        <is>
          <t>Wednesday</t>
        </is>
      </c>
      <c r="C200" s="9" t="inlineStr">
        <is>
          <t>SEP</t>
        </is>
      </c>
      <c r="D200" s="9" t="n">
        <v>36</v>
      </c>
      <c r="E200" s="9" t="n"/>
      <c r="F200" s="9" t="n"/>
      <c r="G200" s="16" t="n"/>
      <c r="H200" s="9" t="n"/>
      <c r="I200" s="16" t="n"/>
      <c r="J200" s="9" t="n"/>
      <c r="K200" s="9" t="n"/>
      <c r="L200" s="9" t="n"/>
      <c r="M200" s="9" t="n"/>
      <c r="N200" s="9" t="n"/>
      <c r="O200" s="9" t="n"/>
    </row>
    <row r="201">
      <c r="A201" s="16" t="n">
        <v>46274</v>
      </c>
      <c r="B201" s="9" t="inlineStr">
        <is>
          <t>Wednesday</t>
        </is>
      </c>
      <c r="C201" s="9" t="inlineStr">
        <is>
          <t>SEP</t>
        </is>
      </c>
      <c r="D201" s="9" t="n">
        <v>36</v>
      </c>
      <c r="E201" s="9" t="n"/>
      <c r="F201" s="9" t="n"/>
      <c r="G201" s="16" t="n"/>
      <c r="H201" s="9" t="n"/>
      <c r="I201" s="16" t="n"/>
      <c r="J201" s="9" t="n"/>
      <c r="K201" s="9" t="n"/>
      <c r="L201" s="9" t="n"/>
      <c r="M201" s="9" t="n"/>
      <c r="N201" s="9" t="n"/>
      <c r="O201" s="9" t="n"/>
    </row>
    <row r="202">
      <c r="A202" s="24" t="n">
        <v>46275</v>
      </c>
      <c r="B202" s="25" t="inlineStr">
        <is>
          <t>Thursday</t>
        </is>
      </c>
      <c r="C202" s="25" t="inlineStr">
        <is>
          <t>SEP</t>
        </is>
      </c>
      <c r="D202" s="25" t="n">
        <v>36</v>
      </c>
      <c r="E202" s="25" t="n"/>
      <c r="F202" s="25" t="n"/>
      <c r="G202" s="24" t="n"/>
      <c r="H202" s="25" t="n"/>
      <c r="I202" s="24" t="n"/>
      <c r="J202" s="25" t="n"/>
      <c r="K202" s="25" t="n"/>
      <c r="L202" s="25" t="n"/>
      <c r="M202" s="25" t="n"/>
      <c r="N202" s="25" t="n"/>
      <c r="O202" s="25" t="n"/>
    </row>
    <row r="203">
      <c r="A203" s="16" t="n">
        <v>46275</v>
      </c>
      <c r="B203" s="9" t="inlineStr">
        <is>
          <t>Thursday</t>
        </is>
      </c>
      <c r="C203" s="9" t="inlineStr">
        <is>
          <t>SEP</t>
        </is>
      </c>
      <c r="D203" s="9" t="n">
        <v>36</v>
      </c>
      <c r="E203" s="9" t="n"/>
      <c r="F203" s="9" t="n"/>
      <c r="G203" s="16" t="n"/>
      <c r="H203" s="9" t="n"/>
      <c r="I203" s="16" t="n"/>
      <c r="J203" s="9" t="n"/>
      <c r="K203" s="9" t="n"/>
      <c r="L203" s="9" t="n"/>
      <c r="M203" s="9" t="n"/>
      <c r="N203" s="9" t="n"/>
      <c r="O203" s="9" t="n"/>
    </row>
    <row r="204">
      <c r="A204" s="16" t="n">
        <v>46275</v>
      </c>
      <c r="B204" s="9" t="inlineStr">
        <is>
          <t>Thursday</t>
        </is>
      </c>
      <c r="C204" s="9" t="inlineStr">
        <is>
          <t>SEP</t>
        </is>
      </c>
      <c r="D204" s="9" t="n">
        <v>36</v>
      </c>
      <c r="E204" s="9" t="n"/>
      <c r="F204" s="9" t="n"/>
      <c r="G204" s="16" t="n"/>
      <c r="H204" s="9" t="n"/>
      <c r="I204" s="16" t="n"/>
      <c r="J204" s="9" t="n"/>
      <c r="K204" s="9" t="n"/>
      <c r="L204" s="9" t="n"/>
      <c r="M204" s="9" t="n"/>
      <c r="N204" s="9" t="n"/>
      <c r="O204" s="9" t="n"/>
    </row>
    <row r="205">
      <c r="A205" s="16" t="n">
        <v>46275</v>
      </c>
      <c r="B205" s="9" t="inlineStr">
        <is>
          <t>Thursday</t>
        </is>
      </c>
      <c r="C205" s="9" t="inlineStr">
        <is>
          <t>SEP</t>
        </is>
      </c>
      <c r="D205" s="9" t="n">
        <v>36</v>
      </c>
      <c r="E205" s="9" t="n"/>
      <c r="F205" s="9" t="n"/>
      <c r="G205" s="16" t="n"/>
      <c r="H205" s="9" t="n"/>
      <c r="I205" s="16" t="n"/>
      <c r="J205" s="9" t="n"/>
      <c r="K205" s="9" t="n"/>
      <c r="L205" s="9" t="n"/>
      <c r="M205" s="9" t="n"/>
      <c r="N205" s="9" t="n"/>
      <c r="O205" s="9" t="n"/>
    </row>
    <row r="206">
      <c r="A206" s="16" t="n">
        <v>46275</v>
      </c>
      <c r="B206" s="9" t="inlineStr">
        <is>
          <t>Thursday</t>
        </is>
      </c>
      <c r="C206" s="9" t="inlineStr">
        <is>
          <t>SEP</t>
        </is>
      </c>
      <c r="D206" s="9" t="n">
        <v>36</v>
      </c>
      <c r="E206" s="9" t="n"/>
      <c r="F206" s="9" t="n"/>
      <c r="G206" s="16" t="n"/>
      <c r="H206" s="9" t="n"/>
      <c r="I206" s="16" t="n"/>
      <c r="J206" s="9" t="n"/>
      <c r="K206" s="9" t="n"/>
      <c r="L206" s="9" t="n"/>
      <c r="M206" s="9" t="n"/>
      <c r="N206" s="9" t="n"/>
      <c r="O206" s="9" t="n"/>
    </row>
    <row r="207">
      <c r="A207" s="24" t="n">
        <v>46276</v>
      </c>
      <c r="B207" s="25" t="inlineStr">
        <is>
          <t>Friday</t>
        </is>
      </c>
      <c r="C207" s="25" t="inlineStr">
        <is>
          <t>SEP</t>
        </is>
      </c>
      <c r="D207" s="25" t="n">
        <v>37</v>
      </c>
      <c r="E207" s="25" t="n"/>
      <c r="F207" s="25" t="n"/>
      <c r="G207" s="24" t="n"/>
      <c r="H207" s="25" t="n"/>
      <c r="I207" s="24" t="n"/>
      <c r="J207" s="25" t="n"/>
      <c r="K207" s="25" t="n"/>
      <c r="L207" s="25" t="n"/>
      <c r="M207" s="25" t="n"/>
      <c r="N207" s="25" t="n"/>
      <c r="O207" s="25" t="n"/>
    </row>
    <row r="208">
      <c r="A208" s="16" t="n">
        <v>46276</v>
      </c>
      <c r="B208" s="9" t="inlineStr">
        <is>
          <t>Friday</t>
        </is>
      </c>
      <c r="C208" s="9" t="inlineStr">
        <is>
          <t>SEP</t>
        </is>
      </c>
      <c r="D208" s="9" t="n">
        <v>37</v>
      </c>
      <c r="E208" s="9" t="n"/>
      <c r="F208" s="9" t="n"/>
      <c r="G208" s="16" t="n"/>
      <c r="H208" s="9" t="n"/>
      <c r="I208" s="16" t="n"/>
      <c r="J208" s="9" t="n"/>
      <c r="K208" s="9" t="n"/>
      <c r="L208" s="9" t="n"/>
      <c r="M208" s="9" t="n"/>
      <c r="N208" s="9" t="n"/>
      <c r="O208" s="9" t="n"/>
    </row>
    <row r="209">
      <c r="A209" s="16" t="n">
        <v>46276</v>
      </c>
      <c r="B209" s="9" t="inlineStr">
        <is>
          <t>Friday</t>
        </is>
      </c>
      <c r="C209" s="9" t="inlineStr">
        <is>
          <t>SEP</t>
        </is>
      </c>
      <c r="D209" s="9" t="n">
        <v>37</v>
      </c>
      <c r="E209" s="9" t="n"/>
      <c r="F209" s="9" t="n"/>
      <c r="G209" s="16" t="n"/>
      <c r="H209" s="9" t="n"/>
      <c r="I209" s="16" t="n"/>
      <c r="J209" s="9" t="n"/>
      <c r="K209" s="9" t="n"/>
      <c r="L209" s="9" t="n"/>
      <c r="M209" s="9" t="n"/>
      <c r="N209" s="9" t="n"/>
      <c r="O209" s="9" t="n"/>
    </row>
    <row r="210">
      <c r="A210" s="16" t="n">
        <v>46276</v>
      </c>
      <c r="B210" s="9" t="inlineStr">
        <is>
          <t>Friday</t>
        </is>
      </c>
      <c r="C210" s="9" t="inlineStr">
        <is>
          <t>SEP</t>
        </is>
      </c>
      <c r="D210" s="9" t="n">
        <v>37</v>
      </c>
      <c r="E210" s="9" t="n"/>
      <c r="F210" s="9" t="n"/>
      <c r="G210" s="16" t="n"/>
      <c r="H210" s="9" t="n"/>
      <c r="I210" s="16" t="n"/>
      <c r="J210" s="9" t="n"/>
      <c r="K210" s="9" t="n"/>
      <c r="L210" s="9" t="n"/>
      <c r="M210" s="9" t="n"/>
      <c r="N210" s="9" t="n"/>
      <c r="O210" s="9" t="n"/>
    </row>
    <row r="211">
      <c r="A211" s="16" t="n">
        <v>46276</v>
      </c>
      <c r="B211" s="9" t="inlineStr">
        <is>
          <t>Friday</t>
        </is>
      </c>
      <c r="C211" s="9" t="inlineStr">
        <is>
          <t>SEP</t>
        </is>
      </c>
      <c r="D211" s="9" t="n">
        <v>37</v>
      </c>
      <c r="E211" s="9" t="n"/>
      <c r="F211" s="9" t="n"/>
      <c r="G211" s="16" t="n"/>
      <c r="H211" s="9" t="n"/>
      <c r="I211" s="16" t="n"/>
      <c r="J211" s="9" t="n"/>
      <c r="K211" s="9" t="n"/>
      <c r="L211" s="9" t="n"/>
      <c r="M211" s="9" t="n"/>
      <c r="N211" s="9" t="n"/>
      <c r="O211" s="9" t="n"/>
    </row>
    <row r="212">
      <c r="A212" s="24" t="n">
        <v>46277</v>
      </c>
      <c r="B212" s="25" t="inlineStr">
        <is>
          <t>Saturday</t>
        </is>
      </c>
      <c r="C212" s="25" t="inlineStr">
        <is>
          <t>SEP</t>
        </is>
      </c>
      <c r="D212" s="25" t="n">
        <v>37</v>
      </c>
      <c r="E212" s="25" t="n"/>
      <c r="F212" s="25" t="n"/>
      <c r="G212" s="24" t="n"/>
      <c r="H212" s="25" t="n"/>
      <c r="I212" s="24" t="n"/>
      <c r="J212" s="25" t="n"/>
      <c r="K212" s="25" t="n"/>
      <c r="L212" s="25" t="n"/>
      <c r="M212" s="25" t="n"/>
      <c r="N212" s="25" t="n"/>
      <c r="O212" s="25" t="n"/>
    </row>
    <row r="213">
      <c r="A213" s="16" t="n">
        <v>46277</v>
      </c>
      <c r="B213" s="9" t="inlineStr">
        <is>
          <t>Saturday</t>
        </is>
      </c>
      <c r="C213" s="9" t="inlineStr">
        <is>
          <t>SEP</t>
        </is>
      </c>
      <c r="D213" s="9" t="n">
        <v>37</v>
      </c>
      <c r="E213" s="9" t="n"/>
      <c r="F213" s="9" t="n"/>
      <c r="G213" s="16" t="n"/>
      <c r="H213" s="9" t="n"/>
      <c r="I213" s="16" t="n"/>
      <c r="J213" s="9" t="n"/>
      <c r="K213" s="9" t="n"/>
      <c r="L213" s="9" t="n"/>
      <c r="M213" s="9" t="n"/>
      <c r="N213" s="9" t="n"/>
      <c r="O213" s="9" t="n"/>
    </row>
    <row r="214">
      <c r="A214" s="16" t="n">
        <v>46277</v>
      </c>
      <c r="B214" s="9" t="inlineStr">
        <is>
          <t>Saturday</t>
        </is>
      </c>
      <c r="C214" s="9" t="inlineStr">
        <is>
          <t>SEP</t>
        </is>
      </c>
      <c r="D214" s="9" t="n">
        <v>37</v>
      </c>
      <c r="E214" s="9" t="n"/>
      <c r="F214" s="9" t="n"/>
      <c r="G214" s="16" t="n"/>
      <c r="H214" s="9" t="n"/>
      <c r="I214" s="16" t="n"/>
      <c r="J214" s="9" t="n"/>
      <c r="K214" s="9" t="n"/>
      <c r="L214" s="9" t="n"/>
      <c r="M214" s="9" t="n"/>
      <c r="N214" s="9" t="n"/>
      <c r="O214" s="9" t="n"/>
    </row>
    <row r="215">
      <c r="A215" s="16" t="n">
        <v>46277</v>
      </c>
      <c r="B215" s="9" t="inlineStr">
        <is>
          <t>Saturday</t>
        </is>
      </c>
      <c r="C215" s="9" t="inlineStr">
        <is>
          <t>SEP</t>
        </is>
      </c>
      <c r="D215" s="9" t="n">
        <v>37</v>
      </c>
      <c r="E215" s="9" t="n"/>
      <c r="F215" s="9" t="n"/>
      <c r="G215" s="16" t="n"/>
      <c r="H215" s="9" t="n"/>
      <c r="I215" s="16" t="n"/>
      <c r="J215" s="9" t="n"/>
      <c r="K215" s="9" t="n"/>
      <c r="L215" s="9" t="n"/>
      <c r="M215" s="9" t="n"/>
      <c r="N215" s="9" t="n"/>
      <c r="O215" s="9" t="n"/>
    </row>
    <row r="216">
      <c r="A216" s="16" t="n">
        <v>46277</v>
      </c>
      <c r="B216" s="9" t="inlineStr">
        <is>
          <t>Saturday</t>
        </is>
      </c>
      <c r="C216" s="9" t="inlineStr">
        <is>
          <t>SEP</t>
        </is>
      </c>
      <c r="D216" s="9" t="n">
        <v>37</v>
      </c>
      <c r="E216" s="9" t="n"/>
      <c r="F216" s="9" t="n"/>
      <c r="G216" s="16" t="n"/>
      <c r="H216" s="9" t="n"/>
      <c r="I216" s="16" t="n"/>
      <c r="J216" s="9" t="n"/>
      <c r="K216" s="9" t="n"/>
      <c r="L216" s="9" t="n"/>
      <c r="M216" s="9" t="n"/>
      <c r="N216" s="9" t="n"/>
      <c r="O216" s="9" t="n"/>
    </row>
    <row r="217">
      <c r="A217" s="24" t="n">
        <v>46278</v>
      </c>
      <c r="B217" s="25" t="inlineStr">
        <is>
          <t>Sunday</t>
        </is>
      </c>
      <c r="C217" s="25" t="inlineStr">
        <is>
          <t>SEP</t>
        </is>
      </c>
      <c r="D217" s="25" t="n">
        <v>37</v>
      </c>
      <c r="E217" s="25" t="n"/>
      <c r="F217" s="25" t="n"/>
      <c r="G217" s="24" t="n"/>
      <c r="H217" s="25" t="n"/>
      <c r="I217" s="24" t="n"/>
      <c r="J217" s="25" t="n"/>
      <c r="K217" s="25" t="n"/>
      <c r="L217" s="25" t="n"/>
      <c r="M217" s="25" t="n"/>
      <c r="N217" s="25" t="n"/>
      <c r="O217" s="25" t="n"/>
    </row>
    <row r="218">
      <c r="A218" s="16" t="n">
        <v>46278</v>
      </c>
      <c r="B218" s="9" t="inlineStr">
        <is>
          <t>Sunday</t>
        </is>
      </c>
      <c r="C218" s="9" t="inlineStr">
        <is>
          <t>SEP</t>
        </is>
      </c>
      <c r="D218" s="9" t="n">
        <v>37</v>
      </c>
      <c r="E218" s="9" t="n"/>
      <c r="F218" s="9" t="n"/>
      <c r="G218" s="16" t="n"/>
      <c r="H218" s="9" t="n"/>
      <c r="I218" s="16" t="n"/>
      <c r="J218" s="9" t="n"/>
      <c r="K218" s="9" t="n"/>
      <c r="L218" s="9" t="n"/>
      <c r="M218" s="9" t="n"/>
      <c r="N218" s="9" t="n"/>
      <c r="O218" s="9" t="n"/>
    </row>
    <row r="219">
      <c r="A219" s="16" t="n">
        <v>46278</v>
      </c>
      <c r="B219" s="9" t="inlineStr">
        <is>
          <t>Sunday</t>
        </is>
      </c>
      <c r="C219" s="9" t="inlineStr">
        <is>
          <t>SEP</t>
        </is>
      </c>
      <c r="D219" s="9" t="n">
        <v>37</v>
      </c>
      <c r="E219" s="9" t="n"/>
      <c r="F219" s="9" t="n"/>
      <c r="G219" s="16" t="n"/>
      <c r="H219" s="9" t="n"/>
      <c r="I219" s="16" t="n"/>
      <c r="J219" s="9" t="n"/>
      <c r="K219" s="9" t="n"/>
      <c r="L219" s="9" t="n"/>
      <c r="M219" s="9" t="n"/>
      <c r="N219" s="9" t="n"/>
      <c r="O219" s="9" t="n"/>
    </row>
    <row r="220">
      <c r="A220" s="16" t="n">
        <v>46278</v>
      </c>
      <c r="B220" s="9" t="inlineStr">
        <is>
          <t>Sunday</t>
        </is>
      </c>
      <c r="C220" s="9" t="inlineStr">
        <is>
          <t>SEP</t>
        </is>
      </c>
      <c r="D220" s="9" t="n">
        <v>37</v>
      </c>
      <c r="E220" s="9" t="n"/>
      <c r="F220" s="9" t="n"/>
      <c r="G220" s="16" t="n"/>
      <c r="H220" s="9" t="n"/>
      <c r="I220" s="16" t="n"/>
      <c r="J220" s="9" t="n"/>
      <c r="K220" s="9" t="n"/>
      <c r="L220" s="9" t="n"/>
      <c r="M220" s="9" t="n"/>
      <c r="N220" s="9" t="n"/>
      <c r="O220" s="9" t="n"/>
    </row>
    <row r="221">
      <c r="A221" s="16" t="n">
        <v>46278</v>
      </c>
      <c r="B221" s="9" t="inlineStr">
        <is>
          <t>Sunday</t>
        </is>
      </c>
      <c r="C221" s="9" t="inlineStr">
        <is>
          <t>SEP</t>
        </is>
      </c>
      <c r="D221" s="9" t="n">
        <v>37</v>
      </c>
      <c r="E221" s="9" t="n"/>
      <c r="F221" s="9" t="n"/>
      <c r="G221" s="16" t="n"/>
      <c r="H221" s="9" t="n"/>
      <c r="I221" s="16" t="n"/>
      <c r="J221" s="9" t="n"/>
      <c r="K221" s="9" t="n"/>
      <c r="L221" s="9" t="n"/>
      <c r="M221" s="9" t="n"/>
      <c r="N221" s="9" t="n"/>
      <c r="O221" s="9" t="n"/>
    </row>
    <row r="222">
      <c r="A222" s="24" t="n">
        <v>46279</v>
      </c>
      <c r="B222" s="25" t="inlineStr">
        <is>
          <t>Monday</t>
        </is>
      </c>
      <c r="C222" s="25" t="inlineStr">
        <is>
          <t>SEP</t>
        </is>
      </c>
      <c r="D222" s="25" t="n">
        <v>37</v>
      </c>
      <c r="E222" s="25" t="n"/>
      <c r="F222" s="25" t="n"/>
      <c r="G222" s="24" t="n"/>
      <c r="H222" s="25" t="n"/>
      <c r="I222" s="24" t="n"/>
      <c r="J222" s="25" t="n"/>
      <c r="K222" s="25" t="n"/>
      <c r="L222" s="25" t="n"/>
      <c r="M222" s="25" t="n"/>
      <c r="N222" s="25" t="n"/>
      <c r="O222" s="25" t="n"/>
    </row>
    <row r="223">
      <c r="A223" s="16" t="n">
        <v>46279</v>
      </c>
      <c r="B223" s="9" t="inlineStr">
        <is>
          <t>Monday</t>
        </is>
      </c>
      <c r="C223" s="9" t="inlineStr">
        <is>
          <t>SEP</t>
        </is>
      </c>
      <c r="D223" s="9" t="n">
        <v>37</v>
      </c>
      <c r="E223" s="9" t="n"/>
      <c r="F223" s="9" t="n"/>
      <c r="G223" s="16" t="n"/>
      <c r="H223" s="9" t="n"/>
      <c r="I223" s="16" t="n"/>
      <c r="J223" s="9" t="n"/>
      <c r="K223" s="9" t="n"/>
      <c r="L223" s="9" t="n"/>
      <c r="M223" s="9" t="n"/>
      <c r="N223" s="9" t="n"/>
      <c r="O223" s="9" t="n"/>
    </row>
    <row r="224">
      <c r="A224" s="16" t="n">
        <v>46279</v>
      </c>
      <c r="B224" s="9" t="inlineStr">
        <is>
          <t>Monday</t>
        </is>
      </c>
      <c r="C224" s="9" t="inlineStr">
        <is>
          <t>SEP</t>
        </is>
      </c>
      <c r="D224" s="9" t="n">
        <v>37</v>
      </c>
      <c r="E224" s="9" t="n"/>
      <c r="F224" s="9" t="n"/>
      <c r="G224" s="16" t="n"/>
      <c r="H224" s="9" t="n"/>
      <c r="I224" s="16" t="n"/>
      <c r="J224" s="9" t="n"/>
      <c r="K224" s="9" t="n"/>
      <c r="L224" s="9" t="n"/>
      <c r="M224" s="9" t="n"/>
      <c r="N224" s="9" t="n"/>
      <c r="O224" s="9" t="n"/>
    </row>
    <row r="225">
      <c r="A225" s="16" t="n">
        <v>46279</v>
      </c>
      <c r="B225" s="9" t="inlineStr">
        <is>
          <t>Monday</t>
        </is>
      </c>
      <c r="C225" s="9" t="inlineStr">
        <is>
          <t>SEP</t>
        </is>
      </c>
      <c r="D225" s="9" t="n">
        <v>37</v>
      </c>
      <c r="E225" s="9" t="n"/>
      <c r="F225" s="9" t="n"/>
      <c r="G225" s="16" t="n"/>
      <c r="H225" s="9" t="n"/>
      <c r="I225" s="16" t="n"/>
      <c r="J225" s="9" t="n"/>
      <c r="K225" s="9" t="n"/>
      <c r="L225" s="9" t="n"/>
      <c r="M225" s="9" t="n"/>
      <c r="N225" s="9" t="n"/>
      <c r="O225" s="9" t="n"/>
    </row>
    <row r="226">
      <c r="A226" s="16" t="n">
        <v>46279</v>
      </c>
      <c r="B226" s="9" t="inlineStr">
        <is>
          <t>Monday</t>
        </is>
      </c>
      <c r="C226" s="9" t="inlineStr">
        <is>
          <t>SEP</t>
        </is>
      </c>
      <c r="D226" s="9" t="n">
        <v>37</v>
      </c>
      <c r="E226" s="9" t="n"/>
      <c r="F226" s="9" t="n"/>
      <c r="G226" s="16" t="n"/>
      <c r="H226" s="9" t="n"/>
      <c r="I226" s="16" t="n"/>
      <c r="J226" s="9" t="n"/>
      <c r="K226" s="9" t="n"/>
      <c r="L226" s="9" t="n"/>
      <c r="M226" s="9" t="n"/>
      <c r="N226" s="9" t="n"/>
      <c r="O226" s="9" t="n"/>
    </row>
    <row r="227">
      <c r="A227" s="24" t="n">
        <v>46280</v>
      </c>
      <c r="B227" s="25" t="inlineStr">
        <is>
          <t>Tuesday</t>
        </is>
      </c>
      <c r="C227" s="25" t="inlineStr">
        <is>
          <t>SEP</t>
        </is>
      </c>
      <c r="D227" s="25" t="n">
        <v>37</v>
      </c>
      <c r="E227" s="25" t="n"/>
      <c r="F227" s="25" t="n"/>
      <c r="G227" s="24" t="n"/>
      <c r="H227" s="25" t="n"/>
      <c r="I227" s="24" t="n"/>
      <c r="J227" s="25" t="n"/>
      <c r="K227" s="25" t="n"/>
      <c r="L227" s="25" t="n"/>
      <c r="M227" s="25" t="n"/>
      <c r="N227" s="25" t="n"/>
      <c r="O227" s="25" t="n"/>
    </row>
    <row r="228">
      <c r="A228" s="16" t="n">
        <v>46280</v>
      </c>
      <c r="B228" s="9" t="inlineStr">
        <is>
          <t>Tuesday</t>
        </is>
      </c>
      <c r="C228" s="9" t="inlineStr">
        <is>
          <t>SEP</t>
        </is>
      </c>
      <c r="D228" s="9" t="n">
        <v>37</v>
      </c>
      <c r="E228" s="9" t="n"/>
      <c r="F228" s="9" t="n"/>
      <c r="G228" s="16" t="n"/>
      <c r="H228" s="9" t="n"/>
      <c r="I228" s="16" t="n"/>
      <c r="J228" s="9" t="n"/>
      <c r="K228" s="9" t="n"/>
      <c r="L228" s="9" t="n"/>
      <c r="M228" s="9" t="n"/>
      <c r="N228" s="9" t="n"/>
      <c r="O228" s="9" t="n"/>
    </row>
    <row r="229">
      <c r="A229" s="16" t="n">
        <v>46280</v>
      </c>
      <c r="B229" s="9" t="inlineStr">
        <is>
          <t>Tuesday</t>
        </is>
      </c>
      <c r="C229" s="9" t="inlineStr">
        <is>
          <t>SEP</t>
        </is>
      </c>
      <c r="D229" s="9" t="n">
        <v>37</v>
      </c>
      <c r="E229" s="9" t="n"/>
      <c r="F229" s="9" t="n"/>
      <c r="G229" s="16" t="n"/>
      <c r="H229" s="9" t="n"/>
      <c r="I229" s="16" t="n"/>
      <c r="J229" s="9" t="n"/>
      <c r="K229" s="9" t="n"/>
      <c r="L229" s="9" t="n"/>
      <c r="M229" s="9" t="n"/>
      <c r="N229" s="9" t="n"/>
      <c r="O229" s="9" t="n"/>
    </row>
    <row r="230">
      <c r="A230" s="16" t="n">
        <v>46280</v>
      </c>
      <c r="B230" s="9" t="inlineStr">
        <is>
          <t>Tuesday</t>
        </is>
      </c>
      <c r="C230" s="9" t="inlineStr">
        <is>
          <t>SEP</t>
        </is>
      </c>
      <c r="D230" s="9" t="n">
        <v>37</v>
      </c>
      <c r="E230" s="9" t="n"/>
      <c r="F230" s="9" t="n"/>
      <c r="G230" s="16" t="n"/>
      <c r="H230" s="9" t="n"/>
      <c r="I230" s="16" t="n"/>
      <c r="J230" s="9" t="n"/>
      <c r="K230" s="9" t="n"/>
      <c r="L230" s="9" t="n"/>
      <c r="M230" s="9" t="n"/>
      <c r="N230" s="9" t="n"/>
      <c r="O230" s="9" t="n"/>
    </row>
    <row r="231">
      <c r="A231" s="16" t="n">
        <v>46280</v>
      </c>
      <c r="B231" s="9" t="inlineStr">
        <is>
          <t>Tuesday</t>
        </is>
      </c>
      <c r="C231" s="9" t="inlineStr">
        <is>
          <t>SEP</t>
        </is>
      </c>
      <c r="D231" s="9" t="n">
        <v>37</v>
      </c>
      <c r="E231" s="9" t="n"/>
      <c r="F231" s="9" t="n"/>
      <c r="G231" s="16" t="n"/>
      <c r="H231" s="9" t="n"/>
      <c r="I231" s="16" t="n"/>
      <c r="J231" s="9" t="n"/>
      <c r="K231" s="9" t="n"/>
      <c r="L231" s="9" t="n"/>
      <c r="M231" s="9" t="n"/>
      <c r="N231" s="9" t="n"/>
      <c r="O231" s="9" t="n"/>
    </row>
    <row r="232">
      <c r="A232" s="24" t="n">
        <v>46281</v>
      </c>
      <c r="B232" s="25" t="inlineStr">
        <is>
          <t>Wednesday</t>
        </is>
      </c>
      <c r="C232" s="25" t="inlineStr">
        <is>
          <t>SEP</t>
        </is>
      </c>
      <c r="D232" s="25" t="n">
        <v>37</v>
      </c>
      <c r="E232" s="25" t="n"/>
      <c r="F232" s="25" t="n"/>
      <c r="G232" s="24" t="n"/>
      <c r="H232" s="25" t="n"/>
      <c r="I232" s="24" t="n"/>
      <c r="J232" s="25" t="n"/>
      <c r="K232" s="25" t="n"/>
      <c r="L232" s="25" t="n"/>
      <c r="M232" s="25" t="n"/>
      <c r="N232" s="25" t="n"/>
      <c r="O232" s="25" t="n"/>
    </row>
    <row r="233">
      <c r="A233" s="16" t="n">
        <v>46281</v>
      </c>
      <c r="B233" s="9" t="inlineStr">
        <is>
          <t>Wednesday</t>
        </is>
      </c>
      <c r="C233" s="9" t="inlineStr">
        <is>
          <t>SEP</t>
        </is>
      </c>
      <c r="D233" s="9" t="n">
        <v>37</v>
      </c>
      <c r="E233" s="9" t="n"/>
      <c r="F233" s="9" t="n"/>
      <c r="G233" s="16" t="n"/>
      <c r="H233" s="9" t="n"/>
      <c r="I233" s="16" t="n"/>
      <c r="J233" s="9" t="n"/>
      <c r="K233" s="9" t="n"/>
      <c r="L233" s="9" t="n"/>
      <c r="M233" s="9" t="n"/>
      <c r="N233" s="9" t="n"/>
      <c r="O233" s="9" t="n"/>
    </row>
    <row r="234">
      <c r="A234" s="16" t="n">
        <v>46281</v>
      </c>
      <c r="B234" s="9" t="inlineStr">
        <is>
          <t>Wednesday</t>
        </is>
      </c>
      <c r="C234" s="9" t="inlineStr">
        <is>
          <t>SEP</t>
        </is>
      </c>
      <c r="D234" s="9" t="n">
        <v>37</v>
      </c>
      <c r="E234" s="9" t="n"/>
      <c r="F234" s="9" t="n"/>
      <c r="G234" s="16" t="n"/>
      <c r="H234" s="9" t="n"/>
      <c r="I234" s="16" t="n"/>
      <c r="J234" s="9" t="n"/>
      <c r="K234" s="9" t="n"/>
      <c r="L234" s="9" t="n"/>
      <c r="M234" s="9" t="n"/>
      <c r="N234" s="9" t="n"/>
      <c r="O234" s="9" t="n"/>
    </row>
    <row r="235">
      <c r="A235" s="16" t="n">
        <v>46281</v>
      </c>
      <c r="B235" s="9" t="inlineStr">
        <is>
          <t>Wednesday</t>
        </is>
      </c>
      <c r="C235" s="9" t="inlineStr">
        <is>
          <t>SEP</t>
        </is>
      </c>
      <c r="D235" s="9" t="n">
        <v>37</v>
      </c>
      <c r="E235" s="9" t="n"/>
      <c r="F235" s="9" t="n"/>
      <c r="G235" s="16" t="n"/>
      <c r="H235" s="9" t="n"/>
      <c r="I235" s="16" t="n"/>
      <c r="J235" s="9" t="n"/>
      <c r="K235" s="9" t="n"/>
      <c r="L235" s="9" t="n"/>
      <c r="M235" s="9" t="n"/>
      <c r="N235" s="9" t="n"/>
      <c r="O235" s="9" t="n"/>
    </row>
    <row r="236">
      <c r="A236" s="16" t="n">
        <v>46281</v>
      </c>
      <c r="B236" s="9" t="inlineStr">
        <is>
          <t>Wednesday</t>
        </is>
      </c>
      <c r="C236" s="9" t="inlineStr">
        <is>
          <t>SEP</t>
        </is>
      </c>
      <c r="D236" s="9" t="n">
        <v>37</v>
      </c>
      <c r="E236" s="9" t="n"/>
      <c r="F236" s="9" t="n"/>
      <c r="G236" s="16" t="n"/>
      <c r="H236" s="9" t="n"/>
      <c r="I236" s="16" t="n"/>
      <c r="J236" s="9" t="n"/>
      <c r="K236" s="9" t="n"/>
      <c r="L236" s="9" t="n"/>
      <c r="M236" s="9" t="n"/>
      <c r="N236" s="9" t="n"/>
      <c r="O236" s="9" t="n"/>
    </row>
    <row r="237">
      <c r="A237" s="24" t="n">
        <v>46282</v>
      </c>
      <c r="B237" s="25" t="inlineStr">
        <is>
          <t>Thursday</t>
        </is>
      </c>
      <c r="C237" s="25" t="inlineStr">
        <is>
          <t>SEP</t>
        </is>
      </c>
      <c r="D237" s="25" t="n">
        <v>37</v>
      </c>
      <c r="E237" s="25" t="n"/>
      <c r="F237" s="25" t="n"/>
      <c r="G237" s="24" t="n"/>
      <c r="H237" s="25" t="n"/>
      <c r="I237" s="24" t="n"/>
      <c r="J237" s="25" t="n"/>
      <c r="K237" s="25" t="n"/>
      <c r="L237" s="25" t="n"/>
      <c r="M237" s="25" t="n"/>
      <c r="N237" s="25" t="n"/>
      <c r="O237" s="25" t="n"/>
    </row>
    <row r="238">
      <c r="A238" s="16" t="n">
        <v>46282</v>
      </c>
      <c r="B238" s="9" t="inlineStr">
        <is>
          <t>Thursday</t>
        </is>
      </c>
      <c r="C238" s="9" t="inlineStr">
        <is>
          <t>SEP</t>
        </is>
      </c>
      <c r="D238" s="9" t="n">
        <v>37</v>
      </c>
      <c r="E238" s="9" t="n"/>
      <c r="F238" s="9" t="n"/>
      <c r="G238" s="16" t="n"/>
      <c r="H238" s="9" t="n"/>
      <c r="I238" s="16" t="n"/>
      <c r="J238" s="9" t="n"/>
      <c r="K238" s="9" t="n"/>
      <c r="L238" s="9" t="n"/>
      <c r="M238" s="9" t="n"/>
      <c r="N238" s="9" t="n"/>
      <c r="O238" s="9" t="n"/>
    </row>
    <row r="239">
      <c r="A239" s="16" t="n">
        <v>46282</v>
      </c>
      <c r="B239" s="9" t="inlineStr">
        <is>
          <t>Thursday</t>
        </is>
      </c>
      <c r="C239" s="9" t="inlineStr">
        <is>
          <t>SEP</t>
        </is>
      </c>
      <c r="D239" s="9" t="n">
        <v>37</v>
      </c>
      <c r="E239" s="9" t="n"/>
      <c r="F239" s="9" t="n"/>
      <c r="G239" s="16" t="n"/>
      <c r="H239" s="9" t="n"/>
      <c r="I239" s="16" t="n"/>
      <c r="J239" s="9" t="n"/>
      <c r="K239" s="9" t="n"/>
      <c r="L239" s="9" t="n"/>
      <c r="M239" s="9" t="n"/>
      <c r="N239" s="9" t="n"/>
      <c r="O239" s="9" t="n"/>
    </row>
    <row r="240">
      <c r="A240" s="16" t="n">
        <v>46282</v>
      </c>
      <c r="B240" s="9" t="inlineStr">
        <is>
          <t>Thursday</t>
        </is>
      </c>
      <c r="C240" s="9" t="inlineStr">
        <is>
          <t>SEP</t>
        </is>
      </c>
      <c r="D240" s="9" t="n">
        <v>37</v>
      </c>
      <c r="E240" s="9" t="n"/>
      <c r="F240" s="9" t="n"/>
      <c r="G240" s="16" t="n"/>
      <c r="H240" s="9" t="n"/>
      <c r="I240" s="16" t="n"/>
      <c r="J240" s="9" t="n"/>
      <c r="K240" s="9" t="n"/>
      <c r="L240" s="9" t="n"/>
      <c r="M240" s="9" t="n"/>
      <c r="N240" s="9" t="n"/>
      <c r="O240" s="9" t="n"/>
    </row>
    <row r="241">
      <c r="A241" s="16" t="n">
        <v>46282</v>
      </c>
      <c r="B241" s="9" t="inlineStr">
        <is>
          <t>Thursday</t>
        </is>
      </c>
      <c r="C241" s="9" t="inlineStr">
        <is>
          <t>SEP</t>
        </is>
      </c>
      <c r="D241" s="9" t="n">
        <v>37</v>
      </c>
      <c r="E241" s="9" t="n"/>
      <c r="F241" s="9" t="n"/>
      <c r="G241" s="16" t="n"/>
      <c r="H241" s="9" t="n"/>
      <c r="I241" s="16" t="n"/>
      <c r="J241" s="9" t="n"/>
      <c r="K241" s="9" t="n"/>
      <c r="L241" s="9" t="n"/>
      <c r="M241" s="9" t="n"/>
      <c r="N241" s="9" t="n"/>
      <c r="O241" s="9" t="n"/>
    </row>
    <row r="242">
      <c r="A242" s="24" t="n">
        <v>46283</v>
      </c>
      <c r="B242" s="25" t="inlineStr">
        <is>
          <t>Friday</t>
        </is>
      </c>
      <c r="C242" s="25" t="inlineStr">
        <is>
          <t>SEP</t>
        </is>
      </c>
      <c r="D242" s="25" t="n">
        <v>38</v>
      </c>
      <c r="E242" s="25" t="n"/>
      <c r="F242" s="25" t="n"/>
      <c r="G242" s="24" t="n"/>
      <c r="H242" s="25" t="n"/>
      <c r="I242" s="24" t="n"/>
      <c r="J242" s="25" t="n"/>
      <c r="K242" s="25" t="n"/>
      <c r="L242" s="25" t="n"/>
      <c r="M242" s="25" t="n"/>
      <c r="N242" s="25" t="n"/>
      <c r="O242" s="25" t="n"/>
    </row>
    <row r="243">
      <c r="A243" s="16" t="n">
        <v>46283</v>
      </c>
      <c r="B243" s="9" t="inlineStr">
        <is>
          <t>Friday</t>
        </is>
      </c>
      <c r="C243" s="9" t="inlineStr">
        <is>
          <t>SEP</t>
        </is>
      </c>
      <c r="D243" s="9" t="n">
        <v>38</v>
      </c>
      <c r="E243" s="9" t="n"/>
      <c r="F243" s="9" t="n"/>
      <c r="G243" s="16" t="n"/>
      <c r="H243" s="9" t="n"/>
      <c r="I243" s="16" t="n"/>
      <c r="J243" s="9" t="n"/>
      <c r="K243" s="9" t="n"/>
      <c r="L243" s="9" t="n"/>
      <c r="M243" s="9" t="n"/>
      <c r="N243" s="9" t="n"/>
      <c r="O243" s="9" t="n"/>
    </row>
    <row r="244">
      <c r="A244" s="16" t="n">
        <v>46283</v>
      </c>
      <c r="B244" s="9" t="inlineStr">
        <is>
          <t>Friday</t>
        </is>
      </c>
      <c r="C244" s="9" t="inlineStr">
        <is>
          <t>SEP</t>
        </is>
      </c>
      <c r="D244" s="9" t="n">
        <v>38</v>
      </c>
      <c r="E244" s="9" t="n"/>
      <c r="F244" s="9" t="n"/>
      <c r="G244" s="16" t="n"/>
      <c r="H244" s="9" t="n"/>
      <c r="I244" s="16" t="n"/>
      <c r="J244" s="9" t="n"/>
      <c r="K244" s="9" t="n"/>
      <c r="L244" s="9" t="n"/>
      <c r="M244" s="9" t="n"/>
      <c r="N244" s="9" t="n"/>
      <c r="O244" s="9" t="n"/>
    </row>
    <row r="245">
      <c r="A245" s="16" t="n">
        <v>46283</v>
      </c>
      <c r="B245" s="9" t="inlineStr">
        <is>
          <t>Friday</t>
        </is>
      </c>
      <c r="C245" s="9" t="inlineStr">
        <is>
          <t>SEP</t>
        </is>
      </c>
      <c r="D245" s="9" t="n">
        <v>38</v>
      </c>
      <c r="E245" s="9" t="n"/>
      <c r="F245" s="9" t="n"/>
      <c r="G245" s="16" t="n"/>
      <c r="H245" s="9" t="n"/>
      <c r="I245" s="16" t="n"/>
      <c r="J245" s="9" t="n"/>
      <c r="K245" s="9" t="n"/>
      <c r="L245" s="9" t="n"/>
      <c r="M245" s="9" t="n"/>
      <c r="N245" s="9" t="n"/>
      <c r="O245" s="9" t="n"/>
    </row>
    <row r="246">
      <c r="A246" s="16" t="n">
        <v>46283</v>
      </c>
      <c r="B246" s="9" t="inlineStr">
        <is>
          <t>Friday</t>
        </is>
      </c>
      <c r="C246" s="9" t="inlineStr">
        <is>
          <t>SEP</t>
        </is>
      </c>
      <c r="D246" s="9" t="n">
        <v>38</v>
      </c>
      <c r="E246" s="9" t="n"/>
      <c r="F246" s="9" t="n"/>
      <c r="G246" s="16" t="n"/>
      <c r="H246" s="9" t="n"/>
      <c r="I246" s="16" t="n"/>
      <c r="J246" s="9" t="n"/>
      <c r="K246" s="9" t="n"/>
      <c r="L246" s="9" t="n"/>
      <c r="M246" s="9" t="n"/>
      <c r="N246" s="9" t="n"/>
      <c r="O246" s="9" t="n"/>
    </row>
    <row r="247">
      <c r="A247" s="24" t="n">
        <v>46284</v>
      </c>
      <c r="B247" s="25" t="inlineStr">
        <is>
          <t>Saturday</t>
        </is>
      </c>
      <c r="C247" s="25" t="inlineStr">
        <is>
          <t>SEP</t>
        </is>
      </c>
      <c r="D247" s="25" t="n">
        <v>38</v>
      </c>
      <c r="E247" s="25" t="n"/>
      <c r="F247" s="25" t="n"/>
      <c r="G247" s="24" t="n"/>
      <c r="H247" s="25" t="n"/>
      <c r="I247" s="24" t="n"/>
      <c r="J247" s="25" t="n"/>
      <c r="K247" s="25" t="n"/>
      <c r="L247" s="25" t="n"/>
      <c r="M247" s="25" t="n"/>
      <c r="N247" s="25" t="n"/>
      <c r="O247" s="25" t="n"/>
    </row>
    <row r="248">
      <c r="A248" s="16" t="n">
        <v>46284</v>
      </c>
      <c r="B248" s="9" t="inlineStr">
        <is>
          <t>Saturday</t>
        </is>
      </c>
      <c r="C248" s="9" t="inlineStr">
        <is>
          <t>SEP</t>
        </is>
      </c>
      <c r="D248" s="9" t="n">
        <v>38</v>
      </c>
      <c r="E248" s="9" t="n"/>
      <c r="F248" s="9" t="n"/>
      <c r="G248" s="16" t="n"/>
      <c r="H248" s="9" t="n"/>
      <c r="I248" s="16" t="n"/>
      <c r="J248" s="9" t="n"/>
      <c r="K248" s="9" t="n"/>
      <c r="L248" s="9" t="n"/>
      <c r="M248" s="9" t="n"/>
      <c r="N248" s="9" t="n"/>
      <c r="O248" s="9" t="n"/>
    </row>
    <row r="249">
      <c r="A249" s="16" t="n">
        <v>46284</v>
      </c>
      <c r="B249" s="9" t="inlineStr">
        <is>
          <t>Saturday</t>
        </is>
      </c>
      <c r="C249" s="9" t="inlineStr">
        <is>
          <t>SEP</t>
        </is>
      </c>
      <c r="D249" s="9" t="n">
        <v>38</v>
      </c>
      <c r="E249" s="9" t="n"/>
      <c r="F249" s="9" t="n"/>
      <c r="G249" s="16" t="n"/>
      <c r="H249" s="9" t="n"/>
      <c r="I249" s="16" t="n"/>
      <c r="J249" s="9" t="n"/>
      <c r="K249" s="9" t="n"/>
      <c r="L249" s="9" t="n"/>
      <c r="M249" s="9" t="n"/>
      <c r="N249" s="9" t="n"/>
      <c r="O249" s="9" t="n"/>
    </row>
    <row r="250">
      <c r="A250" s="16" t="n">
        <v>46284</v>
      </c>
      <c r="B250" s="9" t="inlineStr">
        <is>
          <t>Saturday</t>
        </is>
      </c>
      <c r="C250" s="9" t="inlineStr">
        <is>
          <t>SEP</t>
        </is>
      </c>
      <c r="D250" s="9" t="n">
        <v>38</v>
      </c>
      <c r="E250" s="9" t="n"/>
      <c r="F250" s="9" t="n"/>
      <c r="G250" s="16" t="n"/>
      <c r="H250" s="9" t="n"/>
      <c r="I250" s="16" t="n"/>
      <c r="J250" s="9" t="n"/>
      <c r="K250" s="9" t="n"/>
      <c r="L250" s="9" t="n"/>
      <c r="M250" s="9" t="n"/>
      <c r="N250" s="9" t="n"/>
      <c r="O250" s="9" t="n"/>
    </row>
    <row r="251">
      <c r="A251" s="16" t="n">
        <v>46284</v>
      </c>
      <c r="B251" s="9" t="inlineStr">
        <is>
          <t>Saturday</t>
        </is>
      </c>
      <c r="C251" s="9" t="inlineStr">
        <is>
          <t>SEP</t>
        </is>
      </c>
      <c r="D251" s="9" t="n">
        <v>38</v>
      </c>
      <c r="E251" s="9" t="n"/>
      <c r="F251" s="9" t="n"/>
      <c r="G251" s="16" t="n"/>
      <c r="H251" s="9" t="n"/>
      <c r="I251" s="16" t="n"/>
      <c r="J251" s="9" t="n"/>
      <c r="K251" s="9" t="n"/>
      <c r="L251" s="9" t="n"/>
      <c r="M251" s="9" t="n"/>
      <c r="N251" s="9" t="n"/>
      <c r="O251" s="9" t="n"/>
    </row>
    <row r="252">
      <c r="A252" s="24" t="n">
        <v>46285</v>
      </c>
      <c r="B252" s="25" t="inlineStr">
        <is>
          <t>Sunday</t>
        </is>
      </c>
      <c r="C252" s="25" t="inlineStr">
        <is>
          <t>SEP</t>
        </is>
      </c>
      <c r="D252" s="25" t="n">
        <v>38</v>
      </c>
      <c r="E252" s="25" t="n"/>
      <c r="F252" s="25" t="n"/>
      <c r="G252" s="24" t="n"/>
      <c r="H252" s="25" t="n"/>
      <c r="I252" s="24" t="n"/>
      <c r="J252" s="25" t="n"/>
      <c r="K252" s="25" t="n"/>
      <c r="L252" s="25" t="n"/>
      <c r="M252" s="25" t="n"/>
      <c r="N252" s="25" t="n"/>
      <c r="O252" s="25" t="n"/>
    </row>
    <row r="253">
      <c r="A253" s="16" t="n">
        <v>46285</v>
      </c>
      <c r="B253" s="9" t="inlineStr">
        <is>
          <t>Sunday</t>
        </is>
      </c>
      <c r="C253" s="9" t="inlineStr">
        <is>
          <t>SEP</t>
        </is>
      </c>
      <c r="D253" s="9" t="n">
        <v>38</v>
      </c>
      <c r="E253" s="9" t="n"/>
      <c r="F253" s="9" t="n"/>
      <c r="G253" s="16" t="n"/>
      <c r="H253" s="9" t="n"/>
      <c r="I253" s="16" t="n"/>
      <c r="J253" s="9" t="n"/>
      <c r="K253" s="9" t="n"/>
      <c r="L253" s="9" t="n"/>
      <c r="M253" s="9" t="n"/>
      <c r="N253" s="9" t="n"/>
      <c r="O253" s="9" t="n"/>
    </row>
    <row r="254">
      <c r="A254" s="16" t="n">
        <v>46285</v>
      </c>
      <c r="B254" s="9" t="inlineStr">
        <is>
          <t>Sunday</t>
        </is>
      </c>
      <c r="C254" s="9" t="inlineStr">
        <is>
          <t>SEP</t>
        </is>
      </c>
      <c r="D254" s="9" t="n">
        <v>38</v>
      </c>
      <c r="E254" s="9" t="n"/>
      <c r="F254" s="9" t="n"/>
      <c r="G254" s="16" t="n"/>
      <c r="H254" s="9" t="n"/>
      <c r="I254" s="16" t="n"/>
      <c r="J254" s="9" t="n"/>
      <c r="K254" s="9" t="n"/>
      <c r="L254" s="9" t="n"/>
      <c r="M254" s="9" t="n"/>
      <c r="N254" s="9" t="n"/>
      <c r="O254" s="9" t="n"/>
    </row>
    <row r="255">
      <c r="A255" s="16" t="n">
        <v>46285</v>
      </c>
      <c r="B255" s="9" t="inlineStr">
        <is>
          <t>Sunday</t>
        </is>
      </c>
      <c r="C255" s="9" t="inlineStr">
        <is>
          <t>SEP</t>
        </is>
      </c>
      <c r="D255" s="9" t="n">
        <v>38</v>
      </c>
      <c r="E255" s="9" t="n"/>
      <c r="F255" s="9" t="n"/>
      <c r="G255" s="16" t="n"/>
      <c r="H255" s="9" t="n"/>
      <c r="I255" s="16" t="n"/>
      <c r="J255" s="9" t="n"/>
      <c r="K255" s="9" t="n"/>
      <c r="L255" s="9" t="n"/>
      <c r="M255" s="9" t="n"/>
      <c r="N255" s="9" t="n"/>
      <c r="O255" s="9" t="n"/>
    </row>
    <row r="256">
      <c r="A256" s="16" t="n">
        <v>46285</v>
      </c>
      <c r="B256" s="9" t="inlineStr">
        <is>
          <t>Sunday</t>
        </is>
      </c>
      <c r="C256" s="9" t="inlineStr">
        <is>
          <t>SEP</t>
        </is>
      </c>
      <c r="D256" s="9" t="n">
        <v>38</v>
      </c>
      <c r="E256" s="9" t="n"/>
      <c r="F256" s="9" t="n"/>
      <c r="G256" s="16" t="n"/>
      <c r="H256" s="9" t="n"/>
      <c r="I256" s="16" t="n"/>
      <c r="J256" s="9" t="n"/>
      <c r="K256" s="9" t="n"/>
      <c r="L256" s="9" t="n"/>
      <c r="M256" s="9" t="n"/>
      <c r="N256" s="9" t="n"/>
      <c r="O256" s="9" t="n"/>
    </row>
    <row r="257">
      <c r="A257" s="24" t="n">
        <v>46286</v>
      </c>
      <c r="B257" s="25" t="inlineStr">
        <is>
          <t>Monday</t>
        </is>
      </c>
      <c r="C257" s="25" t="inlineStr">
        <is>
          <t>SEP</t>
        </is>
      </c>
      <c r="D257" s="25" t="n">
        <v>38</v>
      </c>
      <c r="E257" s="25" t="n"/>
      <c r="F257" s="25" t="n"/>
      <c r="G257" s="24" t="n"/>
      <c r="H257" s="25" t="n"/>
      <c r="I257" s="24" t="n"/>
      <c r="J257" s="25" t="n"/>
      <c r="K257" s="25" t="n"/>
      <c r="L257" s="25" t="n"/>
      <c r="M257" s="25" t="n"/>
      <c r="N257" s="25" t="n"/>
      <c r="O257" s="25" t="n"/>
    </row>
    <row r="258">
      <c r="A258" s="16" t="n">
        <v>46286</v>
      </c>
      <c r="B258" s="9" t="inlineStr">
        <is>
          <t>Monday</t>
        </is>
      </c>
      <c r="C258" s="9" t="inlineStr">
        <is>
          <t>SEP</t>
        </is>
      </c>
      <c r="D258" s="9" t="n">
        <v>38</v>
      </c>
      <c r="E258" s="9" t="n"/>
      <c r="F258" s="9" t="n"/>
      <c r="G258" s="16" t="n"/>
      <c r="H258" s="9" t="n"/>
      <c r="I258" s="16" t="n"/>
      <c r="J258" s="9" t="n"/>
      <c r="K258" s="9" t="n"/>
      <c r="L258" s="9" t="n"/>
      <c r="M258" s="9" t="n"/>
      <c r="N258" s="9" t="n"/>
      <c r="O258" s="9" t="n"/>
    </row>
    <row r="259">
      <c r="A259" s="16" t="n">
        <v>46286</v>
      </c>
      <c r="B259" s="9" t="inlineStr">
        <is>
          <t>Monday</t>
        </is>
      </c>
      <c r="C259" s="9" t="inlineStr">
        <is>
          <t>SEP</t>
        </is>
      </c>
      <c r="D259" s="9" t="n">
        <v>38</v>
      </c>
      <c r="E259" s="9" t="n"/>
      <c r="F259" s="9" t="n"/>
      <c r="G259" s="16" t="n"/>
      <c r="H259" s="9" t="n"/>
      <c r="I259" s="16" t="n"/>
      <c r="J259" s="9" t="n"/>
      <c r="K259" s="9" t="n"/>
      <c r="L259" s="9" t="n"/>
      <c r="M259" s="9" t="n"/>
      <c r="N259" s="9" t="n"/>
      <c r="O259" s="9" t="n"/>
    </row>
    <row r="260">
      <c r="A260" s="16" t="n">
        <v>46286</v>
      </c>
      <c r="B260" s="9" t="inlineStr">
        <is>
          <t>Monday</t>
        </is>
      </c>
      <c r="C260" s="9" t="inlineStr">
        <is>
          <t>SEP</t>
        </is>
      </c>
      <c r="D260" s="9" t="n">
        <v>38</v>
      </c>
      <c r="E260" s="9" t="n"/>
      <c r="F260" s="9" t="n"/>
      <c r="G260" s="16" t="n"/>
      <c r="H260" s="9" t="n"/>
      <c r="I260" s="16" t="n"/>
      <c r="J260" s="9" t="n"/>
      <c r="K260" s="9" t="n"/>
      <c r="L260" s="9" t="n"/>
      <c r="M260" s="9" t="n"/>
      <c r="N260" s="9" t="n"/>
      <c r="O260" s="9" t="n"/>
    </row>
    <row r="261">
      <c r="A261" s="16" t="n">
        <v>46286</v>
      </c>
      <c r="B261" s="9" t="inlineStr">
        <is>
          <t>Monday</t>
        </is>
      </c>
      <c r="C261" s="9" t="inlineStr">
        <is>
          <t>SEP</t>
        </is>
      </c>
      <c r="D261" s="9" t="n">
        <v>38</v>
      </c>
      <c r="E261" s="9" t="n"/>
      <c r="F261" s="9" t="n"/>
      <c r="G261" s="16" t="n"/>
      <c r="H261" s="9" t="n"/>
      <c r="I261" s="16" t="n"/>
      <c r="J261" s="9" t="n"/>
      <c r="K261" s="9" t="n"/>
      <c r="L261" s="9" t="n"/>
      <c r="M261" s="9" t="n"/>
      <c r="N261" s="9" t="n"/>
      <c r="O261" s="9" t="n"/>
    </row>
    <row r="262">
      <c r="A262" s="24" t="n">
        <v>46287</v>
      </c>
      <c r="B262" s="25" t="inlineStr">
        <is>
          <t>Tuesday</t>
        </is>
      </c>
      <c r="C262" s="25" t="inlineStr">
        <is>
          <t>SEP</t>
        </is>
      </c>
      <c r="D262" s="25" t="n">
        <v>38</v>
      </c>
      <c r="E262" s="25" t="n"/>
      <c r="F262" s="25" t="n"/>
      <c r="G262" s="24" t="n"/>
      <c r="H262" s="25" t="n"/>
      <c r="I262" s="24" t="n"/>
      <c r="J262" s="25" t="n"/>
      <c r="K262" s="25" t="n"/>
      <c r="L262" s="25" t="n"/>
      <c r="M262" s="25" t="n"/>
      <c r="N262" s="25" t="n"/>
      <c r="O262" s="25" t="n"/>
    </row>
    <row r="263">
      <c r="A263" s="16" t="n">
        <v>46287</v>
      </c>
      <c r="B263" s="9" t="inlineStr">
        <is>
          <t>Tuesday</t>
        </is>
      </c>
      <c r="C263" s="9" t="inlineStr">
        <is>
          <t>SEP</t>
        </is>
      </c>
      <c r="D263" s="9" t="n">
        <v>38</v>
      </c>
      <c r="E263" s="9" t="n"/>
      <c r="F263" s="9" t="n"/>
      <c r="G263" s="16" t="n"/>
      <c r="H263" s="9" t="n"/>
      <c r="I263" s="16" t="n"/>
      <c r="J263" s="9" t="n"/>
      <c r="K263" s="9" t="n"/>
      <c r="L263" s="9" t="n"/>
      <c r="M263" s="9" t="n"/>
      <c r="N263" s="9" t="n"/>
      <c r="O263" s="9" t="n"/>
    </row>
    <row r="264">
      <c r="A264" s="16" t="n">
        <v>46287</v>
      </c>
      <c r="B264" s="9" t="inlineStr">
        <is>
          <t>Tuesday</t>
        </is>
      </c>
      <c r="C264" s="9" t="inlineStr">
        <is>
          <t>SEP</t>
        </is>
      </c>
      <c r="D264" s="9" t="n">
        <v>38</v>
      </c>
      <c r="E264" s="9" t="n"/>
      <c r="F264" s="9" t="n"/>
      <c r="G264" s="16" t="n"/>
      <c r="H264" s="9" t="n"/>
      <c r="I264" s="16" t="n"/>
      <c r="J264" s="9" t="n"/>
      <c r="K264" s="9" t="n"/>
      <c r="L264" s="9" t="n"/>
      <c r="M264" s="9" t="n"/>
      <c r="N264" s="9" t="n"/>
      <c r="O264" s="9" t="n"/>
    </row>
    <row r="265">
      <c r="A265" s="16" t="n">
        <v>46287</v>
      </c>
      <c r="B265" s="9" t="inlineStr">
        <is>
          <t>Tuesday</t>
        </is>
      </c>
      <c r="C265" s="9" t="inlineStr">
        <is>
          <t>SEP</t>
        </is>
      </c>
      <c r="D265" s="9" t="n">
        <v>38</v>
      </c>
      <c r="E265" s="9" t="n"/>
      <c r="F265" s="9" t="n"/>
      <c r="G265" s="16" t="n"/>
      <c r="H265" s="9" t="n"/>
      <c r="I265" s="16" t="n"/>
      <c r="J265" s="9" t="n"/>
      <c r="K265" s="9" t="n"/>
      <c r="L265" s="9" t="n"/>
      <c r="M265" s="9" t="n"/>
      <c r="N265" s="9" t="n"/>
      <c r="O265" s="9" t="n"/>
    </row>
    <row r="266">
      <c r="A266" s="16" t="n">
        <v>46287</v>
      </c>
      <c r="B266" s="9" t="inlineStr">
        <is>
          <t>Tuesday</t>
        </is>
      </c>
      <c r="C266" s="9" t="inlineStr">
        <is>
          <t>SEP</t>
        </is>
      </c>
      <c r="D266" s="9" t="n">
        <v>38</v>
      </c>
      <c r="E266" s="9" t="n"/>
      <c r="F266" s="9" t="n"/>
      <c r="G266" s="16" t="n"/>
      <c r="H266" s="9" t="n"/>
      <c r="I266" s="16" t="n"/>
      <c r="J266" s="9" t="n"/>
      <c r="K266" s="9" t="n"/>
      <c r="L266" s="9" t="n"/>
      <c r="M266" s="9" t="n"/>
      <c r="N266" s="9" t="n"/>
      <c r="O266" s="9" t="n"/>
    </row>
    <row r="267">
      <c r="A267" s="24" t="n">
        <v>46288</v>
      </c>
      <c r="B267" s="25" t="inlineStr">
        <is>
          <t>Wednesday</t>
        </is>
      </c>
      <c r="C267" s="25" t="inlineStr">
        <is>
          <t>SEP</t>
        </is>
      </c>
      <c r="D267" s="25" t="n">
        <v>38</v>
      </c>
      <c r="E267" s="25" t="n"/>
      <c r="F267" s="25" t="n"/>
      <c r="G267" s="24" t="n"/>
      <c r="H267" s="25" t="n"/>
      <c r="I267" s="24" t="n"/>
      <c r="J267" s="25" t="n"/>
      <c r="K267" s="25" t="n"/>
      <c r="L267" s="25" t="n"/>
      <c r="M267" s="25" t="n"/>
      <c r="N267" s="25" t="n"/>
      <c r="O267" s="25" t="n"/>
    </row>
    <row r="268">
      <c r="A268" s="16" t="n">
        <v>46288</v>
      </c>
      <c r="B268" s="9" t="inlineStr">
        <is>
          <t>Wednesday</t>
        </is>
      </c>
      <c r="C268" s="9" t="inlineStr">
        <is>
          <t>SEP</t>
        </is>
      </c>
      <c r="D268" s="9" t="n">
        <v>38</v>
      </c>
      <c r="E268" s="9" t="n"/>
      <c r="F268" s="9" t="n"/>
      <c r="G268" s="16" t="n"/>
      <c r="H268" s="9" t="n"/>
      <c r="I268" s="16" t="n"/>
      <c r="J268" s="9" t="n"/>
      <c r="K268" s="9" t="n"/>
      <c r="L268" s="9" t="n"/>
      <c r="M268" s="9" t="n"/>
      <c r="N268" s="9" t="n"/>
      <c r="O268" s="9" t="n"/>
    </row>
    <row r="269">
      <c r="A269" s="16" t="n">
        <v>46288</v>
      </c>
      <c r="B269" s="9" t="inlineStr">
        <is>
          <t>Wednesday</t>
        </is>
      </c>
      <c r="C269" s="9" t="inlineStr">
        <is>
          <t>SEP</t>
        </is>
      </c>
      <c r="D269" s="9" t="n">
        <v>38</v>
      </c>
      <c r="E269" s="9" t="n"/>
      <c r="F269" s="9" t="n"/>
      <c r="G269" s="16" t="n"/>
      <c r="H269" s="9" t="n"/>
      <c r="I269" s="16" t="n"/>
      <c r="J269" s="9" t="n"/>
      <c r="K269" s="9" t="n"/>
      <c r="L269" s="9" t="n"/>
      <c r="M269" s="9" t="n"/>
      <c r="N269" s="9" t="n"/>
      <c r="O269" s="9" t="n"/>
    </row>
    <row r="270">
      <c r="A270" s="16" t="n">
        <v>46288</v>
      </c>
      <c r="B270" s="9" t="inlineStr">
        <is>
          <t>Wednesday</t>
        </is>
      </c>
      <c r="C270" s="9" t="inlineStr">
        <is>
          <t>SEP</t>
        </is>
      </c>
      <c r="D270" s="9" t="n">
        <v>38</v>
      </c>
      <c r="E270" s="9" t="n"/>
      <c r="F270" s="9" t="n"/>
      <c r="G270" s="16" t="n"/>
      <c r="H270" s="9" t="n"/>
      <c r="I270" s="16" t="n"/>
      <c r="J270" s="9" t="n"/>
      <c r="K270" s="9" t="n"/>
      <c r="L270" s="9" t="n"/>
      <c r="M270" s="9" t="n"/>
      <c r="N270" s="9" t="n"/>
      <c r="O270" s="9" t="n"/>
    </row>
    <row r="271">
      <c r="A271" s="16" t="n">
        <v>46288</v>
      </c>
      <c r="B271" s="9" t="inlineStr">
        <is>
          <t>Wednesday</t>
        </is>
      </c>
      <c r="C271" s="9" t="inlineStr">
        <is>
          <t>SEP</t>
        </is>
      </c>
      <c r="D271" s="9" t="n">
        <v>38</v>
      </c>
      <c r="E271" s="9" t="n"/>
      <c r="F271" s="9" t="n"/>
      <c r="G271" s="16" t="n"/>
      <c r="H271" s="9" t="n"/>
      <c r="I271" s="16" t="n"/>
      <c r="J271" s="9" t="n"/>
      <c r="K271" s="9" t="n"/>
      <c r="L271" s="9" t="n"/>
      <c r="M271" s="9" t="n"/>
      <c r="N271" s="9" t="n"/>
      <c r="O271" s="9" t="n"/>
    </row>
    <row r="272">
      <c r="A272" s="24" t="n">
        <v>46289</v>
      </c>
      <c r="B272" s="25" t="inlineStr">
        <is>
          <t>Thursday</t>
        </is>
      </c>
      <c r="C272" s="25" t="inlineStr">
        <is>
          <t>SEP</t>
        </is>
      </c>
      <c r="D272" s="25" t="n">
        <v>38</v>
      </c>
      <c r="E272" s="25" t="n"/>
      <c r="F272" s="25" t="n"/>
      <c r="G272" s="24" t="n"/>
      <c r="H272" s="25" t="n"/>
      <c r="I272" s="24" t="n"/>
      <c r="J272" s="25" t="n"/>
      <c r="K272" s="25" t="n"/>
      <c r="L272" s="25" t="n"/>
      <c r="M272" s="25" t="n"/>
      <c r="N272" s="25" t="n"/>
      <c r="O272" s="25" t="n"/>
    </row>
    <row r="273">
      <c r="A273" s="16" t="n">
        <v>46289</v>
      </c>
      <c r="B273" s="9" t="inlineStr">
        <is>
          <t>Thursday</t>
        </is>
      </c>
      <c r="C273" s="9" t="inlineStr">
        <is>
          <t>SEP</t>
        </is>
      </c>
      <c r="D273" s="9" t="n">
        <v>38</v>
      </c>
      <c r="E273" s="9" t="n"/>
      <c r="F273" s="9" t="n"/>
      <c r="G273" s="16" t="n"/>
      <c r="H273" s="9" t="n"/>
      <c r="I273" s="16" t="n"/>
      <c r="J273" s="9" t="n"/>
      <c r="K273" s="9" t="n"/>
      <c r="L273" s="9" t="n"/>
      <c r="M273" s="9" t="n"/>
      <c r="N273" s="9" t="n"/>
      <c r="O273" s="9" t="n"/>
    </row>
    <row r="274">
      <c r="A274" s="16" t="n">
        <v>46289</v>
      </c>
      <c r="B274" s="9" t="inlineStr">
        <is>
          <t>Thursday</t>
        </is>
      </c>
      <c r="C274" s="9" t="inlineStr">
        <is>
          <t>SEP</t>
        </is>
      </c>
      <c r="D274" s="9" t="n">
        <v>38</v>
      </c>
      <c r="E274" s="9" t="n"/>
      <c r="F274" s="9" t="n"/>
      <c r="G274" s="16" t="n"/>
      <c r="H274" s="9" t="n"/>
      <c r="I274" s="16" t="n"/>
      <c r="J274" s="9" t="n"/>
      <c r="K274" s="9" t="n"/>
      <c r="L274" s="9" t="n"/>
      <c r="M274" s="9" t="n"/>
      <c r="N274" s="9" t="n"/>
      <c r="O274" s="9" t="n"/>
    </row>
    <row r="275">
      <c r="A275" s="16" t="n">
        <v>46289</v>
      </c>
      <c r="B275" s="9" t="inlineStr">
        <is>
          <t>Thursday</t>
        </is>
      </c>
      <c r="C275" s="9" t="inlineStr">
        <is>
          <t>SEP</t>
        </is>
      </c>
      <c r="D275" s="9" t="n">
        <v>38</v>
      </c>
      <c r="E275" s="9" t="n"/>
      <c r="F275" s="9" t="n"/>
      <c r="G275" s="16" t="n"/>
      <c r="H275" s="9" t="n"/>
      <c r="I275" s="16" t="n"/>
      <c r="J275" s="9" t="n"/>
      <c r="K275" s="9" t="n"/>
      <c r="L275" s="9" t="n"/>
      <c r="M275" s="9" t="n"/>
      <c r="N275" s="9" t="n"/>
      <c r="O275" s="9" t="n"/>
    </row>
    <row r="276">
      <c r="A276" s="16" t="n">
        <v>46289</v>
      </c>
      <c r="B276" s="9" t="inlineStr">
        <is>
          <t>Thursday</t>
        </is>
      </c>
      <c r="C276" s="9" t="inlineStr">
        <is>
          <t>SEP</t>
        </is>
      </c>
      <c r="D276" s="9" t="n">
        <v>38</v>
      </c>
      <c r="E276" s="9" t="n"/>
      <c r="F276" s="9" t="n"/>
      <c r="G276" s="16" t="n"/>
      <c r="H276" s="9" t="n"/>
      <c r="I276" s="16" t="n"/>
      <c r="J276" s="9" t="n"/>
      <c r="K276" s="9" t="n"/>
      <c r="L276" s="9" t="n"/>
      <c r="M276" s="9" t="n"/>
      <c r="N276" s="9" t="n"/>
      <c r="O276" s="9" t="n"/>
    </row>
    <row r="277">
      <c r="A277" s="24" t="n">
        <v>46290</v>
      </c>
      <c r="B277" s="25" t="inlineStr">
        <is>
          <t>Friday</t>
        </is>
      </c>
      <c r="C277" s="25" t="inlineStr">
        <is>
          <t>SEP</t>
        </is>
      </c>
      <c r="D277" s="25" t="n">
        <v>39</v>
      </c>
      <c r="E277" s="25" t="n"/>
      <c r="F277" s="25" t="n"/>
      <c r="G277" s="24" t="n"/>
      <c r="H277" s="25" t="n"/>
      <c r="I277" s="24" t="n"/>
      <c r="J277" s="25" t="n"/>
      <c r="K277" s="25" t="n"/>
      <c r="L277" s="25" t="n"/>
      <c r="M277" s="25" t="n"/>
      <c r="N277" s="25" t="n"/>
      <c r="O277" s="25" t="n"/>
    </row>
    <row r="278">
      <c r="A278" s="16" t="n">
        <v>46290</v>
      </c>
      <c r="B278" s="9" t="inlineStr">
        <is>
          <t>Friday</t>
        </is>
      </c>
      <c r="C278" s="9" t="inlineStr">
        <is>
          <t>SEP</t>
        </is>
      </c>
      <c r="D278" s="9" t="n">
        <v>39</v>
      </c>
      <c r="E278" s="9" t="n"/>
      <c r="F278" s="9" t="n"/>
      <c r="G278" s="16" t="n"/>
      <c r="H278" s="9" t="n"/>
      <c r="I278" s="16" t="n"/>
      <c r="J278" s="9" t="n"/>
      <c r="K278" s="9" t="n"/>
      <c r="L278" s="9" t="n"/>
      <c r="M278" s="9" t="n"/>
      <c r="N278" s="9" t="n"/>
      <c r="O278" s="9" t="n"/>
    </row>
    <row r="279">
      <c r="A279" s="16" t="n">
        <v>46290</v>
      </c>
      <c r="B279" s="9" t="inlineStr">
        <is>
          <t>Friday</t>
        </is>
      </c>
      <c r="C279" s="9" t="inlineStr">
        <is>
          <t>SEP</t>
        </is>
      </c>
      <c r="D279" s="9" t="n">
        <v>39</v>
      </c>
      <c r="E279" s="9" t="n"/>
      <c r="F279" s="9" t="n"/>
      <c r="G279" s="16" t="n"/>
      <c r="H279" s="9" t="n"/>
      <c r="I279" s="16" t="n"/>
      <c r="J279" s="9" t="n"/>
      <c r="K279" s="9" t="n"/>
      <c r="L279" s="9" t="n"/>
      <c r="M279" s="9" t="n"/>
      <c r="N279" s="9" t="n"/>
      <c r="O279" s="9" t="n"/>
    </row>
    <row r="280">
      <c r="A280" s="16" t="n">
        <v>46290</v>
      </c>
      <c r="B280" s="9" t="inlineStr">
        <is>
          <t>Friday</t>
        </is>
      </c>
      <c r="C280" s="9" t="inlineStr">
        <is>
          <t>SEP</t>
        </is>
      </c>
      <c r="D280" s="9" t="n">
        <v>39</v>
      </c>
      <c r="E280" s="9" t="n"/>
      <c r="F280" s="9" t="n"/>
      <c r="G280" s="16" t="n"/>
      <c r="H280" s="9" t="n"/>
      <c r="I280" s="16" t="n"/>
      <c r="J280" s="9" t="n"/>
      <c r="K280" s="9" t="n"/>
      <c r="L280" s="9" t="n"/>
      <c r="M280" s="9" t="n"/>
      <c r="N280" s="9" t="n"/>
      <c r="O280" s="9" t="n"/>
    </row>
    <row r="281">
      <c r="A281" s="16" t="n">
        <v>46290</v>
      </c>
      <c r="B281" s="9" t="inlineStr">
        <is>
          <t>Friday</t>
        </is>
      </c>
      <c r="C281" s="9" t="inlineStr">
        <is>
          <t>SEP</t>
        </is>
      </c>
      <c r="D281" s="9" t="n">
        <v>39</v>
      </c>
      <c r="E281" s="9" t="n"/>
      <c r="F281" s="9" t="n"/>
      <c r="G281" s="16" t="n"/>
      <c r="H281" s="9" t="n"/>
      <c r="I281" s="16" t="n"/>
      <c r="J281" s="9" t="n"/>
      <c r="K281" s="9" t="n"/>
      <c r="L281" s="9" t="n"/>
      <c r="M281" s="9" t="n"/>
      <c r="N281" s="9" t="n"/>
      <c r="O281" s="9" t="n"/>
    </row>
    <row r="282">
      <c r="A282" s="24" t="n">
        <v>46291</v>
      </c>
      <c r="B282" s="25" t="inlineStr">
        <is>
          <t>Saturday</t>
        </is>
      </c>
      <c r="C282" s="25" t="inlineStr">
        <is>
          <t>SEP</t>
        </is>
      </c>
      <c r="D282" s="25" t="n">
        <v>39</v>
      </c>
      <c r="E282" s="25" t="n"/>
      <c r="F282" s="25" t="n"/>
      <c r="G282" s="24" t="n"/>
      <c r="H282" s="25" t="n"/>
      <c r="I282" s="24" t="n"/>
      <c r="J282" s="25" t="n"/>
      <c r="K282" s="25" t="n"/>
      <c r="L282" s="25" t="n"/>
      <c r="M282" s="25" t="n"/>
      <c r="N282" s="25" t="n"/>
      <c r="O282" s="25" t="n"/>
    </row>
    <row r="283">
      <c r="A283" s="16" t="n">
        <v>46291</v>
      </c>
      <c r="B283" s="9" t="inlineStr">
        <is>
          <t>Saturday</t>
        </is>
      </c>
      <c r="C283" s="9" t="inlineStr">
        <is>
          <t>SEP</t>
        </is>
      </c>
      <c r="D283" s="9" t="n">
        <v>39</v>
      </c>
      <c r="E283" s="9" t="n"/>
      <c r="F283" s="9" t="n"/>
      <c r="G283" s="16" t="n"/>
      <c r="H283" s="9" t="n"/>
      <c r="I283" s="16" t="n"/>
      <c r="J283" s="9" t="n"/>
      <c r="K283" s="9" t="n"/>
      <c r="L283" s="9" t="n"/>
      <c r="M283" s="9" t="n"/>
      <c r="N283" s="9" t="n"/>
      <c r="O283" s="9" t="n"/>
    </row>
    <row r="284">
      <c r="A284" s="16" t="n">
        <v>46291</v>
      </c>
      <c r="B284" s="9" t="inlineStr">
        <is>
          <t>Saturday</t>
        </is>
      </c>
      <c r="C284" s="9" t="inlineStr">
        <is>
          <t>SEP</t>
        </is>
      </c>
      <c r="D284" s="9" t="n">
        <v>39</v>
      </c>
      <c r="E284" s="9" t="n"/>
      <c r="F284" s="9" t="n"/>
      <c r="G284" s="16" t="n"/>
      <c r="H284" s="9" t="n"/>
      <c r="I284" s="16" t="n"/>
      <c r="J284" s="9" t="n"/>
      <c r="K284" s="9" t="n"/>
      <c r="L284" s="9" t="n"/>
      <c r="M284" s="9" t="n"/>
      <c r="N284" s="9" t="n"/>
      <c r="O284" s="9" t="n"/>
    </row>
    <row r="285">
      <c r="A285" s="16" t="n">
        <v>46291</v>
      </c>
      <c r="B285" s="9" t="inlineStr">
        <is>
          <t>Saturday</t>
        </is>
      </c>
      <c r="C285" s="9" t="inlineStr">
        <is>
          <t>SEP</t>
        </is>
      </c>
      <c r="D285" s="9" t="n">
        <v>39</v>
      </c>
      <c r="E285" s="9" t="n"/>
      <c r="F285" s="9" t="n"/>
      <c r="G285" s="16" t="n"/>
      <c r="H285" s="9" t="n"/>
      <c r="I285" s="16" t="n"/>
      <c r="J285" s="9" t="n"/>
      <c r="K285" s="9" t="n"/>
      <c r="L285" s="9" t="n"/>
      <c r="M285" s="9" t="n"/>
      <c r="N285" s="9" t="n"/>
      <c r="O285" s="9" t="n"/>
    </row>
    <row r="286">
      <c r="A286" s="16" t="n">
        <v>46291</v>
      </c>
      <c r="B286" s="9" t="inlineStr">
        <is>
          <t>Saturday</t>
        </is>
      </c>
      <c r="C286" s="9" t="inlineStr">
        <is>
          <t>SEP</t>
        </is>
      </c>
      <c r="D286" s="9" t="n">
        <v>39</v>
      </c>
      <c r="E286" s="9" t="n"/>
      <c r="F286" s="9" t="n"/>
      <c r="G286" s="16" t="n"/>
      <c r="H286" s="9" t="n"/>
      <c r="I286" s="16" t="n"/>
      <c r="J286" s="9" t="n"/>
      <c r="K286" s="9" t="n"/>
      <c r="L286" s="9" t="n"/>
      <c r="M286" s="9" t="n"/>
      <c r="N286" s="9" t="n"/>
      <c r="O286" s="9" t="n"/>
    </row>
    <row r="287">
      <c r="A287" s="24" t="n">
        <v>46292</v>
      </c>
      <c r="B287" s="25" t="inlineStr">
        <is>
          <t>Sunday</t>
        </is>
      </c>
      <c r="C287" s="25" t="inlineStr">
        <is>
          <t>SEP</t>
        </is>
      </c>
      <c r="D287" s="25" t="n">
        <v>39</v>
      </c>
      <c r="E287" s="25" t="n"/>
      <c r="F287" s="25" t="n"/>
      <c r="G287" s="24" t="n"/>
      <c r="H287" s="25" t="n"/>
      <c r="I287" s="24" t="n"/>
      <c r="J287" s="25" t="n"/>
      <c r="K287" s="25" t="n"/>
      <c r="L287" s="25" t="n"/>
      <c r="M287" s="25" t="n"/>
      <c r="N287" s="25" t="n"/>
      <c r="O287" s="25" t="n"/>
    </row>
    <row r="288">
      <c r="A288" s="16" t="n">
        <v>46292</v>
      </c>
      <c r="B288" s="9" t="inlineStr">
        <is>
          <t>Sunday</t>
        </is>
      </c>
      <c r="C288" s="9" t="inlineStr">
        <is>
          <t>SEP</t>
        </is>
      </c>
      <c r="D288" s="9" t="n">
        <v>39</v>
      </c>
      <c r="E288" s="9" t="n"/>
      <c r="F288" s="9" t="n"/>
      <c r="G288" s="16" t="n"/>
      <c r="H288" s="9" t="n"/>
      <c r="I288" s="16" t="n"/>
      <c r="J288" s="9" t="n"/>
      <c r="K288" s="9" t="n"/>
      <c r="L288" s="9" t="n"/>
      <c r="M288" s="9" t="n"/>
      <c r="N288" s="9" t="n"/>
      <c r="O288" s="9" t="n"/>
    </row>
    <row r="289">
      <c r="A289" s="16" t="n">
        <v>46292</v>
      </c>
      <c r="B289" s="9" t="inlineStr">
        <is>
          <t>Sunday</t>
        </is>
      </c>
      <c r="C289" s="9" t="inlineStr">
        <is>
          <t>SEP</t>
        </is>
      </c>
      <c r="D289" s="9" t="n">
        <v>39</v>
      </c>
      <c r="E289" s="9" t="n"/>
      <c r="F289" s="9" t="n"/>
      <c r="G289" s="16" t="n"/>
      <c r="H289" s="9" t="n"/>
      <c r="I289" s="16" t="n"/>
      <c r="J289" s="9" t="n"/>
      <c r="K289" s="9" t="n"/>
      <c r="L289" s="9" t="n"/>
      <c r="M289" s="9" t="n"/>
      <c r="N289" s="9" t="n"/>
      <c r="O289" s="9" t="n"/>
    </row>
    <row r="290">
      <c r="A290" s="16" t="n">
        <v>46292</v>
      </c>
      <c r="B290" s="9" t="inlineStr">
        <is>
          <t>Sunday</t>
        </is>
      </c>
      <c r="C290" s="9" t="inlineStr">
        <is>
          <t>SEP</t>
        </is>
      </c>
      <c r="D290" s="9" t="n">
        <v>39</v>
      </c>
      <c r="E290" s="9" t="n"/>
      <c r="F290" s="9" t="n"/>
      <c r="G290" s="16" t="n"/>
      <c r="H290" s="9" t="n"/>
      <c r="I290" s="16" t="n"/>
      <c r="J290" s="9" t="n"/>
      <c r="K290" s="9" t="n"/>
      <c r="L290" s="9" t="n"/>
      <c r="M290" s="9" t="n"/>
      <c r="N290" s="9" t="n"/>
      <c r="O290" s="9" t="n"/>
    </row>
    <row r="291">
      <c r="A291" s="16" t="n">
        <v>46292</v>
      </c>
      <c r="B291" s="9" t="inlineStr">
        <is>
          <t>Sunday</t>
        </is>
      </c>
      <c r="C291" s="9" t="inlineStr">
        <is>
          <t>SEP</t>
        </is>
      </c>
      <c r="D291" s="9" t="n">
        <v>39</v>
      </c>
      <c r="E291" s="9" t="n"/>
      <c r="F291" s="9" t="n"/>
      <c r="G291" s="16" t="n"/>
      <c r="H291" s="9" t="n"/>
      <c r="I291" s="16" t="n"/>
      <c r="J291" s="9" t="n"/>
      <c r="K291" s="9" t="n"/>
      <c r="L291" s="9" t="n"/>
      <c r="M291" s="9" t="n"/>
      <c r="N291" s="9" t="n"/>
      <c r="O291" s="9" t="n"/>
    </row>
    <row r="292">
      <c r="A292" s="24" t="n">
        <v>46293</v>
      </c>
      <c r="B292" s="25" t="inlineStr">
        <is>
          <t>Monday</t>
        </is>
      </c>
      <c r="C292" s="25" t="inlineStr">
        <is>
          <t>SEP</t>
        </is>
      </c>
      <c r="D292" s="25" t="n">
        <v>39</v>
      </c>
      <c r="E292" s="25" t="n"/>
      <c r="F292" s="25" t="n"/>
      <c r="G292" s="24" t="n"/>
      <c r="H292" s="25" t="n"/>
      <c r="I292" s="24" t="n"/>
      <c r="J292" s="25" t="n"/>
      <c r="K292" s="25" t="n"/>
      <c r="L292" s="25" t="n"/>
      <c r="M292" s="25" t="n"/>
      <c r="N292" s="25" t="n"/>
      <c r="O292" s="25" t="n"/>
    </row>
    <row r="293">
      <c r="A293" s="16" t="n">
        <v>46293</v>
      </c>
      <c r="B293" s="9" t="inlineStr">
        <is>
          <t>Monday</t>
        </is>
      </c>
      <c r="C293" s="9" t="inlineStr">
        <is>
          <t>SEP</t>
        </is>
      </c>
      <c r="D293" s="9" t="n">
        <v>39</v>
      </c>
      <c r="E293" s="9" t="n"/>
      <c r="F293" s="9" t="n"/>
      <c r="G293" s="16" t="n"/>
      <c r="H293" s="9" t="n"/>
      <c r="I293" s="16" t="n"/>
      <c r="J293" s="9" t="n"/>
      <c r="K293" s="9" t="n"/>
      <c r="L293" s="9" t="n"/>
      <c r="M293" s="9" t="n"/>
      <c r="N293" s="9" t="n"/>
      <c r="O293" s="9" t="n"/>
    </row>
    <row r="294">
      <c r="A294" s="16" t="n">
        <v>46293</v>
      </c>
      <c r="B294" s="9" t="inlineStr">
        <is>
          <t>Monday</t>
        </is>
      </c>
      <c r="C294" s="9" t="inlineStr">
        <is>
          <t>SEP</t>
        </is>
      </c>
      <c r="D294" s="9" t="n">
        <v>39</v>
      </c>
      <c r="E294" s="9" t="n"/>
      <c r="F294" s="9" t="n"/>
      <c r="G294" s="16" t="n"/>
      <c r="H294" s="9" t="n"/>
      <c r="I294" s="16" t="n"/>
      <c r="J294" s="9" t="n"/>
      <c r="K294" s="9" t="n"/>
      <c r="L294" s="9" t="n"/>
      <c r="M294" s="9" t="n"/>
      <c r="N294" s="9" t="n"/>
      <c r="O294" s="9" t="n"/>
    </row>
    <row r="295">
      <c r="A295" s="16" t="n">
        <v>46293</v>
      </c>
      <c r="B295" s="9" t="inlineStr">
        <is>
          <t>Monday</t>
        </is>
      </c>
      <c r="C295" s="9" t="inlineStr">
        <is>
          <t>SEP</t>
        </is>
      </c>
      <c r="D295" s="9" t="n">
        <v>39</v>
      </c>
      <c r="E295" s="9" t="n"/>
      <c r="F295" s="9" t="n"/>
      <c r="G295" s="16" t="n"/>
      <c r="H295" s="9" t="n"/>
      <c r="I295" s="16" t="n"/>
      <c r="J295" s="9" t="n"/>
      <c r="K295" s="9" t="n"/>
      <c r="L295" s="9" t="n"/>
      <c r="M295" s="9" t="n"/>
      <c r="N295" s="9" t="n"/>
      <c r="O295" s="9" t="n"/>
    </row>
    <row r="296">
      <c r="A296" s="16" t="n">
        <v>46293</v>
      </c>
      <c r="B296" s="9" t="inlineStr">
        <is>
          <t>Monday</t>
        </is>
      </c>
      <c r="C296" s="9" t="inlineStr">
        <is>
          <t>SEP</t>
        </is>
      </c>
      <c r="D296" s="9" t="n">
        <v>39</v>
      </c>
      <c r="E296" s="9" t="n"/>
      <c r="F296" s="9" t="n"/>
      <c r="G296" s="16" t="n"/>
      <c r="H296" s="9" t="n"/>
      <c r="I296" s="16" t="n"/>
      <c r="J296" s="9" t="n"/>
      <c r="K296" s="9" t="n"/>
      <c r="L296" s="9" t="n"/>
      <c r="M296" s="9" t="n"/>
      <c r="N296" s="9" t="n"/>
      <c r="O296" s="9" t="n"/>
    </row>
    <row r="297">
      <c r="A297" s="24" t="n">
        <v>46294</v>
      </c>
      <c r="B297" s="25" t="inlineStr">
        <is>
          <t>Tuesday</t>
        </is>
      </c>
      <c r="C297" s="25" t="inlineStr">
        <is>
          <t>SEP</t>
        </is>
      </c>
      <c r="D297" s="25" t="n">
        <v>39</v>
      </c>
      <c r="E297" s="25" t="n"/>
      <c r="F297" s="25" t="n"/>
      <c r="G297" s="24" t="n"/>
      <c r="H297" s="25" t="n"/>
      <c r="I297" s="24" t="n"/>
      <c r="J297" s="25" t="n"/>
      <c r="K297" s="25" t="n"/>
      <c r="L297" s="25" t="n"/>
      <c r="M297" s="25" t="n"/>
      <c r="N297" s="25" t="n"/>
      <c r="O297" s="25" t="n"/>
    </row>
    <row r="298">
      <c r="A298" s="16" t="n">
        <v>46294</v>
      </c>
      <c r="B298" s="9" t="inlineStr">
        <is>
          <t>Tuesday</t>
        </is>
      </c>
      <c r="C298" s="9" t="inlineStr">
        <is>
          <t>SEP</t>
        </is>
      </c>
      <c r="D298" s="9" t="n">
        <v>39</v>
      </c>
      <c r="E298" s="9" t="n"/>
      <c r="F298" s="9" t="n"/>
      <c r="G298" s="16" t="n"/>
      <c r="H298" s="9" t="n"/>
      <c r="I298" s="16" t="n"/>
      <c r="J298" s="9" t="n"/>
      <c r="K298" s="9" t="n"/>
      <c r="L298" s="9" t="n"/>
      <c r="M298" s="9" t="n"/>
      <c r="N298" s="9" t="n"/>
      <c r="O298" s="9" t="n"/>
    </row>
    <row r="299">
      <c r="A299" s="16" t="n">
        <v>46294</v>
      </c>
      <c r="B299" s="9" t="inlineStr">
        <is>
          <t>Tuesday</t>
        </is>
      </c>
      <c r="C299" s="9" t="inlineStr">
        <is>
          <t>SEP</t>
        </is>
      </c>
      <c r="D299" s="9" t="n">
        <v>39</v>
      </c>
      <c r="E299" s="9" t="n"/>
      <c r="F299" s="9" t="n"/>
      <c r="G299" s="16" t="n"/>
      <c r="H299" s="9" t="n"/>
      <c r="I299" s="16" t="n"/>
      <c r="J299" s="9" t="n"/>
      <c r="K299" s="9" t="n"/>
      <c r="L299" s="9" t="n"/>
      <c r="M299" s="9" t="n"/>
      <c r="N299" s="9" t="n"/>
      <c r="O299" s="9" t="n"/>
    </row>
    <row r="300">
      <c r="A300" s="16" t="n">
        <v>46294</v>
      </c>
      <c r="B300" s="9" t="inlineStr">
        <is>
          <t>Tuesday</t>
        </is>
      </c>
      <c r="C300" s="9" t="inlineStr">
        <is>
          <t>SEP</t>
        </is>
      </c>
      <c r="D300" s="9" t="n">
        <v>39</v>
      </c>
      <c r="E300" s="9" t="n"/>
      <c r="F300" s="9" t="n"/>
      <c r="G300" s="16" t="n"/>
      <c r="H300" s="9" t="n"/>
      <c r="I300" s="16" t="n"/>
      <c r="J300" s="9" t="n"/>
      <c r="K300" s="9" t="n"/>
      <c r="L300" s="9" t="n"/>
      <c r="M300" s="9" t="n"/>
      <c r="N300" s="9" t="n"/>
      <c r="O300" s="9" t="n"/>
    </row>
    <row r="301">
      <c r="A301" s="16" t="n">
        <v>46294</v>
      </c>
      <c r="B301" s="9" t="inlineStr">
        <is>
          <t>Tuesday</t>
        </is>
      </c>
      <c r="C301" s="9" t="inlineStr">
        <is>
          <t>SEP</t>
        </is>
      </c>
      <c r="D301" s="9" t="n">
        <v>39</v>
      </c>
      <c r="E301" s="9" t="n"/>
      <c r="F301" s="9" t="n"/>
      <c r="G301" s="16" t="n"/>
      <c r="H301" s="9" t="n"/>
      <c r="I301" s="16" t="n"/>
      <c r="J301" s="9" t="n"/>
      <c r="K301" s="9" t="n"/>
      <c r="L301" s="9" t="n"/>
      <c r="M301" s="9" t="n"/>
      <c r="N301" s="9" t="n"/>
      <c r="O301" s="9" t="n"/>
    </row>
    <row r="302">
      <c r="A302" s="24" t="n">
        <v>46295</v>
      </c>
      <c r="B302" s="25" t="inlineStr">
        <is>
          <t>Wednesday</t>
        </is>
      </c>
      <c r="C302" s="25" t="inlineStr">
        <is>
          <t>SEP</t>
        </is>
      </c>
      <c r="D302" s="25" t="n">
        <v>39</v>
      </c>
      <c r="E302" s="25" t="n"/>
      <c r="F302" s="25" t="n"/>
      <c r="G302" s="24" t="n"/>
      <c r="H302" s="25" t="n"/>
      <c r="I302" s="24" t="n"/>
      <c r="J302" s="25" t="n"/>
      <c r="K302" s="25" t="n"/>
      <c r="L302" s="25" t="n"/>
      <c r="M302" s="25" t="n"/>
      <c r="N302" s="25" t="n"/>
      <c r="O302" s="25" t="n"/>
    </row>
    <row r="303">
      <c r="A303" s="16" t="n">
        <v>46295</v>
      </c>
      <c r="B303" s="9" t="inlineStr">
        <is>
          <t>Wednesday</t>
        </is>
      </c>
      <c r="C303" s="9" t="inlineStr">
        <is>
          <t>SEP</t>
        </is>
      </c>
      <c r="D303" s="9" t="n">
        <v>39</v>
      </c>
      <c r="E303" s="9" t="n"/>
      <c r="F303" s="9" t="n"/>
      <c r="G303" s="16" t="n"/>
      <c r="H303" s="9" t="n"/>
      <c r="I303" s="16" t="n"/>
      <c r="J303" s="9" t="n"/>
      <c r="K303" s="9" t="n"/>
      <c r="L303" s="9" t="n"/>
      <c r="M303" s="9" t="n"/>
      <c r="N303" s="9" t="n"/>
      <c r="O303" s="9" t="n"/>
    </row>
    <row r="304">
      <c r="A304" s="16" t="n">
        <v>46295</v>
      </c>
      <c r="B304" s="9" t="inlineStr">
        <is>
          <t>Wednesday</t>
        </is>
      </c>
      <c r="C304" s="9" t="inlineStr">
        <is>
          <t>SEP</t>
        </is>
      </c>
      <c r="D304" s="9" t="n">
        <v>39</v>
      </c>
      <c r="E304" s="9" t="n"/>
      <c r="F304" s="9" t="n"/>
      <c r="G304" s="16" t="n"/>
      <c r="H304" s="9" t="n"/>
      <c r="I304" s="16" t="n"/>
      <c r="J304" s="9" t="n"/>
      <c r="K304" s="9" t="n"/>
      <c r="L304" s="9" t="n"/>
      <c r="M304" s="9" t="n"/>
      <c r="N304" s="9" t="n"/>
      <c r="O304" s="9" t="n"/>
    </row>
    <row r="305">
      <c r="A305" s="16" t="n">
        <v>46295</v>
      </c>
      <c r="B305" s="9" t="inlineStr">
        <is>
          <t>Wednesday</t>
        </is>
      </c>
      <c r="C305" s="9" t="inlineStr">
        <is>
          <t>SEP</t>
        </is>
      </c>
      <c r="D305" s="9" t="n">
        <v>39</v>
      </c>
      <c r="E305" s="9" t="n"/>
      <c r="F305" s="9" t="n"/>
      <c r="G305" s="16" t="n"/>
      <c r="H305" s="9" t="n"/>
      <c r="I305" s="16" t="n"/>
      <c r="J305" s="9" t="n"/>
      <c r="K305" s="9" t="n"/>
      <c r="L305" s="9" t="n"/>
      <c r="M305" s="9" t="n"/>
      <c r="N305" s="9" t="n"/>
      <c r="O305" s="9" t="n"/>
    </row>
    <row r="306">
      <c r="A306" s="16" t="n">
        <v>46295</v>
      </c>
      <c r="B306" s="9" t="inlineStr">
        <is>
          <t>Wednesday</t>
        </is>
      </c>
      <c r="C306" s="9" t="inlineStr">
        <is>
          <t>SEP</t>
        </is>
      </c>
      <c r="D306" s="9" t="n">
        <v>39</v>
      </c>
      <c r="E306" s="9" t="n"/>
      <c r="F306" s="9" t="n"/>
      <c r="G306" s="16" t="n"/>
      <c r="H306" s="9" t="n"/>
      <c r="I306" s="16" t="n"/>
      <c r="J306" s="9" t="n"/>
      <c r="K306" s="9" t="n"/>
      <c r="L306" s="9" t="n"/>
      <c r="M306" s="9" t="n"/>
      <c r="N306" s="9" t="n"/>
      <c r="O306" s="9" t="n"/>
    </row>
    <row r="307">
      <c r="A307" s="24" t="n">
        <v>46296</v>
      </c>
      <c r="B307" s="25" t="inlineStr">
        <is>
          <t>Thursday</t>
        </is>
      </c>
      <c r="C307" s="25" t="inlineStr">
        <is>
          <t>OCT</t>
        </is>
      </c>
      <c r="D307" s="25" t="n">
        <v>39</v>
      </c>
      <c r="E307" s="25" t="n"/>
      <c r="F307" s="25" t="n"/>
      <c r="G307" s="24" t="n"/>
      <c r="H307" s="25" t="n"/>
      <c r="I307" s="24" t="n"/>
      <c r="J307" s="25" t="n"/>
      <c r="K307" s="25" t="n"/>
      <c r="L307" s="25" t="n"/>
      <c r="M307" s="25" t="n"/>
      <c r="N307" s="25" t="n"/>
      <c r="O307" s="25" t="n"/>
    </row>
    <row r="308">
      <c r="A308" s="16" t="n">
        <v>46296</v>
      </c>
      <c r="B308" s="9" t="inlineStr">
        <is>
          <t>Thursday</t>
        </is>
      </c>
      <c r="C308" s="9" t="inlineStr">
        <is>
          <t>OCT</t>
        </is>
      </c>
      <c r="D308" s="9" t="n">
        <v>39</v>
      </c>
      <c r="E308" s="9" t="n"/>
      <c r="F308" s="9" t="n"/>
      <c r="G308" s="16" t="n"/>
      <c r="H308" s="9" t="n"/>
      <c r="I308" s="16" t="n"/>
      <c r="J308" s="9" t="n"/>
      <c r="K308" s="9" t="n"/>
      <c r="L308" s="9" t="n"/>
      <c r="M308" s="9" t="n"/>
      <c r="N308" s="9" t="n"/>
      <c r="O308" s="9" t="n"/>
    </row>
    <row r="309">
      <c r="A309" s="16" t="n">
        <v>46296</v>
      </c>
      <c r="B309" s="9" t="inlineStr">
        <is>
          <t>Thursday</t>
        </is>
      </c>
      <c r="C309" s="9" t="inlineStr">
        <is>
          <t>OCT</t>
        </is>
      </c>
      <c r="D309" s="9" t="n">
        <v>39</v>
      </c>
      <c r="E309" s="9" t="n"/>
      <c r="F309" s="9" t="n"/>
      <c r="G309" s="16" t="n"/>
      <c r="H309" s="9" t="n"/>
      <c r="I309" s="16" t="n"/>
      <c r="J309" s="9" t="n"/>
      <c r="K309" s="9" t="n"/>
      <c r="L309" s="9" t="n"/>
      <c r="M309" s="9" t="n"/>
      <c r="N309" s="9" t="n"/>
      <c r="O309" s="9" t="n"/>
    </row>
    <row r="310">
      <c r="A310" s="16" t="n">
        <v>46296</v>
      </c>
      <c r="B310" s="9" t="inlineStr">
        <is>
          <t>Thursday</t>
        </is>
      </c>
      <c r="C310" s="9" t="inlineStr">
        <is>
          <t>OCT</t>
        </is>
      </c>
      <c r="D310" s="9" t="n">
        <v>39</v>
      </c>
      <c r="E310" s="9" t="n"/>
      <c r="F310" s="9" t="n"/>
      <c r="G310" s="16" t="n"/>
      <c r="H310" s="9" t="n"/>
      <c r="I310" s="16" t="n"/>
      <c r="J310" s="9" t="n"/>
      <c r="K310" s="9" t="n"/>
      <c r="L310" s="9" t="n"/>
      <c r="M310" s="9" t="n"/>
      <c r="N310" s="9" t="n"/>
      <c r="O310" s="9" t="n"/>
    </row>
    <row r="311">
      <c r="A311" s="16" t="n">
        <v>46296</v>
      </c>
      <c r="B311" s="9" t="inlineStr">
        <is>
          <t>Thursday</t>
        </is>
      </c>
      <c r="C311" s="9" t="inlineStr">
        <is>
          <t>OCT</t>
        </is>
      </c>
      <c r="D311" s="9" t="n">
        <v>39</v>
      </c>
      <c r="E311" s="9" t="n"/>
      <c r="F311" s="9" t="n"/>
      <c r="G311" s="16" t="n"/>
      <c r="H311" s="9" t="n"/>
      <c r="I311" s="16" t="n"/>
      <c r="J311" s="9" t="n"/>
      <c r="K311" s="9" t="n"/>
      <c r="L311" s="9" t="n"/>
      <c r="M311" s="9" t="n"/>
      <c r="N311" s="9" t="n"/>
      <c r="O311" s="9" t="n"/>
    </row>
    <row r="312">
      <c r="A312" s="24" t="n">
        <v>46297</v>
      </c>
      <c r="B312" s="25" t="inlineStr">
        <is>
          <t>Friday</t>
        </is>
      </c>
      <c r="C312" s="25" t="inlineStr">
        <is>
          <t>OCT</t>
        </is>
      </c>
      <c r="D312" s="25" t="n">
        <v>40</v>
      </c>
      <c r="E312" s="25" t="n"/>
      <c r="F312" s="25" t="n"/>
      <c r="G312" s="24" t="n"/>
      <c r="H312" s="25" t="n"/>
      <c r="I312" s="24" t="n"/>
      <c r="J312" s="25" t="n"/>
      <c r="K312" s="25" t="n"/>
      <c r="L312" s="25" t="n"/>
      <c r="M312" s="25" t="n"/>
      <c r="N312" s="25" t="n"/>
      <c r="O312" s="25" t="n"/>
    </row>
    <row r="313">
      <c r="A313" s="16" t="n">
        <v>46297</v>
      </c>
      <c r="B313" s="9" t="inlineStr">
        <is>
          <t>Friday</t>
        </is>
      </c>
      <c r="C313" s="9" t="inlineStr">
        <is>
          <t>OCT</t>
        </is>
      </c>
      <c r="D313" s="9" t="n">
        <v>40</v>
      </c>
      <c r="E313" s="9" t="n"/>
      <c r="F313" s="9" t="n"/>
      <c r="G313" s="16" t="n"/>
      <c r="H313" s="9" t="n"/>
      <c r="I313" s="16" t="n"/>
      <c r="J313" s="9" t="n"/>
      <c r="K313" s="9" t="n"/>
      <c r="L313" s="9" t="n"/>
      <c r="M313" s="9" t="n"/>
      <c r="N313" s="9" t="n"/>
      <c r="O313" s="9" t="n"/>
    </row>
    <row r="314">
      <c r="A314" s="16" t="n">
        <v>46297</v>
      </c>
      <c r="B314" s="9" t="inlineStr">
        <is>
          <t>Friday</t>
        </is>
      </c>
      <c r="C314" s="9" t="inlineStr">
        <is>
          <t>OCT</t>
        </is>
      </c>
      <c r="D314" s="9" t="n">
        <v>40</v>
      </c>
      <c r="E314" s="9" t="n"/>
      <c r="F314" s="9" t="n"/>
      <c r="G314" s="16" t="n"/>
      <c r="H314" s="9" t="n"/>
      <c r="I314" s="16" t="n"/>
      <c r="J314" s="9" t="n"/>
      <c r="K314" s="9" t="n"/>
      <c r="L314" s="9" t="n"/>
      <c r="M314" s="9" t="n"/>
      <c r="N314" s="9" t="n"/>
      <c r="O314" s="9" t="n"/>
    </row>
    <row r="315">
      <c r="A315" s="16" t="n">
        <v>46297</v>
      </c>
      <c r="B315" s="9" t="inlineStr">
        <is>
          <t>Friday</t>
        </is>
      </c>
      <c r="C315" s="9" t="inlineStr">
        <is>
          <t>OCT</t>
        </is>
      </c>
      <c r="D315" s="9" t="n">
        <v>40</v>
      </c>
      <c r="E315" s="9" t="n"/>
      <c r="F315" s="9" t="n"/>
      <c r="G315" s="16" t="n"/>
      <c r="H315" s="9" t="n"/>
      <c r="I315" s="16" t="n"/>
      <c r="J315" s="9" t="n"/>
      <c r="K315" s="9" t="n"/>
      <c r="L315" s="9" t="n"/>
      <c r="M315" s="9" t="n"/>
      <c r="N315" s="9" t="n"/>
      <c r="O315" s="9" t="n"/>
    </row>
    <row r="316">
      <c r="A316" s="16" t="n">
        <v>46297</v>
      </c>
      <c r="B316" s="9" t="inlineStr">
        <is>
          <t>Friday</t>
        </is>
      </c>
      <c r="C316" s="9" t="inlineStr">
        <is>
          <t>OCT</t>
        </is>
      </c>
      <c r="D316" s="9" t="n">
        <v>40</v>
      </c>
      <c r="E316" s="9" t="n"/>
      <c r="F316" s="9" t="n"/>
      <c r="G316" s="16" t="n"/>
      <c r="H316" s="9" t="n"/>
      <c r="I316" s="16" t="n"/>
      <c r="J316" s="9" t="n"/>
      <c r="K316" s="9" t="n"/>
      <c r="L316" s="9" t="n"/>
      <c r="M316" s="9" t="n"/>
      <c r="N316" s="9" t="n"/>
      <c r="O316" s="9" t="n"/>
    </row>
    <row r="317">
      <c r="A317" s="24" t="n">
        <v>46298</v>
      </c>
      <c r="B317" s="25" t="inlineStr">
        <is>
          <t>Saturday</t>
        </is>
      </c>
      <c r="C317" s="25" t="inlineStr">
        <is>
          <t>OCT</t>
        </is>
      </c>
      <c r="D317" s="25" t="n">
        <v>40</v>
      </c>
      <c r="E317" s="25" t="n"/>
      <c r="F317" s="25" t="n"/>
      <c r="G317" s="24" t="n"/>
      <c r="H317" s="25" t="n"/>
      <c r="I317" s="24" t="n"/>
      <c r="J317" s="25" t="n"/>
      <c r="K317" s="25" t="n"/>
      <c r="L317" s="25" t="n"/>
      <c r="M317" s="25" t="n"/>
      <c r="N317" s="25" t="n"/>
      <c r="O317" s="25" t="n"/>
    </row>
    <row r="318">
      <c r="A318" s="16" t="n">
        <v>46298</v>
      </c>
      <c r="B318" s="9" t="inlineStr">
        <is>
          <t>Saturday</t>
        </is>
      </c>
      <c r="C318" s="9" t="inlineStr">
        <is>
          <t>OCT</t>
        </is>
      </c>
      <c r="D318" s="9" t="n">
        <v>40</v>
      </c>
      <c r="E318" s="9" t="n"/>
      <c r="F318" s="9" t="n"/>
      <c r="G318" s="16" t="n"/>
      <c r="H318" s="9" t="n"/>
      <c r="I318" s="16" t="n"/>
      <c r="J318" s="9" t="n"/>
      <c r="K318" s="9" t="n"/>
      <c r="L318" s="9" t="n"/>
      <c r="M318" s="9" t="n"/>
      <c r="N318" s="9" t="n"/>
      <c r="O318" s="9" t="n"/>
    </row>
    <row r="319">
      <c r="A319" s="16" t="n">
        <v>46298</v>
      </c>
      <c r="B319" s="9" t="inlineStr">
        <is>
          <t>Saturday</t>
        </is>
      </c>
      <c r="C319" s="9" t="inlineStr">
        <is>
          <t>OCT</t>
        </is>
      </c>
      <c r="D319" s="9" t="n">
        <v>40</v>
      </c>
      <c r="E319" s="9" t="n"/>
      <c r="F319" s="9" t="n"/>
      <c r="G319" s="16" t="n"/>
      <c r="H319" s="9" t="n"/>
      <c r="I319" s="16" t="n"/>
      <c r="J319" s="9" t="n"/>
      <c r="K319" s="9" t="n"/>
      <c r="L319" s="9" t="n"/>
      <c r="M319" s="9" t="n"/>
      <c r="N319" s="9" t="n"/>
      <c r="O319" s="9" t="n"/>
    </row>
    <row r="320">
      <c r="A320" s="16" t="n">
        <v>46298</v>
      </c>
      <c r="B320" s="9" t="inlineStr">
        <is>
          <t>Saturday</t>
        </is>
      </c>
      <c r="C320" s="9" t="inlineStr">
        <is>
          <t>OCT</t>
        </is>
      </c>
      <c r="D320" s="9" t="n">
        <v>40</v>
      </c>
      <c r="E320" s="9" t="n"/>
      <c r="F320" s="9" t="n"/>
      <c r="G320" s="16" t="n"/>
      <c r="H320" s="9" t="n"/>
      <c r="I320" s="16" t="n"/>
      <c r="J320" s="9" t="n"/>
      <c r="K320" s="9" t="n"/>
      <c r="L320" s="9" t="n"/>
      <c r="M320" s="9" t="n"/>
      <c r="N320" s="9" t="n"/>
      <c r="O320" s="9" t="n"/>
    </row>
    <row r="321">
      <c r="A321" s="16" t="n">
        <v>46298</v>
      </c>
      <c r="B321" s="9" t="inlineStr">
        <is>
          <t>Saturday</t>
        </is>
      </c>
      <c r="C321" s="9" t="inlineStr">
        <is>
          <t>OCT</t>
        </is>
      </c>
      <c r="D321" s="9" t="n">
        <v>40</v>
      </c>
      <c r="E321" s="9" t="n"/>
      <c r="F321" s="9" t="n"/>
      <c r="G321" s="16" t="n"/>
      <c r="H321" s="9" t="n"/>
      <c r="I321" s="16" t="n"/>
      <c r="J321" s="9" t="n"/>
      <c r="K321" s="9" t="n"/>
      <c r="L321" s="9" t="n"/>
      <c r="M321" s="9" t="n"/>
      <c r="N321" s="9" t="n"/>
      <c r="O321" s="9" t="n"/>
    </row>
    <row r="322">
      <c r="A322" s="24" t="n">
        <v>46299</v>
      </c>
      <c r="B322" s="25" t="inlineStr">
        <is>
          <t>Sunday</t>
        </is>
      </c>
      <c r="C322" s="25" t="inlineStr">
        <is>
          <t>OCT</t>
        </is>
      </c>
      <c r="D322" s="25" t="n">
        <v>40</v>
      </c>
      <c r="E322" s="25" t="n"/>
      <c r="F322" s="25" t="n"/>
      <c r="G322" s="24" t="n"/>
      <c r="H322" s="25" t="n"/>
      <c r="I322" s="24" t="n"/>
      <c r="J322" s="25" t="n"/>
      <c r="K322" s="25" t="n"/>
      <c r="L322" s="25" t="n"/>
      <c r="M322" s="25" t="n"/>
      <c r="N322" s="25" t="n"/>
      <c r="O322" s="25" t="n"/>
    </row>
    <row r="323">
      <c r="A323" s="16" t="n">
        <v>46299</v>
      </c>
      <c r="B323" s="9" t="inlineStr">
        <is>
          <t>Sunday</t>
        </is>
      </c>
      <c r="C323" s="9" t="inlineStr">
        <is>
          <t>OCT</t>
        </is>
      </c>
      <c r="D323" s="9" t="n">
        <v>40</v>
      </c>
      <c r="E323" s="9" t="n"/>
      <c r="F323" s="9" t="n"/>
      <c r="G323" s="16" t="n"/>
      <c r="H323" s="9" t="n"/>
      <c r="I323" s="16" t="n"/>
      <c r="J323" s="9" t="n"/>
      <c r="K323" s="9" t="n"/>
      <c r="L323" s="9" t="n"/>
      <c r="M323" s="9" t="n"/>
      <c r="N323" s="9" t="n"/>
      <c r="O323" s="9" t="n"/>
    </row>
    <row r="324">
      <c r="A324" s="16" t="n">
        <v>46299</v>
      </c>
      <c r="B324" s="9" t="inlineStr">
        <is>
          <t>Sunday</t>
        </is>
      </c>
      <c r="C324" s="9" t="inlineStr">
        <is>
          <t>OCT</t>
        </is>
      </c>
      <c r="D324" s="9" t="n">
        <v>40</v>
      </c>
      <c r="E324" s="9" t="n"/>
      <c r="F324" s="9" t="n"/>
      <c r="G324" s="16" t="n"/>
      <c r="H324" s="9" t="n"/>
      <c r="I324" s="16" t="n"/>
      <c r="J324" s="9" t="n"/>
      <c r="K324" s="9" t="n"/>
      <c r="L324" s="9" t="n"/>
      <c r="M324" s="9" t="n"/>
      <c r="N324" s="9" t="n"/>
      <c r="O324" s="9" t="n"/>
    </row>
    <row r="325">
      <c r="A325" s="16" t="n">
        <v>46299</v>
      </c>
      <c r="B325" s="9" t="inlineStr">
        <is>
          <t>Sunday</t>
        </is>
      </c>
      <c r="C325" s="9" t="inlineStr">
        <is>
          <t>OCT</t>
        </is>
      </c>
      <c r="D325" s="9" t="n">
        <v>40</v>
      </c>
      <c r="E325" s="9" t="n"/>
      <c r="F325" s="9" t="n"/>
      <c r="G325" s="16" t="n"/>
      <c r="H325" s="9" t="n"/>
      <c r="I325" s="16" t="n"/>
      <c r="J325" s="9" t="n"/>
      <c r="K325" s="9" t="n"/>
      <c r="L325" s="9" t="n"/>
      <c r="M325" s="9" t="n"/>
      <c r="N325" s="9" t="n"/>
      <c r="O325" s="9" t="n"/>
    </row>
    <row r="326">
      <c r="A326" s="16" t="n">
        <v>46299</v>
      </c>
      <c r="B326" s="9" t="inlineStr">
        <is>
          <t>Sunday</t>
        </is>
      </c>
      <c r="C326" s="9" t="inlineStr">
        <is>
          <t>OCT</t>
        </is>
      </c>
      <c r="D326" s="9" t="n">
        <v>40</v>
      </c>
      <c r="E326" s="9" t="n"/>
      <c r="F326" s="9" t="n"/>
      <c r="G326" s="16" t="n"/>
      <c r="H326" s="9" t="n"/>
      <c r="I326" s="16" t="n"/>
      <c r="J326" s="9" t="n"/>
      <c r="K326" s="9" t="n"/>
      <c r="L326" s="9" t="n"/>
      <c r="M326" s="9" t="n"/>
      <c r="N326" s="9" t="n"/>
      <c r="O326" s="9" t="n"/>
    </row>
    <row r="327">
      <c r="A327" s="24" t="n">
        <v>46300</v>
      </c>
      <c r="B327" s="25" t="inlineStr">
        <is>
          <t>Monday</t>
        </is>
      </c>
      <c r="C327" s="25" t="inlineStr">
        <is>
          <t>OCT</t>
        </is>
      </c>
      <c r="D327" s="25" t="n">
        <v>40</v>
      </c>
      <c r="E327" s="25" t="n"/>
      <c r="F327" s="25" t="n"/>
      <c r="G327" s="24" t="n"/>
      <c r="H327" s="25" t="n"/>
      <c r="I327" s="24" t="n"/>
      <c r="J327" s="25" t="n"/>
      <c r="K327" s="25" t="n"/>
      <c r="L327" s="25" t="n"/>
      <c r="M327" s="25" t="n"/>
      <c r="N327" s="25" t="n"/>
      <c r="O327" s="25" t="n"/>
    </row>
    <row r="328">
      <c r="A328" s="16" t="n">
        <v>46300</v>
      </c>
      <c r="B328" s="9" t="inlineStr">
        <is>
          <t>Monday</t>
        </is>
      </c>
      <c r="C328" s="9" t="inlineStr">
        <is>
          <t>OCT</t>
        </is>
      </c>
      <c r="D328" s="9" t="n">
        <v>40</v>
      </c>
      <c r="E328" s="9" t="n"/>
      <c r="F328" s="9" t="n"/>
      <c r="G328" s="16" t="n"/>
      <c r="H328" s="9" t="n"/>
      <c r="I328" s="16" t="n"/>
      <c r="J328" s="9" t="n"/>
      <c r="K328" s="9" t="n"/>
      <c r="L328" s="9" t="n"/>
      <c r="M328" s="9" t="n"/>
      <c r="N328" s="9" t="n"/>
      <c r="O328" s="9" t="n"/>
    </row>
    <row r="329">
      <c r="A329" s="16" t="n">
        <v>46300</v>
      </c>
      <c r="B329" s="9" t="inlineStr">
        <is>
          <t>Monday</t>
        </is>
      </c>
      <c r="C329" s="9" t="inlineStr">
        <is>
          <t>OCT</t>
        </is>
      </c>
      <c r="D329" s="9" t="n">
        <v>40</v>
      </c>
      <c r="E329" s="9" t="n"/>
      <c r="F329" s="9" t="n"/>
      <c r="G329" s="16" t="n"/>
      <c r="H329" s="9" t="n"/>
      <c r="I329" s="16" t="n"/>
      <c r="J329" s="9" t="n"/>
      <c r="K329" s="9" t="n"/>
      <c r="L329" s="9" t="n"/>
      <c r="M329" s="9" t="n"/>
      <c r="N329" s="9" t="n"/>
      <c r="O329" s="9" t="n"/>
    </row>
    <row r="330">
      <c r="A330" s="16" t="n">
        <v>46300</v>
      </c>
      <c r="B330" s="9" t="inlineStr">
        <is>
          <t>Monday</t>
        </is>
      </c>
      <c r="C330" s="9" t="inlineStr">
        <is>
          <t>OCT</t>
        </is>
      </c>
      <c r="D330" s="9" t="n">
        <v>40</v>
      </c>
      <c r="E330" s="9" t="n"/>
      <c r="F330" s="9" t="n"/>
      <c r="G330" s="16" t="n"/>
      <c r="H330" s="9" t="n"/>
      <c r="I330" s="16" t="n"/>
      <c r="J330" s="9" t="n"/>
      <c r="K330" s="9" t="n"/>
      <c r="L330" s="9" t="n"/>
      <c r="M330" s="9" t="n"/>
      <c r="N330" s="9" t="n"/>
      <c r="O330" s="9" t="n"/>
    </row>
    <row r="331">
      <c r="A331" s="16" t="n">
        <v>46300</v>
      </c>
      <c r="B331" s="9" t="inlineStr">
        <is>
          <t>Monday</t>
        </is>
      </c>
      <c r="C331" s="9" t="inlineStr">
        <is>
          <t>OCT</t>
        </is>
      </c>
      <c r="D331" s="9" t="n">
        <v>40</v>
      </c>
      <c r="E331" s="9" t="n"/>
      <c r="F331" s="9" t="n"/>
      <c r="G331" s="16" t="n"/>
      <c r="H331" s="9" t="n"/>
      <c r="I331" s="16" t="n"/>
      <c r="J331" s="9" t="n"/>
      <c r="K331" s="9" t="n"/>
      <c r="L331" s="9" t="n"/>
      <c r="M331" s="9" t="n"/>
      <c r="N331" s="9" t="n"/>
      <c r="O331" s="9" t="n"/>
    </row>
    <row r="332">
      <c r="A332" s="24" t="n">
        <v>46301</v>
      </c>
      <c r="B332" s="25" t="inlineStr">
        <is>
          <t>Tuesday</t>
        </is>
      </c>
      <c r="C332" s="25" t="inlineStr">
        <is>
          <t>OCT</t>
        </is>
      </c>
      <c r="D332" s="25" t="n">
        <v>40</v>
      </c>
      <c r="E332" s="25" t="n"/>
      <c r="F332" s="25" t="n"/>
      <c r="G332" s="24" t="n"/>
      <c r="H332" s="25" t="n"/>
      <c r="I332" s="24" t="n"/>
      <c r="J332" s="25" t="n"/>
      <c r="K332" s="25" t="n"/>
      <c r="L332" s="25" t="n"/>
      <c r="M332" s="25" t="n"/>
      <c r="N332" s="25" t="n"/>
      <c r="O332" s="25" t="n"/>
    </row>
    <row r="333">
      <c r="A333" s="16" t="n">
        <v>46301</v>
      </c>
      <c r="B333" s="9" t="inlineStr">
        <is>
          <t>Tuesday</t>
        </is>
      </c>
      <c r="C333" s="9" t="inlineStr">
        <is>
          <t>OCT</t>
        </is>
      </c>
      <c r="D333" s="9" t="n">
        <v>40</v>
      </c>
      <c r="E333" s="9" t="n"/>
      <c r="F333" s="9" t="n"/>
      <c r="G333" s="16" t="n"/>
      <c r="H333" s="9" t="n"/>
      <c r="I333" s="16" t="n"/>
      <c r="J333" s="9" t="n"/>
      <c r="K333" s="9" t="n"/>
      <c r="L333" s="9" t="n"/>
      <c r="M333" s="9" t="n"/>
      <c r="N333" s="9" t="n"/>
      <c r="O333" s="9" t="n"/>
    </row>
    <row r="334">
      <c r="A334" s="16" t="n">
        <v>46301</v>
      </c>
      <c r="B334" s="9" t="inlineStr">
        <is>
          <t>Tuesday</t>
        </is>
      </c>
      <c r="C334" s="9" t="inlineStr">
        <is>
          <t>OCT</t>
        </is>
      </c>
      <c r="D334" s="9" t="n">
        <v>40</v>
      </c>
      <c r="E334" s="9" t="n"/>
      <c r="F334" s="9" t="n"/>
      <c r="G334" s="16" t="n"/>
      <c r="H334" s="9" t="n"/>
      <c r="I334" s="16" t="n"/>
      <c r="J334" s="9" t="n"/>
      <c r="K334" s="9" t="n"/>
      <c r="L334" s="9" t="n"/>
      <c r="M334" s="9" t="n"/>
      <c r="N334" s="9" t="n"/>
      <c r="O334" s="9" t="n"/>
    </row>
    <row r="335">
      <c r="A335" s="16" t="n">
        <v>46301</v>
      </c>
      <c r="B335" s="9" t="inlineStr">
        <is>
          <t>Tuesday</t>
        </is>
      </c>
      <c r="C335" s="9" t="inlineStr">
        <is>
          <t>OCT</t>
        </is>
      </c>
      <c r="D335" s="9" t="n">
        <v>40</v>
      </c>
      <c r="E335" s="9" t="n"/>
      <c r="F335" s="9" t="n"/>
      <c r="G335" s="16" t="n"/>
      <c r="H335" s="9" t="n"/>
      <c r="I335" s="16" t="n"/>
      <c r="J335" s="9" t="n"/>
      <c r="K335" s="9" t="n"/>
      <c r="L335" s="9" t="n"/>
      <c r="M335" s="9" t="n"/>
      <c r="N335" s="9" t="n"/>
      <c r="O335" s="9" t="n"/>
    </row>
    <row r="336">
      <c r="A336" s="16" t="n">
        <v>46301</v>
      </c>
      <c r="B336" s="9" t="inlineStr">
        <is>
          <t>Tuesday</t>
        </is>
      </c>
      <c r="C336" s="9" t="inlineStr">
        <is>
          <t>OCT</t>
        </is>
      </c>
      <c r="D336" s="9" t="n">
        <v>40</v>
      </c>
      <c r="E336" s="9" t="n"/>
      <c r="F336" s="9" t="n"/>
      <c r="G336" s="16" t="n"/>
      <c r="H336" s="9" t="n"/>
      <c r="I336" s="16" t="n"/>
      <c r="J336" s="9" t="n"/>
      <c r="K336" s="9" t="n"/>
      <c r="L336" s="9" t="n"/>
      <c r="M336" s="9" t="n"/>
      <c r="N336" s="9" t="n"/>
      <c r="O336" s="9" t="n"/>
    </row>
    <row r="337">
      <c r="A337" s="24" t="n">
        <v>46302</v>
      </c>
      <c r="B337" s="25" t="inlineStr">
        <is>
          <t>Wednesday</t>
        </is>
      </c>
      <c r="C337" s="25" t="inlineStr">
        <is>
          <t>OCT</t>
        </is>
      </c>
      <c r="D337" s="25" t="n">
        <v>40</v>
      </c>
      <c r="E337" s="25" t="n"/>
      <c r="F337" s="25" t="n"/>
      <c r="G337" s="24" t="n"/>
      <c r="H337" s="25" t="n"/>
      <c r="I337" s="24" t="n"/>
      <c r="J337" s="25" t="n"/>
      <c r="K337" s="25" t="n"/>
      <c r="L337" s="25" t="n"/>
      <c r="M337" s="25" t="n"/>
      <c r="N337" s="25" t="n"/>
      <c r="O337" s="25" t="n"/>
    </row>
    <row r="338">
      <c r="A338" s="16" t="n">
        <v>46302</v>
      </c>
      <c r="B338" s="9" t="inlineStr">
        <is>
          <t>Wednesday</t>
        </is>
      </c>
      <c r="C338" s="9" t="inlineStr">
        <is>
          <t>OCT</t>
        </is>
      </c>
      <c r="D338" s="9" t="n">
        <v>40</v>
      </c>
      <c r="E338" s="9" t="n"/>
      <c r="F338" s="9" t="n"/>
      <c r="G338" s="16" t="n"/>
      <c r="H338" s="9" t="n"/>
      <c r="I338" s="16" t="n"/>
      <c r="J338" s="9" t="n"/>
      <c r="K338" s="9" t="n"/>
      <c r="L338" s="9" t="n"/>
      <c r="M338" s="9" t="n"/>
      <c r="N338" s="9" t="n"/>
      <c r="O338" s="9" t="n"/>
    </row>
    <row r="339">
      <c r="A339" s="16" t="n">
        <v>46302</v>
      </c>
      <c r="B339" s="9" t="inlineStr">
        <is>
          <t>Wednesday</t>
        </is>
      </c>
      <c r="C339" s="9" t="inlineStr">
        <is>
          <t>OCT</t>
        </is>
      </c>
      <c r="D339" s="9" t="n">
        <v>40</v>
      </c>
      <c r="E339" s="9" t="n"/>
      <c r="F339" s="9" t="n"/>
      <c r="G339" s="16" t="n"/>
      <c r="H339" s="9" t="n"/>
      <c r="I339" s="16" t="n"/>
      <c r="J339" s="9" t="n"/>
      <c r="K339" s="9" t="n"/>
      <c r="L339" s="9" t="n"/>
      <c r="M339" s="9" t="n"/>
      <c r="N339" s="9" t="n"/>
      <c r="O339" s="9" t="n"/>
    </row>
    <row r="340">
      <c r="A340" s="16" t="n">
        <v>46302</v>
      </c>
      <c r="B340" s="9" t="inlineStr">
        <is>
          <t>Wednesday</t>
        </is>
      </c>
      <c r="C340" s="9" t="inlineStr">
        <is>
          <t>OCT</t>
        </is>
      </c>
      <c r="D340" s="9" t="n">
        <v>40</v>
      </c>
      <c r="E340" s="9" t="n"/>
      <c r="F340" s="9" t="n"/>
      <c r="G340" s="16" t="n"/>
      <c r="H340" s="9" t="n"/>
      <c r="I340" s="16" t="n"/>
      <c r="J340" s="9" t="n"/>
      <c r="K340" s="9" t="n"/>
      <c r="L340" s="9" t="n"/>
      <c r="M340" s="9" t="n"/>
      <c r="N340" s="9" t="n"/>
      <c r="O340" s="9" t="n"/>
    </row>
    <row r="341">
      <c r="A341" s="16" t="n">
        <v>46302</v>
      </c>
      <c r="B341" s="9" t="inlineStr">
        <is>
          <t>Wednesday</t>
        </is>
      </c>
      <c r="C341" s="9" t="inlineStr">
        <is>
          <t>OCT</t>
        </is>
      </c>
      <c r="D341" s="9" t="n">
        <v>40</v>
      </c>
      <c r="E341" s="9" t="n"/>
      <c r="F341" s="9" t="n"/>
      <c r="G341" s="16" t="n"/>
      <c r="H341" s="9" t="n"/>
      <c r="I341" s="16" t="n"/>
      <c r="J341" s="9" t="n"/>
      <c r="K341" s="9" t="n"/>
      <c r="L341" s="9" t="n"/>
      <c r="M341" s="9" t="n"/>
      <c r="N341" s="9" t="n"/>
      <c r="O341" s="9" t="n"/>
    </row>
    <row r="342">
      <c r="A342" s="24" t="n">
        <v>46303</v>
      </c>
      <c r="B342" s="25" t="inlineStr">
        <is>
          <t>Thursday</t>
        </is>
      </c>
      <c r="C342" s="25" t="inlineStr">
        <is>
          <t>OCT</t>
        </is>
      </c>
      <c r="D342" s="25" t="n">
        <v>40</v>
      </c>
      <c r="E342" s="25" t="n"/>
      <c r="F342" s="25" t="n"/>
      <c r="G342" s="24" t="n"/>
      <c r="H342" s="25" t="n"/>
      <c r="I342" s="24" t="n"/>
      <c r="J342" s="25" t="n"/>
      <c r="K342" s="25" t="n"/>
      <c r="L342" s="25" t="n"/>
      <c r="M342" s="25" t="n"/>
      <c r="N342" s="25" t="n"/>
      <c r="O342" s="25" t="n"/>
    </row>
    <row r="343">
      <c r="A343" s="16" t="n">
        <v>46303</v>
      </c>
      <c r="B343" s="9" t="inlineStr">
        <is>
          <t>Thursday</t>
        </is>
      </c>
      <c r="C343" s="9" t="inlineStr">
        <is>
          <t>OCT</t>
        </is>
      </c>
      <c r="D343" s="9" t="n">
        <v>40</v>
      </c>
      <c r="E343" s="9" t="n"/>
      <c r="F343" s="9" t="n"/>
      <c r="G343" s="16" t="n"/>
      <c r="H343" s="9" t="n"/>
      <c r="I343" s="16" t="n"/>
      <c r="J343" s="9" t="n"/>
      <c r="K343" s="9" t="n"/>
      <c r="L343" s="9" t="n"/>
      <c r="M343" s="9" t="n"/>
      <c r="N343" s="9" t="n"/>
      <c r="O343" s="9" t="n"/>
    </row>
    <row r="344">
      <c r="A344" s="16" t="n">
        <v>46303</v>
      </c>
      <c r="B344" s="9" t="inlineStr">
        <is>
          <t>Thursday</t>
        </is>
      </c>
      <c r="C344" s="9" t="inlineStr">
        <is>
          <t>OCT</t>
        </is>
      </c>
      <c r="D344" s="9" t="n">
        <v>40</v>
      </c>
      <c r="E344" s="9" t="n"/>
      <c r="F344" s="9" t="n"/>
      <c r="G344" s="16" t="n"/>
      <c r="H344" s="9" t="n"/>
      <c r="I344" s="16" t="n"/>
      <c r="J344" s="9" t="n"/>
      <c r="K344" s="9" t="n"/>
      <c r="L344" s="9" t="n"/>
      <c r="M344" s="9" t="n"/>
      <c r="N344" s="9" t="n"/>
      <c r="O344" s="9" t="n"/>
    </row>
    <row r="345">
      <c r="A345" s="16" t="n">
        <v>46303</v>
      </c>
      <c r="B345" s="9" t="inlineStr">
        <is>
          <t>Thursday</t>
        </is>
      </c>
      <c r="C345" s="9" t="inlineStr">
        <is>
          <t>OCT</t>
        </is>
      </c>
      <c r="D345" s="9" t="n">
        <v>40</v>
      </c>
      <c r="E345" s="9" t="n"/>
      <c r="F345" s="9" t="n"/>
      <c r="G345" s="16" t="n"/>
      <c r="H345" s="9" t="n"/>
      <c r="I345" s="16" t="n"/>
      <c r="J345" s="9" t="n"/>
      <c r="K345" s="9" t="n"/>
      <c r="L345" s="9" t="n"/>
      <c r="M345" s="9" t="n"/>
      <c r="N345" s="9" t="n"/>
      <c r="O345" s="9" t="n"/>
    </row>
    <row r="346">
      <c r="A346" s="16" t="n">
        <v>46303</v>
      </c>
      <c r="B346" s="9" t="inlineStr">
        <is>
          <t>Thursday</t>
        </is>
      </c>
      <c r="C346" s="9" t="inlineStr">
        <is>
          <t>OCT</t>
        </is>
      </c>
      <c r="D346" s="9" t="n">
        <v>40</v>
      </c>
      <c r="E346" s="9" t="n"/>
      <c r="F346" s="9" t="n"/>
      <c r="G346" s="16" t="n"/>
      <c r="H346" s="9" t="n"/>
      <c r="I346" s="16" t="n"/>
      <c r="J346" s="9" t="n"/>
      <c r="K346" s="9" t="n"/>
      <c r="L346" s="9" t="n"/>
      <c r="M346" s="9" t="n"/>
      <c r="N346" s="9" t="n"/>
      <c r="O346" s="9" t="n"/>
    </row>
    <row r="347">
      <c r="A347" s="24" t="n">
        <v>46304</v>
      </c>
      <c r="B347" s="25" t="inlineStr">
        <is>
          <t>Friday</t>
        </is>
      </c>
      <c r="C347" s="25" t="inlineStr">
        <is>
          <t>OCT</t>
        </is>
      </c>
      <c r="D347" s="25" t="n">
        <v>41</v>
      </c>
      <c r="E347" s="25" t="n"/>
      <c r="F347" s="25" t="n"/>
      <c r="G347" s="24" t="n"/>
      <c r="H347" s="25" t="n"/>
      <c r="I347" s="24" t="n"/>
      <c r="J347" s="25" t="n"/>
      <c r="K347" s="25" t="n"/>
      <c r="L347" s="25" t="n"/>
      <c r="M347" s="25" t="n"/>
      <c r="N347" s="25" t="n"/>
      <c r="O347" s="25" t="n"/>
    </row>
    <row r="348">
      <c r="A348" s="16" t="n">
        <v>46304</v>
      </c>
      <c r="B348" s="9" t="inlineStr">
        <is>
          <t>Friday</t>
        </is>
      </c>
      <c r="C348" s="9" t="inlineStr">
        <is>
          <t>OCT</t>
        </is>
      </c>
      <c r="D348" s="9" t="n">
        <v>41</v>
      </c>
      <c r="E348" s="9" t="n"/>
      <c r="F348" s="9" t="n"/>
      <c r="G348" s="16" t="n"/>
      <c r="H348" s="9" t="n"/>
      <c r="I348" s="16" t="n"/>
      <c r="J348" s="9" t="n"/>
      <c r="K348" s="9" t="n"/>
      <c r="L348" s="9" t="n"/>
      <c r="M348" s="9" t="n"/>
      <c r="N348" s="9" t="n"/>
      <c r="O348" s="9" t="n"/>
    </row>
    <row r="349">
      <c r="A349" s="16" t="n">
        <v>46304</v>
      </c>
      <c r="B349" s="9" t="inlineStr">
        <is>
          <t>Friday</t>
        </is>
      </c>
      <c r="C349" s="9" t="inlineStr">
        <is>
          <t>OCT</t>
        </is>
      </c>
      <c r="D349" s="9" t="n">
        <v>41</v>
      </c>
      <c r="E349" s="9" t="n"/>
      <c r="F349" s="9" t="n"/>
      <c r="G349" s="16" t="n"/>
      <c r="H349" s="9" t="n"/>
      <c r="I349" s="16" t="n"/>
      <c r="J349" s="9" t="n"/>
      <c r="K349" s="9" t="n"/>
      <c r="L349" s="9" t="n"/>
      <c r="M349" s="9" t="n"/>
      <c r="N349" s="9" t="n"/>
      <c r="O349" s="9" t="n"/>
    </row>
    <row r="350">
      <c r="A350" s="16" t="n">
        <v>46304</v>
      </c>
      <c r="B350" s="9" t="inlineStr">
        <is>
          <t>Friday</t>
        </is>
      </c>
      <c r="C350" s="9" t="inlineStr">
        <is>
          <t>OCT</t>
        </is>
      </c>
      <c r="D350" s="9" t="n">
        <v>41</v>
      </c>
      <c r="E350" s="9" t="n"/>
      <c r="F350" s="9" t="n"/>
      <c r="G350" s="16" t="n"/>
      <c r="H350" s="9" t="n"/>
      <c r="I350" s="16" t="n"/>
      <c r="J350" s="9" t="n"/>
      <c r="K350" s="9" t="n"/>
      <c r="L350" s="9" t="n"/>
      <c r="M350" s="9" t="n"/>
      <c r="N350" s="9" t="n"/>
      <c r="O350" s="9" t="n"/>
    </row>
    <row r="351">
      <c r="A351" s="16" t="n">
        <v>46304</v>
      </c>
      <c r="B351" s="9" t="inlineStr">
        <is>
          <t>Friday</t>
        </is>
      </c>
      <c r="C351" s="9" t="inlineStr">
        <is>
          <t>OCT</t>
        </is>
      </c>
      <c r="D351" s="9" t="n">
        <v>41</v>
      </c>
      <c r="E351" s="9" t="n"/>
      <c r="F351" s="9" t="n"/>
      <c r="G351" s="16" t="n"/>
      <c r="H351" s="9" t="n"/>
      <c r="I351" s="16" t="n"/>
      <c r="J351" s="9" t="n"/>
      <c r="K351" s="9" t="n"/>
      <c r="L351" s="9" t="n"/>
      <c r="M351" s="9" t="n"/>
      <c r="N351" s="9" t="n"/>
      <c r="O351" s="9" t="n"/>
    </row>
    <row r="352">
      <c r="A352" s="24" t="n">
        <v>46305</v>
      </c>
      <c r="B352" s="25" t="inlineStr">
        <is>
          <t>Saturday</t>
        </is>
      </c>
      <c r="C352" s="25" t="inlineStr">
        <is>
          <t>OCT</t>
        </is>
      </c>
      <c r="D352" s="25" t="n">
        <v>41</v>
      </c>
      <c r="E352" s="25" t="n"/>
      <c r="F352" s="25" t="n"/>
      <c r="G352" s="24" t="n"/>
      <c r="H352" s="25" t="n"/>
      <c r="I352" s="24" t="n"/>
      <c r="J352" s="25" t="n"/>
      <c r="K352" s="25" t="n"/>
      <c r="L352" s="25" t="n"/>
      <c r="M352" s="25" t="n"/>
      <c r="N352" s="25" t="n"/>
      <c r="O352" s="25" t="n"/>
    </row>
    <row r="353">
      <c r="A353" s="16" t="n">
        <v>46305</v>
      </c>
      <c r="B353" s="9" t="inlineStr">
        <is>
          <t>Saturday</t>
        </is>
      </c>
      <c r="C353" s="9" t="inlineStr">
        <is>
          <t>OCT</t>
        </is>
      </c>
      <c r="D353" s="9" t="n">
        <v>41</v>
      </c>
      <c r="E353" s="9" t="n"/>
      <c r="F353" s="9" t="n"/>
      <c r="G353" s="16" t="n"/>
      <c r="H353" s="9" t="n"/>
      <c r="I353" s="16" t="n"/>
      <c r="J353" s="9" t="n"/>
      <c r="K353" s="9" t="n"/>
      <c r="L353" s="9" t="n"/>
      <c r="M353" s="9" t="n"/>
      <c r="N353" s="9" t="n"/>
      <c r="O353" s="9" t="n"/>
    </row>
    <row r="354">
      <c r="A354" s="16" t="n">
        <v>46305</v>
      </c>
      <c r="B354" s="9" t="inlineStr">
        <is>
          <t>Saturday</t>
        </is>
      </c>
      <c r="C354" s="9" t="inlineStr">
        <is>
          <t>OCT</t>
        </is>
      </c>
      <c r="D354" s="9" t="n">
        <v>41</v>
      </c>
      <c r="E354" s="9" t="n"/>
      <c r="F354" s="9" t="n"/>
      <c r="G354" s="16" t="n"/>
      <c r="H354" s="9" t="n"/>
      <c r="I354" s="16" t="n"/>
      <c r="J354" s="9" t="n"/>
      <c r="K354" s="9" t="n"/>
      <c r="L354" s="9" t="n"/>
      <c r="M354" s="9" t="n"/>
      <c r="N354" s="9" t="n"/>
      <c r="O354" s="9" t="n"/>
    </row>
    <row r="355">
      <c r="A355" s="16" t="n">
        <v>46305</v>
      </c>
      <c r="B355" s="9" t="inlineStr">
        <is>
          <t>Saturday</t>
        </is>
      </c>
      <c r="C355" s="9" t="inlineStr">
        <is>
          <t>OCT</t>
        </is>
      </c>
      <c r="D355" s="9" t="n">
        <v>41</v>
      </c>
      <c r="E355" s="9" t="n"/>
      <c r="F355" s="9" t="n"/>
      <c r="G355" s="16" t="n"/>
      <c r="H355" s="9" t="n"/>
      <c r="I355" s="16" t="n"/>
      <c r="J355" s="9" t="n"/>
      <c r="K355" s="9" t="n"/>
      <c r="L355" s="9" t="n"/>
      <c r="M355" s="9" t="n"/>
      <c r="N355" s="9" t="n"/>
      <c r="O355" s="9" t="n"/>
    </row>
    <row r="356">
      <c r="A356" s="16" t="n">
        <v>46305</v>
      </c>
      <c r="B356" s="9" t="inlineStr">
        <is>
          <t>Saturday</t>
        </is>
      </c>
      <c r="C356" s="9" t="inlineStr">
        <is>
          <t>OCT</t>
        </is>
      </c>
      <c r="D356" s="9" t="n">
        <v>41</v>
      </c>
      <c r="E356" s="9" t="n"/>
      <c r="F356" s="9" t="n"/>
      <c r="G356" s="16" t="n"/>
      <c r="H356" s="9" t="n"/>
      <c r="I356" s="16" t="n"/>
      <c r="J356" s="9" t="n"/>
      <c r="K356" s="9" t="n"/>
      <c r="L356" s="9" t="n"/>
      <c r="M356" s="9" t="n"/>
      <c r="N356" s="9" t="n"/>
      <c r="O356" s="9" t="n"/>
    </row>
    <row r="357">
      <c r="A357" s="24" t="n">
        <v>46306</v>
      </c>
      <c r="B357" s="25" t="inlineStr">
        <is>
          <t>Sunday</t>
        </is>
      </c>
      <c r="C357" s="25" t="inlineStr">
        <is>
          <t>OCT</t>
        </is>
      </c>
      <c r="D357" s="25" t="n">
        <v>41</v>
      </c>
      <c r="E357" s="25" t="n"/>
      <c r="F357" s="25" t="n"/>
      <c r="G357" s="24" t="n"/>
      <c r="H357" s="25" t="n"/>
      <c r="I357" s="24" t="n"/>
      <c r="J357" s="25" t="n"/>
      <c r="K357" s="25" t="n"/>
      <c r="L357" s="25" t="n"/>
      <c r="M357" s="25" t="n"/>
      <c r="N357" s="25" t="n"/>
      <c r="O357" s="25" t="n"/>
    </row>
    <row r="358">
      <c r="A358" s="16" t="n">
        <v>46306</v>
      </c>
      <c r="B358" s="9" t="inlineStr">
        <is>
          <t>Sunday</t>
        </is>
      </c>
      <c r="C358" s="9" t="inlineStr">
        <is>
          <t>OCT</t>
        </is>
      </c>
      <c r="D358" s="9" t="n">
        <v>41</v>
      </c>
      <c r="E358" s="9" t="n"/>
      <c r="F358" s="9" t="n"/>
      <c r="G358" s="16" t="n"/>
      <c r="H358" s="9" t="n"/>
      <c r="I358" s="16" t="n"/>
      <c r="J358" s="9" t="n"/>
      <c r="K358" s="9" t="n"/>
      <c r="L358" s="9" t="n"/>
      <c r="M358" s="9" t="n"/>
      <c r="N358" s="9" t="n"/>
      <c r="O358" s="9" t="n"/>
    </row>
    <row r="359">
      <c r="A359" s="16" t="n">
        <v>46306</v>
      </c>
      <c r="B359" s="9" t="inlineStr">
        <is>
          <t>Sunday</t>
        </is>
      </c>
      <c r="C359" s="9" t="inlineStr">
        <is>
          <t>OCT</t>
        </is>
      </c>
      <c r="D359" s="9" t="n">
        <v>41</v>
      </c>
      <c r="E359" s="9" t="n"/>
      <c r="F359" s="9" t="n"/>
      <c r="G359" s="16" t="n"/>
      <c r="H359" s="9" t="n"/>
      <c r="I359" s="16" t="n"/>
      <c r="J359" s="9" t="n"/>
      <c r="K359" s="9" t="n"/>
      <c r="L359" s="9" t="n"/>
      <c r="M359" s="9" t="n"/>
      <c r="N359" s="9" t="n"/>
      <c r="O359" s="9" t="n"/>
    </row>
    <row r="360">
      <c r="A360" s="16" t="n">
        <v>46306</v>
      </c>
      <c r="B360" s="9" t="inlineStr">
        <is>
          <t>Sunday</t>
        </is>
      </c>
      <c r="C360" s="9" t="inlineStr">
        <is>
          <t>OCT</t>
        </is>
      </c>
      <c r="D360" s="9" t="n">
        <v>41</v>
      </c>
      <c r="E360" s="9" t="n"/>
      <c r="F360" s="9" t="n"/>
      <c r="G360" s="16" t="n"/>
      <c r="H360" s="9" t="n"/>
      <c r="I360" s="16" t="n"/>
      <c r="J360" s="9" t="n"/>
      <c r="K360" s="9" t="n"/>
      <c r="L360" s="9" t="n"/>
      <c r="M360" s="9" t="n"/>
      <c r="N360" s="9" t="n"/>
      <c r="O360" s="9" t="n"/>
    </row>
    <row r="361">
      <c r="A361" s="16" t="n">
        <v>46306</v>
      </c>
      <c r="B361" s="9" t="inlineStr">
        <is>
          <t>Sunday</t>
        </is>
      </c>
      <c r="C361" s="9" t="inlineStr">
        <is>
          <t>OCT</t>
        </is>
      </c>
      <c r="D361" s="9" t="n">
        <v>41</v>
      </c>
      <c r="E361" s="9" t="n"/>
      <c r="F361" s="9" t="n"/>
      <c r="G361" s="16" t="n"/>
      <c r="H361" s="9" t="n"/>
      <c r="I361" s="16" t="n"/>
      <c r="J361" s="9" t="n"/>
      <c r="K361" s="9" t="n"/>
      <c r="L361" s="9" t="n"/>
      <c r="M361" s="9" t="n"/>
      <c r="N361" s="9" t="n"/>
      <c r="O361" s="9" t="n"/>
    </row>
    <row r="362">
      <c r="A362" s="24" t="n">
        <v>46307</v>
      </c>
      <c r="B362" s="25" t="inlineStr">
        <is>
          <t>Monday</t>
        </is>
      </c>
      <c r="C362" s="25" t="inlineStr">
        <is>
          <t>OCT</t>
        </is>
      </c>
      <c r="D362" s="25" t="n">
        <v>41</v>
      </c>
      <c r="E362" s="25" t="n"/>
      <c r="F362" s="25" t="n"/>
      <c r="G362" s="24" t="n"/>
      <c r="H362" s="25" t="n"/>
      <c r="I362" s="24" t="n"/>
      <c r="J362" s="25" t="n"/>
      <c r="K362" s="25" t="n"/>
      <c r="L362" s="25" t="n"/>
      <c r="M362" s="25" t="n"/>
      <c r="N362" s="25" t="n"/>
      <c r="O362" s="25" t="n"/>
    </row>
    <row r="363">
      <c r="A363" s="16" t="n">
        <v>46307</v>
      </c>
      <c r="B363" s="9" t="inlineStr">
        <is>
          <t>Monday</t>
        </is>
      </c>
      <c r="C363" s="9" t="inlineStr">
        <is>
          <t>OCT</t>
        </is>
      </c>
      <c r="D363" s="9" t="n">
        <v>41</v>
      </c>
      <c r="E363" s="9" t="n"/>
      <c r="F363" s="9" t="n"/>
      <c r="G363" s="16" t="n"/>
      <c r="H363" s="9" t="n"/>
      <c r="I363" s="16" t="n"/>
      <c r="J363" s="9" t="n"/>
      <c r="K363" s="9" t="n"/>
      <c r="L363" s="9" t="n"/>
      <c r="M363" s="9" t="n"/>
      <c r="N363" s="9" t="n"/>
      <c r="O363" s="9" t="n"/>
    </row>
    <row r="364">
      <c r="A364" s="16" t="n">
        <v>46307</v>
      </c>
      <c r="B364" s="9" t="inlineStr">
        <is>
          <t>Monday</t>
        </is>
      </c>
      <c r="C364" s="9" t="inlineStr">
        <is>
          <t>OCT</t>
        </is>
      </c>
      <c r="D364" s="9" t="n">
        <v>41</v>
      </c>
      <c r="E364" s="9" t="n"/>
      <c r="F364" s="9" t="n"/>
      <c r="G364" s="16" t="n"/>
      <c r="H364" s="9" t="n"/>
      <c r="I364" s="16" t="n"/>
      <c r="J364" s="9" t="n"/>
      <c r="K364" s="9" t="n"/>
      <c r="L364" s="9" t="n"/>
      <c r="M364" s="9" t="n"/>
      <c r="N364" s="9" t="n"/>
      <c r="O364" s="9" t="n"/>
    </row>
    <row r="365">
      <c r="A365" s="16" t="n">
        <v>46307</v>
      </c>
      <c r="B365" s="9" t="inlineStr">
        <is>
          <t>Monday</t>
        </is>
      </c>
      <c r="C365" s="9" t="inlineStr">
        <is>
          <t>OCT</t>
        </is>
      </c>
      <c r="D365" s="9" t="n">
        <v>41</v>
      </c>
      <c r="E365" s="9" t="n"/>
      <c r="F365" s="9" t="n"/>
      <c r="G365" s="16" t="n"/>
      <c r="H365" s="9" t="n"/>
      <c r="I365" s="16" t="n"/>
      <c r="J365" s="9" t="n"/>
      <c r="K365" s="9" t="n"/>
      <c r="L365" s="9" t="n"/>
      <c r="M365" s="9" t="n"/>
      <c r="N365" s="9" t="n"/>
      <c r="O365" s="9" t="n"/>
    </row>
    <row r="366">
      <c r="A366" s="16" t="n">
        <v>46307</v>
      </c>
      <c r="B366" s="9" t="inlineStr">
        <is>
          <t>Monday</t>
        </is>
      </c>
      <c r="C366" s="9" t="inlineStr">
        <is>
          <t>OCT</t>
        </is>
      </c>
      <c r="D366" s="9" t="n">
        <v>41</v>
      </c>
      <c r="E366" s="9" t="n"/>
      <c r="F366" s="9" t="n"/>
      <c r="G366" s="16" t="n"/>
      <c r="H366" s="9" t="n"/>
      <c r="I366" s="16" t="n"/>
      <c r="J366" s="9" t="n"/>
      <c r="K366" s="9" t="n"/>
      <c r="L366" s="9" t="n"/>
      <c r="M366" s="9" t="n"/>
      <c r="N366" s="9" t="n"/>
      <c r="O366" s="9" t="n"/>
    </row>
    <row r="367">
      <c r="A367" s="24" t="n">
        <v>46308</v>
      </c>
      <c r="B367" s="25" t="inlineStr">
        <is>
          <t>Tuesday</t>
        </is>
      </c>
      <c r="C367" s="25" t="inlineStr">
        <is>
          <t>OCT</t>
        </is>
      </c>
      <c r="D367" s="25" t="n">
        <v>41</v>
      </c>
      <c r="E367" s="25" t="n"/>
      <c r="F367" s="25" t="n"/>
      <c r="G367" s="24" t="n"/>
      <c r="H367" s="25" t="n"/>
      <c r="I367" s="24" t="n"/>
      <c r="J367" s="25" t="n"/>
      <c r="K367" s="25" t="n"/>
      <c r="L367" s="25" t="n"/>
      <c r="M367" s="25" t="n"/>
      <c r="N367" s="25" t="n"/>
      <c r="O367" s="25" t="n"/>
    </row>
    <row r="368">
      <c r="A368" s="16" t="n">
        <v>46308</v>
      </c>
      <c r="B368" s="9" t="inlineStr">
        <is>
          <t>Tuesday</t>
        </is>
      </c>
      <c r="C368" s="9" t="inlineStr">
        <is>
          <t>OCT</t>
        </is>
      </c>
      <c r="D368" s="9" t="n">
        <v>41</v>
      </c>
      <c r="E368" s="9" t="n"/>
      <c r="F368" s="9" t="n"/>
      <c r="G368" s="16" t="n"/>
      <c r="H368" s="9" t="n"/>
      <c r="I368" s="16" t="n"/>
      <c r="J368" s="9" t="n"/>
      <c r="K368" s="9" t="n"/>
      <c r="L368" s="9" t="n"/>
      <c r="M368" s="9" t="n"/>
      <c r="N368" s="9" t="n"/>
      <c r="O368" s="9" t="n"/>
    </row>
    <row r="369">
      <c r="A369" s="16" t="n">
        <v>46308</v>
      </c>
      <c r="B369" s="9" t="inlineStr">
        <is>
          <t>Tuesday</t>
        </is>
      </c>
      <c r="C369" s="9" t="inlineStr">
        <is>
          <t>OCT</t>
        </is>
      </c>
      <c r="D369" s="9" t="n">
        <v>41</v>
      </c>
      <c r="E369" s="9" t="n"/>
      <c r="F369" s="9" t="n"/>
      <c r="G369" s="16" t="n"/>
      <c r="H369" s="9" t="n"/>
      <c r="I369" s="16" t="n"/>
      <c r="J369" s="9" t="n"/>
      <c r="K369" s="9" t="n"/>
      <c r="L369" s="9" t="n"/>
      <c r="M369" s="9" t="n"/>
      <c r="N369" s="9" t="n"/>
      <c r="O369" s="9" t="n"/>
    </row>
    <row r="370">
      <c r="A370" s="16" t="n">
        <v>46308</v>
      </c>
      <c r="B370" s="9" t="inlineStr">
        <is>
          <t>Tuesday</t>
        </is>
      </c>
      <c r="C370" s="9" t="inlineStr">
        <is>
          <t>OCT</t>
        </is>
      </c>
      <c r="D370" s="9" t="n">
        <v>41</v>
      </c>
      <c r="E370" s="9" t="n"/>
      <c r="F370" s="9" t="n"/>
      <c r="G370" s="16" t="n"/>
      <c r="H370" s="9" t="n"/>
      <c r="I370" s="16" t="n"/>
      <c r="J370" s="9" t="n"/>
      <c r="K370" s="9" t="n"/>
      <c r="L370" s="9" t="n"/>
      <c r="M370" s="9" t="n"/>
      <c r="N370" s="9" t="n"/>
      <c r="O370" s="9" t="n"/>
    </row>
    <row r="371">
      <c r="A371" s="16" t="n">
        <v>46308</v>
      </c>
      <c r="B371" s="9" t="inlineStr">
        <is>
          <t>Tuesday</t>
        </is>
      </c>
      <c r="C371" s="9" t="inlineStr">
        <is>
          <t>OCT</t>
        </is>
      </c>
      <c r="D371" s="9" t="n">
        <v>41</v>
      </c>
      <c r="E371" s="9" t="n"/>
      <c r="F371" s="9" t="n"/>
      <c r="G371" s="16" t="n"/>
      <c r="H371" s="9" t="n"/>
      <c r="I371" s="16" t="n"/>
      <c r="J371" s="9" t="n"/>
      <c r="K371" s="9" t="n"/>
      <c r="L371" s="9" t="n"/>
      <c r="M371" s="9" t="n"/>
      <c r="N371" s="9" t="n"/>
      <c r="O371" s="9" t="n"/>
    </row>
    <row r="372">
      <c r="A372" s="24" t="n">
        <v>46309</v>
      </c>
      <c r="B372" s="25" t="inlineStr">
        <is>
          <t>Wednesday</t>
        </is>
      </c>
      <c r="C372" s="25" t="inlineStr">
        <is>
          <t>OCT</t>
        </is>
      </c>
      <c r="D372" s="25" t="n">
        <v>41</v>
      </c>
      <c r="E372" s="25" t="n"/>
      <c r="F372" s="25" t="n"/>
      <c r="G372" s="24" t="n"/>
      <c r="H372" s="25" t="n"/>
      <c r="I372" s="24" t="n"/>
      <c r="J372" s="25" t="n"/>
      <c r="K372" s="25" t="n"/>
      <c r="L372" s="25" t="n"/>
      <c r="M372" s="25" t="n"/>
      <c r="N372" s="25" t="n"/>
      <c r="O372" s="25" t="n"/>
    </row>
    <row r="373">
      <c r="A373" s="16" t="n">
        <v>46309</v>
      </c>
      <c r="B373" s="9" t="inlineStr">
        <is>
          <t>Wednesday</t>
        </is>
      </c>
      <c r="C373" s="9" t="inlineStr">
        <is>
          <t>OCT</t>
        </is>
      </c>
      <c r="D373" s="9" t="n">
        <v>41</v>
      </c>
      <c r="E373" s="9" t="n"/>
      <c r="F373" s="9" t="n"/>
      <c r="G373" s="16" t="n"/>
      <c r="H373" s="9" t="n"/>
      <c r="I373" s="16" t="n"/>
      <c r="J373" s="9" t="n"/>
      <c r="K373" s="9" t="n"/>
      <c r="L373" s="9" t="n"/>
      <c r="M373" s="9" t="n"/>
      <c r="N373" s="9" t="n"/>
      <c r="O373" s="9" t="n"/>
    </row>
    <row r="374">
      <c r="A374" s="16" t="n">
        <v>46309</v>
      </c>
      <c r="B374" s="9" t="inlineStr">
        <is>
          <t>Wednesday</t>
        </is>
      </c>
      <c r="C374" s="9" t="inlineStr">
        <is>
          <t>OCT</t>
        </is>
      </c>
      <c r="D374" s="9" t="n">
        <v>41</v>
      </c>
      <c r="E374" s="9" t="n"/>
      <c r="F374" s="9" t="n"/>
      <c r="G374" s="16" t="n"/>
      <c r="H374" s="9" t="n"/>
      <c r="I374" s="16" t="n"/>
      <c r="J374" s="9" t="n"/>
      <c r="K374" s="9" t="n"/>
      <c r="L374" s="9" t="n"/>
      <c r="M374" s="9" t="n"/>
      <c r="N374" s="9" t="n"/>
      <c r="O374" s="9" t="n"/>
    </row>
    <row r="375">
      <c r="A375" s="16" t="n">
        <v>46309</v>
      </c>
      <c r="B375" s="9" t="inlineStr">
        <is>
          <t>Wednesday</t>
        </is>
      </c>
      <c r="C375" s="9" t="inlineStr">
        <is>
          <t>OCT</t>
        </is>
      </c>
      <c r="D375" s="9" t="n">
        <v>41</v>
      </c>
      <c r="E375" s="9" t="n"/>
      <c r="F375" s="9" t="n"/>
      <c r="G375" s="16" t="n"/>
      <c r="H375" s="9" t="n"/>
      <c r="I375" s="16" t="n"/>
      <c r="J375" s="9" t="n"/>
      <c r="K375" s="9" t="n"/>
      <c r="L375" s="9" t="n"/>
      <c r="M375" s="9" t="n"/>
      <c r="N375" s="9" t="n"/>
      <c r="O375" s="9" t="n"/>
    </row>
    <row r="376">
      <c r="A376" s="16" t="n">
        <v>46309</v>
      </c>
      <c r="B376" s="9" t="inlineStr">
        <is>
          <t>Wednesday</t>
        </is>
      </c>
      <c r="C376" s="9" t="inlineStr">
        <is>
          <t>OCT</t>
        </is>
      </c>
      <c r="D376" s="9" t="n">
        <v>41</v>
      </c>
      <c r="E376" s="9" t="n"/>
      <c r="F376" s="9" t="n"/>
      <c r="G376" s="16" t="n"/>
      <c r="H376" s="9" t="n"/>
      <c r="I376" s="16" t="n"/>
      <c r="J376" s="9" t="n"/>
      <c r="K376" s="9" t="n"/>
      <c r="L376" s="9" t="n"/>
      <c r="M376" s="9" t="n"/>
      <c r="N376" s="9" t="n"/>
      <c r="O376" s="9" t="n"/>
    </row>
    <row r="377">
      <c r="A377" s="24" t="n">
        <v>46310</v>
      </c>
      <c r="B377" s="25" t="inlineStr">
        <is>
          <t>Thursday</t>
        </is>
      </c>
      <c r="C377" s="25" t="inlineStr">
        <is>
          <t>OCT</t>
        </is>
      </c>
      <c r="D377" s="25" t="n">
        <v>41</v>
      </c>
      <c r="E377" s="25" t="n"/>
      <c r="F377" s="25" t="n"/>
      <c r="G377" s="24" t="n"/>
      <c r="H377" s="25" t="n"/>
      <c r="I377" s="24" t="n"/>
      <c r="J377" s="25" t="n"/>
      <c r="K377" s="25" t="n"/>
      <c r="L377" s="25" t="n"/>
      <c r="M377" s="25" t="n"/>
      <c r="N377" s="25" t="n"/>
      <c r="O377" s="25" t="n"/>
    </row>
    <row r="378">
      <c r="A378" s="16" t="n">
        <v>46310</v>
      </c>
      <c r="B378" s="9" t="inlineStr">
        <is>
          <t>Thursday</t>
        </is>
      </c>
      <c r="C378" s="9" t="inlineStr">
        <is>
          <t>OCT</t>
        </is>
      </c>
      <c r="D378" s="9" t="n">
        <v>41</v>
      </c>
      <c r="E378" s="9" t="n"/>
      <c r="F378" s="9" t="n"/>
      <c r="G378" s="16" t="n"/>
      <c r="H378" s="9" t="n"/>
      <c r="I378" s="16" t="n"/>
      <c r="J378" s="9" t="n"/>
      <c r="K378" s="9" t="n"/>
      <c r="L378" s="9" t="n"/>
      <c r="M378" s="9" t="n"/>
      <c r="N378" s="9" t="n"/>
      <c r="O378" s="9" t="n"/>
    </row>
    <row r="379">
      <c r="A379" s="16" t="n">
        <v>46310</v>
      </c>
      <c r="B379" s="9" t="inlineStr">
        <is>
          <t>Thursday</t>
        </is>
      </c>
      <c r="C379" s="9" t="inlineStr">
        <is>
          <t>OCT</t>
        </is>
      </c>
      <c r="D379" s="9" t="n">
        <v>41</v>
      </c>
      <c r="E379" s="9" t="n"/>
      <c r="F379" s="9" t="n"/>
      <c r="G379" s="16" t="n"/>
      <c r="H379" s="9" t="n"/>
      <c r="I379" s="16" t="n"/>
      <c r="J379" s="9" t="n"/>
      <c r="K379" s="9" t="n"/>
      <c r="L379" s="9" t="n"/>
      <c r="M379" s="9" t="n"/>
      <c r="N379" s="9" t="n"/>
      <c r="O379" s="9" t="n"/>
    </row>
    <row r="380">
      <c r="A380" s="16" t="n">
        <v>46310</v>
      </c>
      <c r="B380" s="9" t="inlineStr">
        <is>
          <t>Thursday</t>
        </is>
      </c>
      <c r="C380" s="9" t="inlineStr">
        <is>
          <t>OCT</t>
        </is>
      </c>
      <c r="D380" s="9" t="n">
        <v>41</v>
      </c>
      <c r="E380" s="9" t="n"/>
      <c r="F380" s="9" t="n"/>
      <c r="G380" s="16" t="n"/>
      <c r="H380" s="9" t="n"/>
      <c r="I380" s="16" t="n"/>
      <c r="J380" s="9" t="n"/>
      <c r="K380" s="9" t="n"/>
      <c r="L380" s="9" t="n"/>
      <c r="M380" s="9" t="n"/>
      <c r="N380" s="9" t="n"/>
      <c r="O380" s="9" t="n"/>
    </row>
    <row r="381">
      <c r="A381" s="16" t="n">
        <v>46310</v>
      </c>
      <c r="B381" s="9" t="inlineStr">
        <is>
          <t>Thursday</t>
        </is>
      </c>
      <c r="C381" s="9" t="inlineStr">
        <is>
          <t>OCT</t>
        </is>
      </c>
      <c r="D381" s="9" t="n">
        <v>41</v>
      </c>
      <c r="E381" s="9" t="n"/>
      <c r="F381" s="9" t="n"/>
      <c r="G381" s="16" t="n"/>
      <c r="H381" s="9" t="n"/>
      <c r="I381" s="16" t="n"/>
      <c r="J381" s="9" t="n"/>
      <c r="K381" s="9" t="n"/>
      <c r="L381" s="9" t="n"/>
      <c r="M381" s="9" t="n"/>
      <c r="N381" s="9" t="n"/>
      <c r="O381" s="9" t="n"/>
    </row>
    <row r="382">
      <c r="A382" s="24" t="n">
        <v>46311</v>
      </c>
      <c r="B382" s="25" t="inlineStr">
        <is>
          <t>Friday</t>
        </is>
      </c>
      <c r="C382" s="25" t="inlineStr">
        <is>
          <t>OCT</t>
        </is>
      </c>
      <c r="D382" s="25" t="n">
        <v>42</v>
      </c>
      <c r="E382" s="25" t="n"/>
      <c r="F382" s="25" t="n"/>
      <c r="G382" s="24" t="n"/>
      <c r="H382" s="25" t="n"/>
      <c r="I382" s="24" t="n"/>
      <c r="J382" s="25" t="n"/>
      <c r="K382" s="25" t="n"/>
      <c r="L382" s="25" t="n"/>
      <c r="M382" s="25" t="n"/>
      <c r="N382" s="25" t="n"/>
      <c r="O382" s="25" t="n"/>
    </row>
    <row r="383">
      <c r="A383" s="16" t="n">
        <v>46311</v>
      </c>
      <c r="B383" s="9" t="inlineStr">
        <is>
          <t>Friday</t>
        </is>
      </c>
      <c r="C383" s="9" t="inlineStr">
        <is>
          <t>OCT</t>
        </is>
      </c>
      <c r="D383" s="9" t="n">
        <v>42</v>
      </c>
      <c r="E383" s="9" t="n"/>
      <c r="F383" s="9" t="n"/>
      <c r="G383" s="16" t="n"/>
      <c r="H383" s="9" t="n"/>
      <c r="I383" s="16" t="n"/>
      <c r="J383" s="9" t="n"/>
      <c r="K383" s="9" t="n"/>
      <c r="L383" s="9" t="n"/>
      <c r="M383" s="9" t="n"/>
      <c r="N383" s="9" t="n"/>
      <c r="O383" s="9" t="n"/>
    </row>
    <row r="384">
      <c r="A384" s="16" t="n">
        <v>46311</v>
      </c>
      <c r="B384" s="9" t="inlineStr">
        <is>
          <t>Friday</t>
        </is>
      </c>
      <c r="C384" s="9" t="inlineStr">
        <is>
          <t>OCT</t>
        </is>
      </c>
      <c r="D384" s="9" t="n">
        <v>42</v>
      </c>
      <c r="E384" s="9" t="n"/>
      <c r="F384" s="9" t="n"/>
      <c r="G384" s="16" t="n"/>
      <c r="H384" s="9" t="n"/>
      <c r="I384" s="16" t="n"/>
      <c r="J384" s="9" t="n"/>
      <c r="K384" s="9" t="n"/>
      <c r="L384" s="9" t="n"/>
      <c r="M384" s="9" t="n"/>
      <c r="N384" s="9" t="n"/>
      <c r="O384" s="9" t="n"/>
    </row>
    <row r="385">
      <c r="A385" s="16" t="n">
        <v>46311</v>
      </c>
      <c r="B385" s="9" t="inlineStr">
        <is>
          <t>Friday</t>
        </is>
      </c>
      <c r="C385" s="9" t="inlineStr">
        <is>
          <t>OCT</t>
        </is>
      </c>
      <c r="D385" s="9" t="n">
        <v>42</v>
      </c>
      <c r="E385" s="9" t="n"/>
      <c r="F385" s="9" t="n"/>
      <c r="G385" s="16" t="n"/>
      <c r="H385" s="9" t="n"/>
      <c r="I385" s="16" t="n"/>
      <c r="J385" s="9" t="n"/>
      <c r="K385" s="9" t="n"/>
      <c r="L385" s="9" t="n"/>
      <c r="M385" s="9" t="n"/>
      <c r="N385" s="9" t="n"/>
      <c r="O385" s="9" t="n"/>
    </row>
    <row r="386">
      <c r="A386" s="16" t="n">
        <v>46311</v>
      </c>
      <c r="B386" s="9" t="inlineStr">
        <is>
          <t>Friday</t>
        </is>
      </c>
      <c r="C386" s="9" t="inlineStr">
        <is>
          <t>OCT</t>
        </is>
      </c>
      <c r="D386" s="9" t="n">
        <v>42</v>
      </c>
      <c r="E386" s="9" t="n"/>
      <c r="F386" s="9" t="n"/>
      <c r="G386" s="16" t="n"/>
      <c r="H386" s="9" t="n"/>
      <c r="I386" s="16" t="n"/>
      <c r="J386" s="9" t="n"/>
      <c r="K386" s="9" t="n"/>
      <c r="L386" s="9" t="n"/>
      <c r="M386" s="9" t="n"/>
      <c r="N386" s="9" t="n"/>
      <c r="O386" s="9" t="n"/>
    </row>
    <row r="387">
      <c r="A387" s="24" t="n">
        <v>46312</v>
      </c>
      <c r="B387" s="25" t="inlineStr">
        <is>
          <t>Saturday</t>
        </is>
      </c>
      <c r="C387" s="25" t="inlineStr">
        <is>
          <t>OCT</t>
        </is>
      </c>
      <c r="D387" s="25" t="n">
        <v>42</v>
      </c>
      <c r="E387" s="25" t="n"/>
      <c r="F387" s="25" t="n"/>
      <c r="G387" s="24" t="n"/>
      <c r="H387" s="25" t="n"/>
      <c r="I387" s="24" t="n"/>
      <c r="J387" s="25" t="n"/>
      <c r="K387" s="25" t="n"/>
      <c r="L387" s="25" t="n"/>
      <c r="M387" s="25" t="n"/>
      <c r="N387" s="25" t="n"/>
      <c r="O387" s="25" t="n"/>
    </row>
    <row r="388">
      <c r="A388" s="16" t="n">
        <v>46312</v>
      </c>
      <c r="B388" s="9" t="inlineStr">
        <is>
          <t>Saturday</t>
        </is>
      </c>
      <c r="C388" s="9" t="inlineStr">
        <is>
          <t>OCT</t>
        </is>
      </c>
      <c r="D388" s="9" t="n">
        <v>42</v>
      </c>
      <c r="E388" s="9" t="n"/>
      <c r="F388" s="9" t="n"/>
      <c r="G388" s="16" t="n"/>
      <c r="H388" s="9" t="n"/>
      <c r="I388" s="16" t="n"/>
      <c r="J388" s="9" t="n"/>
      <c r="K388" s="9" t="n"/>
      <c r="L388" s="9" t="n"/>
      <c r="M388" s="9" t="n"/>
      <c r="N388" s="9" t="n"/>
      <c r="O388" s="9" t="n"/>
    </row>
    <row r="389">
      <c r="A389" s="16" t="n">
        <v>46312</v>
      </c>
      <c r="B389" s="9" t="inlineStr">
        <is>
          <t>Saturday</t>
        </is>
      </c>
      <c r="C389" s="9" t="inlineStr">
        <is>
          <t>OCT</t>
        </is>
      </c>
      <c r="D389" s="9" t="n">
        <v>42</v>
      </c>
      <c r="E389" s="9" t="n"/>
      <c r="F389" s="9" t="n"/>
      <c r="G389" s="16" t="n"/>
      <c r="H389" s="9" t="n"/>
      <c r="I389" s="16" t="n"/>
      <c r="J389" s="9" t="n"/>
      <c r="K389" s="9" t="n"/>
      <c r="L389" s="9" t="n"/>
      <c r="M389" s="9" t="n"/>
      <c r="N389" s="9" t="n"/>
      <c r="O389" s="9" t="n"/>
    </row>
    <row r="390">
      <c r="A390" s="16" t="n">
        <v>46312</v>
      </c>
      <c r="B390" s="9" t="inlineStr">
        <is>
          <t>Saturday</t>
        </is>
      </c>
      <c r="C390" s="9" t="inlineStr">
        <is>
          <t>OCT</t>
        </is>
      </c>
      <c r="D390" s="9" t="n">
        <v>42</v>
      </c>
      <c r="E390" s="9" t="n"/>
      <c r="F390" s="9" t="n"/>
      <c r="G390" s="16" t="n"/>
      <c r="H390" s="9" t="n"/>
      <c r="I390" s="16" t="n"/>
      <c r="J390" s="9" t="n"/>
      <c r="K390" s="9" t="n"/>
      <c r="L390" s="9" t="n"/>
      <c r="M390" s="9" t="n"/>
      <c r="N390" s="9" t="n"/>
      <c r="O390" s="9" t="n"/>
    </row>
    <row r="391">
      <c r="A391" s="16" t="n">
        <v>46312</v>
      </c>
      <c r="B391" s="9" t="inlineStr">
        <is>
          <t>Saturday</t>
        </is>
      </c>
      <c r="C391" s="9" t="inlineStr">
        <is>
          <t>OCT</t>
        </is>
      </c>
      <c r="D391" s="9" t="n">
        <v>42</v>
      </c>
      <c r="E391" s="9" t="n"/>
      <c r="F391" s="9" t="n"/>
      <c r="G391" s="16" t="n"/>
      <c r="H391" s="9" t="n"/>
      <c r="I391" s="16" t="n"/>
      <c r="J391" s="9" t="n"/>
      <c r="K391" s="9" t="n"/>
      <c r="L391" s="9" t="n"/>
      <c r="M391" s="9" t="n"/>
      <c r="N391" s="9" t="n"/>
      <c r="O391" s="9" t="n"/>
    </row>
    <row r="392">
      <c r="A392" s="24" t="n">
        <v>46313</v>
      </c>
      <c r="B392" s="25" t="inlineStr">
        <is>
          <t>Sunday</t>
        </is>
      </c>
      <c r="C392" s="25" t="inlineStr">
        <is>
          <t>OCT</t>
        </is>
      </c>
      <c r="D392" s="25" t="n">
        <v>42</v>
      </c>
      <c r="E392" s="25" t="n"/>
      <c r="F392" s="25" t="n"/>
      <c r="G392" s="24" t="n"/>
      <c r="H392" s="25" t="n"/>
      <c r="I392" s="24" t="n"/>
      <c r="J392" s="25" t="n"/>
      <c r="K392" s="25" t="n"/>
      <c r="L392" s="25" t="n"/>
      <c r="M392" s="25" t="n"/>
      <c r="N392" s="25" t="n"/>
      <c r="O392" s="25" t="n"/>
    </row>
    <row r="393">
      <c r="A393" s="16" t="n">
        <v>46313</v>
      </c>
      <c r="B393" s="9" t="inlineStr">
        <is>
          <t>Sunday</t>
        </is>
      </c>
      <c r="C393" s="9" t="inlineStr">
        <is>
          <t>OCT</t>
        </is>
      </c>
      <c r="D393" s="9" t="n">
        <v>42</v>
      </c>
      <c r="E393" s="9" t="n"/>
      <c r="F393" s="9" t="n"/>
      <c r="G393" s="16" t="n"/>
      <c r="H393" s="9" t="n"/>
      <c r="I393" s="16" t="n"/>
      <c r="J393" s="9" t="n"/>
      <c r="K393" s="9" t="n"/>
      <c r="L393" s="9" t="n"/>
      <c r="M393" s="9" t="n"/>
      <c r="N393" s="9" t="n"/>
      <c r="O393" s="9" t="n"/>
    </row>
    <row r="394">
      <c r="A394" s="16" t="n">
        <v>46313</v>
      </c>
      <c r="B394" s="9" t="inlineStr">
        <is>
          <t>Sunday</t>
        </is>
      </c>
      <c r="C394" s="9" t="inlineStr">
        <is>
          <t>OCT</t>
        </is>
      </c>
      <c r="D394" s="9" t="n">
        <v>42</v>
      </c>
      <c r="E394" s="9" t="n"/>
      <c r="F394" s="9" t="n"/>
      <c r="G394" s="16" t="n"/>
      <c r="H394" s="9" t="n"/>
      <c r="I394" s="16" t="n"/>
      <c r="J394" s="9" t="n"/>
      <c r="K394" s="9" t="n"/>
      <c r="L394" s="9" t="n"/>
      <c r="M394" s="9" t="n"/>
      <c r="N394" s="9" t="n"/>
      <c r="O394" s="9" t="n"/>
    </row>
    <row r="395">
      <c r="A395" s="16" t="n">
        <v>46313</v>
      </c>
      <c r="B395" s="9" t="inlineStr">
        <is>
          <t>Sunday</t>
        </is>
      </c>
      <c r="C395" s="9" t="inlineStr">
        <is>
          <t>OCT</t>
        </is>
      </c>
      <c r="D395" s="9" t="n">
        <v>42</v>
      </c>
      <c r="E395" s="9" t="n"/>
      <c r="F395" s="9" t="n"/>
      <c r="G395" s="16" t="n"/>
      <c r="H395" s="9" t="n"/>
      <c r="I395" s="16" t="n"/>
      <c r="J395" s="9" t="n"/>
      <c r="K395" s="9" t="n"/>
      <c r="L395" s="9" t="n"/>
      <c r="M395" s="9" t="n"/>
      <c r="N395" s="9" t="n"/>
      <c r="O395" s="9" t="n"/>
    </row>
    <row r="396">
      <c r="A396" s="16" t="n">
        <v>46313</v>
      </c>
      <c r="B396" s="9" t="inlineStr">
        <is>
          <t>Sunday</t>
        </is>
      </c>
      <c r="C396" s="9" t="inlineStr">
        <is>
          <t>OCT</t>
        </is>
      </c>
      <c r="D396" s="9" t="n">
        <v>42</v>
      </c>
      <c r="E396" s="9" t="n"/>
      <c r="F396" s="9" t="n"/>
      <c r="G396" s="16" t="n"/>
      <c r="H396" s="9" t="n"/>
      <c r="I396" s="16" t="n"/>
      <c r="J396" s="9" t="n"/>
      <c r="K396" s="9" t="n"/>
      <c r="L396" s="9" t="n"/>
      <c r="M396" s="9" t="n"/>
      <c r="N396" s="9" t="n"/>
      <c r="O396" s="9" t="n"/>
    </row>
    <row r="397">
      <c r="A397" s="24" t="n">
        <v>46314</v>
      </c>
      <c r="B397" s="25" t="inlineStr">
        <is>
          <t>Monday</t>
        </is>
      </c>
      <c r="C397" s="25" t="inlineStr">
        <is>
          <t>OCT</t>
        </is>
      </c>
      <c r="D397" s="25" t="n">
        <v>42</v>
      </c>
      <c r="E397" s="25" t="n"/>
      <c r="F397" s="25" t="n"/>
      <c r="G397" s="24" t="n"/>
      <c r="H397" s="25" t="n"/>
      <c r="I397" s="24" t="n"/>
      <c r="J397" s="25" t="n"/>
      <c r="K397" s="25" t="n"/>
      <c r="L397" s="25" t="n"/>
      <c r="M397" s="25" t="n"/>
      <c r="N397" s="25" t="n"/>
      <c r="O397" s="25" t="n"/>
    </row>
    <row r="398">
      <c r="A398" s="16" t="n">
        <v>46314</v>
      </c>
      <c r="B398" s="9" t="inlineStr">
        <is>
          <t>Monday</t>
        </is>
      </c>
      <c r="C398" s="9" t="inlineStr">
        <is>
          <t>OCT</t>
        </is>
      </c>
      <c r="D398" s="9" t="n">
        <v>42</v>
      </c>
      <c r="E398" s="9" t="n"/>
      <c r="F398" s="9" t="n"/>
      <c r="G398" s="16" t="n"/>
      <c r="H398" s="9" t="n"/>
      <c r="I398" s="16" t="n"/>
      <c r="J398" s="9" t="n"/>
      <c r="K398" s="9" t="n"/>
      <c r="L398" s="9" t="n"/>
      <c r="M398" s="9" t="n"/>
      <c r="N398" s="9" t="n"/>
      <c r="O398" s="9" t="n"/>
    </row>
    <row r="399">
      <c r="A399" s="16" t="n">
        <v>46314</v>
      </c>
      <c r="B399" s="9" t="inlineStr">
        <is>
          <t>Monday</t>
        </is>
      </c>
      <c r="C399" s="9" t="inlineStr">
        <is>
          <t>OCT</t>
        </is>
      </c>
      <c r="D399" s="9" t="n">
        <v>42</v>
      </c>
      <c r="E399" s="9" t="n"/>
      <c r="F399" s="9" t="n"/>
      <c r="G399" s="16" t="n"/>
      <c r="H399" s="9" t="n"/>
      <c r="I399" s="16" t="n"/>
      <c r="J399" s="9" t="n"/>
      <c r="K399" s="9" t="n"/>
      <c r="L399" s="9" t="n"/>
      <c r="M399" s="9" t="n"/>
      <c r="N399" s="9" t="n"/>
      <c r="O399" s="9" t="n"/>
    </row>
    <row r="400">
      <c r="A400" s="16" t="n">
        <v>46314</v>
      </c>
      <c r="B400" s="9" t="inlineStr">
        <is>
          <t>Monday</t>
        </is>
      </c>
      <c r="C400" s="9" t="inlineStr">
        <is>
          <t>OCT</t>
        </is>
      </c>
      <c r="D400" s="9" t="n">
        <v>42</v>
      </c>
      <c r="E400" s="9" t="n"/>
      <c r="F400" s="9" t="n"/>
      <c r="G400" s="16" t="n"/>
      <c r="H400" s="9" t="n"/>
      <c r="I400" s="16" t="n"/>
      <c r="J400" s="9" t="n"/>
      <c r="K400" s="9" t="n"/>
      <c r="L400" s="9" t="n"/>
      <c r="M400" s="9" t="n"/>
      <c r="N400" s="9" t="n"/>
      <c r="O400" s="9" t="n"/>
    </row>
    <row r="401">
      <c r="A401" s="16" t="n">
        <v>46314</v>
      </c>
      <c r="B401" s="9" t="inlineStr">
        <is>
          <t>Monday</t>
        </is>
      </c>
      <c r="C401" s="9" t="inlineStr">
        <is>
          <t>OCT</t>
        </is>
      </c>
      <c r="D401" s="9" t="n">
        <v>42</v>
      </c>
      <c r="E401" s="9" t="n"/>
      <c r="F401" s="9" t="n"/>
      <c r="G401" s="16" t="n"/>
      <c r="H401" s="9" t="n"/>
      <c r="I401" s="16" t="n"/>
      <c r="J401" s="9" t="n"/>
      <c r="K401" s="9" t="n"/>
      <c r="L401" s="9" t="n"/>
      <c r="M401" s="9" t="n"/>
      <c r="N401" s="9" t="n"/>
      <c r="O401" s="9" t="n"/>
    </row>
    <row r="402">
      <c r="A402" s="24" t="n">
        <v>46315</v>
      </c>
      <c r="B402" s="25" t="inlineStr">
        <is>
          <t>Tuesday</t>
        </is>
      </c>
      <c r="C402" s="25" t="inlineStr">
        <is>
          <t>OCT</t>
        </is>
      </c>
      <c r="D402" s="25" t="n">
        <v>42</v>
      </c>
      <c r="E402" s="25" t="n"/>
      <c r="F402" s="25" t="n"/>
      <c r="G402" s="24" t="n"/>
      <c r="H402" s="25" t="n"/>
      <c r="I402" s="24" t="n"/>
      <c r="J402" s="25" t="n"/>
      <c r="K402" s="25" t="n"/>
      <c r="L402" s="25" t="n"/>
      <c r="M402" s="25" t="n"/>
      <c r="N402" s="25" t="n"/>
      <c r="O402" s="25" t="n"/>
    </row>
    <row r="403">
      <c r="A403" s="16" t="n">
        <v>46315</v>
      </c>
      <c r="B403" s="9" t="inlineStr">
        <is>
          <t>Tuesday</t>
        </is>
      </c>
      <c r="C403" s="9" t="inlineStr">
        <is>
          <t>OCT</t>
        </is>
      </c>
      <c r="D403" s="9" t="n">
        <v>42</v>
      </c>
      <c r="E403" s="9" t="n"/>
      <c r="F403" s="9" t="n"/>
      <c r="G403" s="16" t="n"/>
      <c r="H403" s="9" t="n"/>
      <c r="I403" s="16" t="n"/>
      <c r="J403" s="9" t="n"/>
      <c r="K403" s="9" t="n"/>
      <c r="L403" s="9" t="n"/>
      <c r="M403" s="9" t="n"/>
      <c r="N403" s="9" t="n"/>
      <c r="O403" s="9" t="n"/>
    </row>
    <row r="404">
      <c r="A404" s="16" t="n">
        <v>46315</v>
      </c>
      <c r="B404" s="9" t="inlineStr">
        <is>
          <t>Tuesday</t>
        </is>
      </c>
      <c r="C404" s="9" t="inlineStr">
        <is>
          <t>OCT</t>
        </is>
      </c>
      <c r="D404" s="9" t="n">
        <v>42</v>
      </c>
      <c r="E404" s="9" t="n"/>
      <c r="F404" s="9" t="n"/>
      <c r="G404" s="16" t="n"/>
      <c r="H404" s="9" t="n"/>
      <c r="I404" s="16" t="n"/>
      <c r="J404" s="9" t="n"/>
      <c r="K404" s="9" t="n"/>
      <c r="L404" s="9" t="n"/>
      <c r="M404" s="9" t="n"/>
      <c r="N404" s="9" t="n"/>
      <c r="O404" s="9" t="n"/>
    </row>
    <row r="405">
      <c r="A405" s="16" t="n">
        <v>46315</v>
      </c>
      <c r="B405" s="9" t="inlineStr">
        <is>
          <t>Tuesday</t>
        </is>
      </c>
      <c r="C405" s="9" t="inlineStr">
        <is>
          <t>OCT</t>
        </is>
      </c>
      <c r="D405" s="9" t="n">
        <v>42</v>
      </c>
      <c r="E405" s="9" t="n"/>
      <c r="F405" s="9" t="n"/>
      <c r="G405" s="16" t="n"/>
      <c r="H405" s="9" t="n"/>
      <c r="I405" s="16" t="n"/>
      <c r="J405" s="9" t="n"/>
      <c r="K405" s="9" t="n"/>
      <c r="L405" s="9" t="n"/>
      <c r="M405" s="9" t="n"/>
      <c r="N405" s="9" t="n"/>
      <c r="O405" s="9" t="n"/>
    </row>
    <row r="406">
      <c r="A406" s="16" t="n">
        <v>46315</v>
      </c>
      <c r="B406" s="9" t="inlineStr">
        <is>
          <t>Tuesday</t>
        </is>
      </c>
      <c r="C406" s="9" t="inlineStr">
        <is>
          <t>OCT</t>
        </is>
      </c>
      <c r="D406" s="9" t="n">
        <v>42</v>
      </c>
      <c r="E406" s="9" t="n"/>
      <c r="F406" s="9" t="n"/>
      <c r="G406" s="16" t="n"/>
      <c r="H406" s="9" t="n"/>
      <c r="I406" s="16" t="n"/>
      <c r="J406" s="9" t="n"/>
      <c r="K406" s="9" t="n"/>
      <c r="L406" s="9" t="n"/>
      <c r="M406" s="9" t="n"/>
      <c r="N406" s="9" t="n"/>
      <c r="O406" s="9" t="n"/>
    </row>
    <row r="407">
      <c r="A407" s="24" t="n">
        <v>46316</v>
      </c>
      <c r="B407" s="25" t="inlineStr">
        <is>
          <t>Wednesday</t>
        </is>
      </c>
      <c r="C407" s="25" t="inlineStr">
        <is>
          <t>OCT</t>
        </is>
      </c>
      <c r="D407" s="25" t="n">
        <v>42</v>
      </c>
      <c r="E407" s="25" t="n"/>
      <c r="F407" s="25" t="n"/>
      <c r="G407" s="24" t="n"/>
      <c r="H407" s="25" t="n"/>
      <c r="I407" s="24" t="n"/>
      <c r="J407" s="25" t="n"/>
      <c r="K407" s="25" t="n"/>
      <c r="L407" s="25" t="n"/>
      <c r="M407" s="25" t="n"/>
      <c r="N407" s="25" t="n"/>
      <c r="O407" s="25" t="n"/>
    </row>
    <row r="408">
      <c r="A408" s="16" t="n">
        <v>46316</v>
      </c>
      <c r="B408" s="9" t="inlineStr">
        <is>
          <t>Wednesday</t>
        </is>
      </c>
      <c r="C408" s="9" t="inlineStr">
        <is>
          <t>OCT</t>
        </is>
      </c>
      <c r="D408" s="9" t="n">
        <v>42</v>
      </c>
      <c r="E408" s="9" t="n"/>
      <c r="F408" s="9" t="n"/>
      <c r="G408" s="16" t="n"/>
      <c r="H408" s="9" t="n"/>
      <c r="I408" s="16" t="n"/>
      <c r="J408" s="9" t="n"/>
      <c r="K408" s="9" t="n"/>
      <c r="L408" s="9" t="n"/>
      <c r="M408" s="9" t="n"/>
      <c r="N408" s="9" t="n"/>
      <c r="O408" s="9" t="n"/>
    </row>
    <row r="409">
      <c r="A409" s="16" t="n">
        <v>46316</v>
      </c>
      <c r="B409" s="9" t="inlineStr">
        <is>
          <t>Wednesday</t>
        </is>
      </c>
      <c r="C409" s="9" t="inlineStr">
        <is>
          <t>OCT</t>
        </is>
      </c>
      <c r="D409" s="9" t="n">
        <v>42</v>
      </c>
      <c r="E409" s="9" t="n"/>
      <c r="F409" s="9" t="n"/>
      <c r="G409" s="16" t="n"/>
      <c r="H409" s="9" t="n"/>
      <c r="I409" s="16" t="n"/>
      <c r="J409" s="9" t="n"/>
      <c r="K409" s="9" t="n"/>
      <c r="L409" s="9" t="n"/>
      <c r="M409" s="9" t="n"/>
      <c r="N409" s="9" t="n"/>
      <c r="O409" s="9" t="n"/>
    </row>
    <row r="410">
      <c r="A410" s="16" t="n">
        <v>46316</v>
      </c>
      <c r="B410" s="9" t="inlineStr">
        <is>
          <t>Wednesday</t>
        </is>
      </c>
      <c r="C410" s="9" t="inlineStr">
        <is>
          <t>OCT</t>
        </is>
      </c>
      <c r="D410" s="9" t="n">
        <v>42</v>
      </c>
      <c r="E410" s="9" t="n"/>
      <c r="F410" s="9" t="n"/>
      <c r="G410" s="16" t="n"/>
      <c r="H410" s="9" t="n"/>
      <c r="I410" s="16" t="n"/>
      <c r="J410" s="9" t="n"/>
      <c r="K410" s="9" t="n"/>
      <c r="L410" s="9" t="n"/>
      <c r="M410" s="9" t="n"/>
      <c r="N410" s="9" t="n"/>
      <c r="O410" s="9" t="n"/>
    </row>
    <row r="411">
      <c r="A411" s="16" t="n">
        <v>46316</v>
      </c>
      <c r="B411" s="9" t="inlineStr">
        <is>
          <t>Wednesday</t>
        </is>
      </c>
      <c r="C411" s="9" t="inlineStr">
        <is>
          <t>OCT</t>
        </is>
      </c>
      <c r="D411" s="9" t="n">
        <v>42</v>
      </c>
      <c r="E411" s="9" t="n"/>
      <c r="F411" s="9" t="n"/>
      <c r="G411" s="16" t="n"/>
      <c r="H411" s="9" t="n"/>
      <c r="I411" s="16" t="n"/>
      <c r="J411" s="9" t="n"/>
      <c r="K411" s="9" t="n"/>
      <c r="L411" s="9" t="n"/>
      <c r="M411" s="9" t="n"/>
      <c r="N411" s="9" t="n"/>
      <c r="O411" s="9" t="n"/>
    </row>
    <row r="412">
      <c r="A412" s="24" t="n">
        <v>46317</v>
      </c>
      <c r="B412" s="25" t="inlineStr">
        <is>
          <t>Thursday</t>
        </is>
      </c>
      <c r="C412" s="25" t="inlineStr">
        <is>
          <t>OCT</t>
        </is>
      </c>
      <c r="D412" s="25" t="n">
        <v>42</v>
      </c>
      <c r="E412" s="25" t="n"/>
      <c r="F412" s="25" t="n"/>
      <c r="G412" s="24" t="n"/>
      <c r="H412" s="25" t="n"/>
      <c r="I412" s="24" t="n"/>
      <c r="J412" s="25" t="n"/>
      <c r="K412" s="25" t="n"/>
      <c r="L412" s="25" t="n"/>
      <c r="M412" s="25" t="n"/>
      <c r="N412" s="25" t="n"/>
      <c r="O412" s="25" t="n"/>
    </row>
    <row r="413">
      <c r="A413" s="16" t="n">
        <v>46317</v>
      </c>
      <c r="B413" s="9" t="inlineStr">
        <is>
          <t>Thursday</t>
        </is>
      </c>
      <c r="C413" s="9" t="inlineStr">
        <is>
          <t>OCT</t>
        </is>
      </c>
      <c r="D413" s="9" t="n">
        <v>42</v>
      </c>
      <c r="E413" s="9" t="n"/>
      <c r="F413" s="9" t="n"/>
      <c r="G413" s="16" t="n"/>
      <c r="H413" s="9" t="n"/>
      <c r="I413" s="16" t="n"/>
      <c r="J413" s="9" t="n"/>
      <c r="K413" s="9" t="n"/>
      <c r="L413" s="9" t="n"/>
      <c r="M413" s="9" t="n"/>
      <c r="N413" s="9" t="n"/>
      <c r="O413" s="9" t="n"/>
    </row>
    <row r="414">
      <c r="A414" s="16" t="n">
        <v>46317</v>
      </c>
      <c r="B414" s="9" t="inlineStr">
        <is>
          <t>Thursday</t>
        </is>
      </c>
      <c r="C414" s="9" t="inlineStr">
        <is>
          <t>OCT</t>
        </is>
      </c>
      <c r="D414" s="9" t="n">
        <v>42</v>
      </c>
      <c r="E414" s="9" t="n"/>
      <c r="F414" s="9" t="n"/>
      <c r="G414" s="16" t="n"/>
      <c r="H414" s="9" t="n"/>
      <c r="I414" s="16" t="n"/>
      <c r="J414" s="9" t="n"/>
      <c r="K414" s="9" t="n"/>
      <c r="L414" s="9" t="n"/>
      <c r="M414" s="9" t="n"/>
      <c r="N414" s="9" t="n"/>
      <c r="O414" s="9" t="n"/>
    </row>
    <row r="415">
      <c r="A415" s="16" t="n">
        <v>46317</v>
      </c>
      <c r="B415" s="9" t="inlineStr">
        <is>
          <t>Thursday</t>
        </is>
      </c>
      <c r="C415" s="9" t="inlineStr">
        <is>
          <t>OCT</t>
        </is>
      </c>
      <c r="D415" s="9" t="n">
        <v>42</v>
      </c>
      <c r="E415" s="9" t="n"/>
      <c r="F415" s="9" t="n"/>
      <c r="G415" s="16" t="n"/>
      <c r="H415" s="9" t="n"/>
      <c r="I415" s="16" t="n"/>
      <c r="J415" s="9" t="n"/>
      <c r="K415" s="9" t="n"/>
      <c r="L415" s="9" t="n"/>
      <c r="M415" s="9" t="n"/>
      <c r="N415" s="9" t="n"/>
      <c r="O415" s="9" t="n"/>
    </row>
    <row r="416">
      <c r="A416" s="16" t="n">
        <v>46317</v>
      </c>
      <c r="B416" s="9" t="inlineStr">
        <is>
          <t>Thursday</t>
        </is>
      </c>
      <c r="C416" s="9" t="inlineStr">
        <is>
          <t>OCT</t>
        </is>
      </c>
      <c r="D416" s="9" t="n">
        <v>42</v>
      </c>
      <c r="E416" s="9" t="n"/>
      <c r="F416" s="9" t="n"/>
      <c r="G416" s="16" t="n"/>
      <c r="H416" s="9" t="n"/>
      <c r="I416" s="16" t="n"/>
      <c r="J416" s="9" t="n"/>
      <c r="K416" s="9" t="n"/>
      <c r="L416" s="9" t="n"/>
      <c r="M416" s="9" t="n"/>
      <c r="N416" s="9" t="n"/>
      <c r="O416" s="9" t="n"/>
    </row>
    <row r="417">
      <c r="A417" s="24" t="n">
        <v>46318</v>
      </c>
      <c r="B417" s="25" t="inlineStr">
        <is>
          <t>Friday</t>
        </is>
      </c>
      <c r="C417" s="25" t="inlineStr">
        <is>
          <t>OCT</t>
        </is>
      </c>
      <c r="D417" s="25" t="n">
        <v>43</v>
      </c>
      <c r="E417" s="25" t="n"/>
      <c r="F417" s="25" t="n"/>
      <c r="G417" s="24" t="n"/>
      <c r="H417" s="25" t="n"/>
      <c r="I417" s="24" t="n"/>
      <c r="J417" s="25" t="n"/>
      <c r="K417" s="25" t="n"/>
      <c r="L417" s="25" t="n"/>
      <c r="M417" s="25" t="n"/>
      <c r="N417" s="25" t="n"/>
      <c r="O417" s="25" t="n"/>
    </row>
    <row r="418">
      <c r="A418" s="16" t="n">
        <v>46318</v>
      </c>
      <c r="B418" s="9" t="inlineStr">
        <is>
          <t>Friday</t>
        </is>
      </c>
      <c r="C418" s="9" t="inlineStr">
        <is>
          <t>OCT</t>
        </is>
      </c>
      <c r="D418" s="9" t="n">
        <v>43</v>
      </c>
      <c r="E418" s="9" t="n"/>
      <c r="F418" s="9" t="n"/>
      <c r="G418" s="16" t="n"/>
      <c r="H418" s="9" t="n"/>
      <c r="I418" s="16" t="n"/>
      <c r="J418" s="9" t="n"/>
      <c r="K418" s="9" t="n"/>
      <c r="L418" s="9" t="n"/>
      <c r="M418" s="9" t="n"/>
      <c r="N418" s="9" t="n"/>
      <c r="O418" s="9" t="n"/>
    </row>
    <row r="419">
      <c r="A419" s="16" t="n">
        <v>46318</v>
      </c>
      <c r="B419" s="9" t="inlineStr">
        <is>
          <t>Friday</t>
        </is>
      </c>
      <c r="C419" s="9" t="inlineStr">
        <is>
          <t>OCT</t>
        </is>
      </c>
      <c r="D419" s="9" t="n">
        <v>43</v>
      </c>
      <c r="E419" s="9" t="n"/>
      <c r="F419" s="9" t="n"/>
      <c r="G419" s="16" t="n"/>
      <c r="H419" s="9" t="n"/>
      <c r="I419" s="16" t="n"/>
      <c r="J419" s="9" t="n"/>
      <c r="K419" s="9" t="n"/>
      <c r="L419" s="9" t="n"/>
      <c r="M419" s="9" t="n"/>
      <c r="N419" s="9" t="n"/>
      <c r="O419" s="9" t="n"/>
    </row>
    <row r="420">
      <c r="A420" s="16" t="n">
        <v>46318</v>
      </c>
      <c r="B420" s="9" t="inlineStr">
        <is>
          <t>Friday</t>
        </is>
      </c>
      <c r="C420" s="9" t="inlineStr">
        <is>
          <t>OCT</t>
        </is>
      </c>
      <c r="D420" s="9" t="n">
        <v>43</v>
      </c>
      <c r="E420" s="9" t="n"/>
      <c r="F420" s="9" t="n"/>
      <c r="G420" s="16" t="n"/>
      <c r="H420" s="9" t="n"/>
      <c r="I420" s="16" t="n"/>
      <c r="J420" s="9" t="n"/>
      <c r="K420" s="9" t="n"/>
      <c r="L420" s="9" t="n"/>
      <c r="M420" s="9" t="n"/>
      <c r="N420" s="9" t="n"/>
      <c r="O420" s="9" t="n"/>
    </row>
    <row r="421">
      <c r="A421" s="16" t="n">
        <v>46318</v>
      </c>
      <c r="B421" s="9" t="inlineStr">
        <is>
          <t>Friday</t>
        </is>
      </c>
      <c r="C421" s="9" t="inlineStr">
        <is>
          <t>OCT</t>
        </is>
      </c>
      <c r="D421" s="9" t="n">
        <v>43</v>
      </c>
      <c r="E421" s="9" t="n"/>
      <c r="F421" s="9" t="n"/>
      <c r="G421" s="16" t="n"/>
      <c r="H421" s="9" t="n"/>
      <c r="I421" s="16" t="n"/>
      <c r="J421" s="9" t="n"/>
      <c r="K421" s="9" t="n"/>
      <c r="L421" s="9" t="n"/>
      <c r="M421" s="9" t="n"/>
      <c r="N421" s="9" t="n"/>
      <c r="O421" s="9" t="n"/>
    </row>
    <row r="422">
      <c r="A422" s="24" t="n">
        <v>46319</v>
      </c>
      <c r="B422" s="25" t="inlineStr">
        <is>
          <t>Saturday</t>
        </is>
      </c>
      <c r="C422" s="25" t="inlineStr">
        <is>
          <t>OCT</t>
        </is>
      </c>
      <c r="D422" s="25" t="n">
        <v>43</v>
      </c>
      <c r="E422" s="25" t="n"/>
      <c r="F422" s="25" t="n"/>
      <c r="G422" s="24" t="n"/>
      <c r="H422" s="25" t="n"/>
      <c r="I422" s="24" t="n"/>
      <c r="J422" s="25" t="n"/>
      <c r="K422" s="25" t="n"/>
      <c r="L422" s="25" t="n"/>
      <c r="M422" s="25" t="n"/>
      <c r="N422" s="25" t="n"/>
      <c r="O422" s="25" t="n"/>
    </row>
    <row r="423">
      <c r="A423" s="16" t="n">
        <v>46319</v>
      </c>
      <c r="B423" s="9" t="inlineStr">
        <is>
          <t>Saturday</t>
        </is>
      </c>
      <c r="C423" s="9" t="inlineStr">
        <is>
          <t>OCT</t>
        </is>
      </c>
      <c r="D423" s="9" t="n">
        <v>43</v>
      </c>
      <c r="E423" s="9" t="n"/>
      <c r="F423" s="9" t="n"/>
      <c r="G423" s="16" t="n"/>
      <c r="H423" s="9" t="n"/>
      <c r="I423" s="16" t="n"/>
      <c r="J423" s="9" t="n"/>
      <c r="K423" s="9" t="n"/>
      <c r="L423" s="9" t="n"/>
      <c r="M423" s="9" t="n"/>
      <c r="N423" s="9" t="n"/>
      <c r="O423" s="9" t="n"/>
    </row>
    <row r="424">
      <c r="A424" s="16" t="n">
        <v>46319</v>
      </c>
      <c r="B424" s="9" t="inlineStr">
        <is>
          <t>Saturday</t>
        </is>
      </c>
      <c r="C424" s="9" t="inlineStr">
        <is>
          <t>OCT</t>
        </is>
      </c>
      <c r="D424" s="9" t="n">
        <v>43</v>
      </c>
      <c r="E424" s="9" t="n"/>
      <c r="F424" s="9" t="n"/>
      <c r="G424" s="16" t="n"/>
      <c r="H424" s="9" t="n"/>
      <c r="I424" s="16" t="n"/>
      <c r="J424" s="9" t="n"/>
      <c r="K424" s="9" t="n"/>
      <c r="L424" s="9" t="n"/>
      <c r="M424" s="9" t="n"/>
      <c r="N424" s="9" t="n"/>
      <c r="O424" s="9" t="n"/>
    </row>
    <row r="425">
      <c r="A425" s="16" t="n">
        <v>46319</v>
      </c>
      <c r="B425" s="9" t="inlineStr">
        <is>
          <t>Saturday</t>
        </is>
      </c>
      <c r="C425" s="9" t="inlineStr">
        <is>
          <t>OCT</t>
        </is>
      </c>
      <c r="D425" s="9" t="n">
        <v>43</v>
      </c>
      <c r="E425" s="9" t="n"/>
      <c r="F425" s="9" t="n"/>
      <c r="G425" s="16" t="n"/>
      <c r="H425" s="9" t="n"/>
      <c r="I425" s="16" t="n"/>
      <c r="J425" s="9" t="n"/>
      <c r="K425" s="9" t="n"/>
      <c r="L425" s="9" t="n"/>
      <c r="M425" s="9" t="n"/>
      <c r="N425" s="9" t="n"/>
      <c r="O425" s="9" t="n"/>
    </row>
    <row r="426">
      <c r="A426" s="16" t="n">
        <v>46319</v>
      </c>
      <c r="B426" s="9" t="inlineStr">
        <is>
          <t>Saturday</t>
        </is>
      </c>
      <c r="C426" s="9" t="inlineStr">
        <is>
          <t>OCT</t>
        </is>
      </c>
      <c r="D426" s="9" t="n">
        <v>43</v>
      </c>
      <c r="E426" s="9" t="n"/>
      <c r="F426" s="9" t="n"/>
      <c r="G426" s="16" t="n"/>
      <c r="H426" s="9" t="n"/>
      <c r="I426" s="16" t="n"/>
      <c r="J426" s="9" t="n"/>
      <c r="K426" s="9" t="n"/>
      <c r="L426" s="9" t="n"/>
      <c r="M426" s="9" t="n"/>
      <c r="N426" s="9" t="n"/>
      <c r="O426" s="9" t="n"/>
    </row>
    <row r="427">
      <c r="A427" s="24" t="n">
        <v>46320</v>
      </c>
      <c r="B427" s="25" t="inlineStr">
        <is>
          <t>Sunday</t>
        </is>
      </c>
      <c r="C427" s="25" t="inlineStr">
        <is>
          <t>OCT</t>
        </is>
      </c>
      <c r="D427" s="25" t="n">
        <v>43</v>
      </c>
      <c r="E427" s="25" t="n"/>
      <c r="F427" s="25" t="n"/>
      <c r="G427" s="24" t="n"/>
      <c r="H427" s="25" t="n"/>
      <c r="I427" s="24" t="n"/>
      <c r="J427" s="25" t="n"/>
      <c r="K427" s="25" t="n"/>
      <c r="L427" s="25" t="n"/>
      <c r="M427" s="25" t="n"/>
      <c r="N427" s="25" t="n"/>
      <c r="O427" s="25" t="n"/>
    </row>
    <row r="428">
      <c r="A428" s="16" t="n">
        <v>46320</v>
      </c>
      <c r="B428" s="9" t="inlineStr">
        <is>
          <t>Sunday</t>
        </is>
      </c>
      <c r="C428" s="9" t="inlineStr">
        <is>
          <t>OCT</t>
        </is>
      </c>
      <c r="D428" s="9" t="n">
        <v>43</v>
      </c>
      <c r="E428" s="9" t="n"/>
      <c r="F428" s="9" t="n"/>
      <c r="G428" s="16" t="n"/>
      <c r="H428" s="9" t="n"/>
      <c r="I428" s="16" t="n"/>
      <c r="J428" s="9" t="n"/>
      <c r="K428" s="9" t="n"/>
      <c r="L428" s="9" t="n"/>
      <c r="M428" s="9" t="n"/>
      <c r="N428" s="9" t="n"/>
      <c r="O428" s="9" t="n"/>
    </row>
    <row r="429">
      <c r="A429" s="16" t="n">
        <v>46320</v>
      </c>
      <c r="B429" s="9" t="inlineStr">
        <is>
          <t>Sunday</t>
        </is>
      </c>
      <c r="C429" s="9" t="inlineStr">
        <is>
          <t>OCT</t>
        </is>
      </c>
      <c r="D429" s="9" t="n">
        <v>43</v>
      </c>
      <c r="E429" s="9" t="n"/>
      <c r="F429" s="9" t="n"/>
      <c r="G429" s="16" t="n"/>
      <c r="H429" s="9" t="n"/>
      <c r="I429" s="16" t="n"/>
      <c r="J429" s="9" t="n"/>
      <c r="K429" s="9" t="n"/>
      <c r="L429" s="9" t="n"/>
      <c r="M429" s="9" t="n"/>
      <c r="N429" s="9" t="n"/>
      <c r="O429" s="9" t="n"/>
    </row>
    <row r="430">
      <c r="A430" s="16" t="n">
        <v>46320</v>
      </c>
      <c r="B430" s="9" t="inlineStr">
        <is>
          <t>Sunday</t>
        </is>
      </c>
      <c r="C430" s="9" t="inlineStr">
        <is>
          <t>OCT</t>
        </is>
      </c>
      <c r="D430" s="9" t="n">
        <v>43</v>
      </c>
      <c r="E430" s="9" t="n"/>
      <c r="F430" s="9" t="n"/>
      <c r="G430" s="16" t="n"/>
      <c r="H430" s="9" t="n"/>
      <c r="I430" s="16" t="n"/>
      <c r="J430" s="9" t="n"/>
      <c r="K430" s="9" t="n"/>
      <c r="L430" s="9" t="n"/>
      <c r="M430" s="9" t="n"/>
      <c r="N430" s="9" t="n"/>
      <c r="O430" s="9" t="n"/>
    </row>
    <row r="431">
      <c r="A431" s="16" t="n">
        <v>46320</v>
      </c>
      <c r="B431" s="9" t="inlineStr">
        <is>
          <t>Sunday</t>
        </is>
      </c>
      <c r="C431" s="9" t="inlineStr">
        <is>
          <t>OCT</t>
        </is>
      </c>
      <c r="D431" s="9" t="n">
        <v>43</v>
      </c>
      <c r="E431" s="9" t="n"/>
      <c r="F431" s="9" t="n"/>
      <c r="G431" s="16" t="n"/>
      <c r="H431" s="9" t="n"/>
      <c r="I431" s="16" t="n"/>
      <c r="J431" s="9" t="n"/>
      <c r="K431" s="9" t="n"/>
      <c r="L431" s="9" t="n"/>
      <c r="M431" s="9" t="n"/>
      <c r="N431" s="9" t="n"/>
      <c r="O431" s="9" t="n"/>
    </row>
    <row r="432">
      <c r="A432" s="24" t="n">
        <v>46321</v>
      </c>
      <c r="B432" s="25" t="inlineStr">
        <is>
          <t>Monday</t>
        </is>
      </c>
      <c r="C432" s="25" t="inlineStr">
        <is>
          <t>OCT</t>
        </is>
      </c>
      <c r="D432" s="25" t="n">
        <v>43</v>
      </c>
      <c r="E432" s="25" t="n"/>
      <c r="F432" s="25" t="n"/>
      <c r="G432" s="24" t="n"/>
      <c r="H432" s="25" t="n"/>
      <c r="I432" s="24" t="n"/>
      <c r="J432" s="25" t="n"/>
      <c r="K432" s="25" t="n"/>
      <c r="L432" s="25" t="n"/>
      <c r="M432" s="25" t="n"/>
      <c r="N432" s="25" t="n"/>
      <c r="O432" s="25" t="n"/>
    </row>
    <row r="433">
      <c r="A433" s="16" t="n">
        <v>46321</v>
      </c>
      <c r="B433" s="9" t="inlineStr">
        <is>
          <t>Monday</t>
        </is>
      </c>
      <c r="C433" s="9" t="inlineStr">
        <is>
          <t>OCT</t>
        </is>
      </c>
      <c r="D433" s="9" t="n">
        <v>43</v>
      </c>
      <c r="E433" s="9" t="n"/>
      <c r="F433" s="9" t="n"/>
      <c r="G433" s="16" t="n"/>
      <c r="H433" s="9" t="n"/>
      <c r="I433" s="16" t="n"/>
      <c r="J433" s="9" t="n"/>
      <c r="K433" s="9" t="n"/>
      <c r="L433" s="9" t="n"/>
      <c r="M433" s="9" t="n"/>
      <c r="N433" s="9" t="n"/>
      <c r="O433" s="9" t="n"/>
    </row>
    <row r="434">
      <c r="A434" s="16" t="n">
        <v>46321</v>
      </c>
      <c r="B434" s="9" t="inlineStr">
        <is>
          <t>Monday</t>
        </is>
      </c>
      <c r="C434" s="9" t="inlineStr">
        <is>
          <t>OCT</t>
        </is>
      </c>
      <c r="D434" s="9" t="n">
        <v>43</v>
      </c>
      <c r="E434" s="9" t="n"/>
      <c r="F434" s="9" t="n"/>
      <c r="G434" s="16" t="n"/>
      <c r="H434" s="9" t="n"/>
      <c r="I434" s="16" t="n"/>
      <c r="J434" s="9" t="n"/>
      <c r="K434" s="9" t="n"/>
      <c r="L434" s="9" t="n"/>
      <c r="M434" s="9" t="n"/>
      <c r="N434" s="9" t="n"/>
      <c r="O434" s="9" t="n"/>
    </row>
    <row r="435">
      <c r="A435" s="16" t="n">
        <v>46321</v>
      </c>
      <c r="B435" s="9" t="inlineStr">
        <is>
          <t>Monday</t>
        </is>
      </c>
      <c r="C435" s="9" t="inlineStr">
        <is>
          <t>OCT</t>
        </is>
      </c>
      <c r="D435" s="9" t="n">
        <v>43</v>
      </c>
      <c r="E435" s="9" t="n"/>
      <c r="F435" s="9" t="n"/>
      <c r="G435" s="16" t="n"/>
      <c r="H435" s="9" t="n"/>
      <c r="I435" s="16" t="n"/>
      <c r="J435" s="9" t="n"/>
      <c r="K435" s="9" t="n"/>
      <c r="L435" s="9" t="n"/>
      <c r="M435" s="9" t="n"/>
      <c r="N435" s="9" t="n"/>
      <c r="O435" s="9" t="n"/>
    </row>
    <row r="436">
      <c r="A436" s="16" t="n">
        <v>46321</v>
      </c>
      <c r="B436" s="9" t="inlineStr">
        <is>
          <t>Monday</t>
        </is>
      </c>
      <c r="C436" s="9" t="inlineStr">
        <is>
          <t>OCT</t>
        </is>
      </c>
      <c r="D436" s="9" t="n">
        <v>43</v>
      </c>
      <c r="E436" s="9" t="n"/>
      <c r="F436" s="9" t="n"/>
      <c r="G436" s="16" t="n"/>
      <c r="H436" s="9" t="n"/>
      <c r="I436" s="16" t="n"/>
      <c r="J436" s="9" t="n"/>
      <c r="K436" s="9" t="n"/>
      <c r="L436" s="9" t="n"/>
      <c r="M436" s="9" t="n"/>
      <c r="N436" s="9" t="n"/>
      <c r="O436" s="9" t="n"/>
    </row>
    <row r="437">
      <c r="A437" s="24" t="n">
        <v>46322</v>
      </c>
      <c r="B437" s="25" t="inlineStr">
        <is>
          <t>Tuesday</t>
        </is>
      </c>
      <c r="C437" s="25" t="inlineStr">
        <is>
          <t>OCT</t>
        </is>
      </c>
      <c r="D437" s="25" t="n">
        <v>43</v>
      </c>
      <c r="E437" s="25" t="n"/>
      <c r="F437" s="25" t="n"/>
      <c r="G437" s="24" t="n"/>
      <c r="H437" s="25" t="n"/>
      <c r="I437" s="24" t="n"/>
      <c r="J437" s="25" t="n"/>
      <c r="K437" s="25" t="n"/>
      <c r="L437" s="25" t="n"/>
      <c r="M437" s="25" t="n"/>
      <c r="N437" s="25" t="n"/>
      <c r="O437" s="25" t="n"/>
    </row>
    <row r="438">
      <c r="A438" s="16" t="n">
        <v>46322</v>
      </c>
      <c r="B438" s="9" t="inlineStr">
        <is>
          <t>Tuesday</t>
        </is>
      </c>
      <c r="C438" s="9" t="inlineStr">
        <is>
          <t>OCT</t>
        </is>
      </c>
      <c r="D438" s="9" t="n">
        <v>43</v>
      </c>
      <c r="E438" s="9" t="n"/>
      <c r="F438" s="9" t="n"/>
      <c r="G438" s="16" t="n"/>
      <c r="H438" s="9" t="n"/>
      <c r="I438" s="16" t="n"/>
      <c r="J438" s="9" t="n"/>
      <c r="K438" s="9" t="n"/>
      <c r="L438" s="9" t="n"/>
      <c r="M438" s="9" t="n"/>
      <c r="N438" s="9" t="n"/>
      <c r="O438" s="9" t="n"/>
    </row>
    <row r="439">
      <c r="A439" s="16" t="n">
        <v>46322</v>
      </c>
      <c r="B439" s="9" t="inlineStr">
        <is>
          <t>Tuesday</t>
        </is>
      </c>
      <c r="C439" s="9" t="inlineStr">
        <is>
          <t>OCT</t>
        </is>
      </c>
      <c r="D439" s="9" t="n">
        <v>43</v>
      </c>
      <c r="E439" s="9" t="n"/>
      <c r="F439" s="9" t="n"/>
      <c r="G439" s="16" t="n"/>
      <c r="H439" s="9" t="n"/>
      <c r="I439" s="16" t="n"/>
      <c r="J439" s="9" t="n"/>
      <c r="K439" s="9" t="n"/>
      <c r="L439" s="9" t="n"/>
      <c r="M439" s="9" t="n"/>
      <c r="N439" s="9" t="n"/>
      <c r="O439" s="9" t="n"/>
    </row>
    <row r="440">
      <c r="A440" s="16" t="n">
        <v>46322</v>
      </c>
      <c r="B440" s="9" t="inlineStr">
        <is>
          <t>Tuesday</t>
        </is>
      </c>
      <c r="C440" s="9" t="inlineStr">
        <is>
          <t>OCT</t>
        </is>
      </c>
      <c r="D440" s="9" t="n">
        <v>43</v>
      </c>
      <c r="E440" s="9" t="n"/>
      <c r="F440" s="9" t="n"/>
      <c r="G440" s="16" t="n"/>
      <c r="H440" s="9" t="n"/>
      <c r="I440" s="16" t="n"/>
      <c r="J440" s="9" t="n"/>
      <c r="K440" s="9" t="n"/>
      <c r="L440" s="9" t="n"/>
      <c r="M440" s="9" t="n"/>
      <c r="N440" s="9" t="n"/>
      <c r="O440" s="9" t="n"/>
    </row>
    <row r="441">
      <c r="A441" s="16" t="n">
        <v>46322</v>
      </c>
      <c r="B441" s="9" t="inlineStr">
        <is>
          <t>Tuesday</t>
        </is>
      </c>
      <c r="C441" s="9" t="inlineStr">
        <is>
          <t>OCT</t>
        </is>
      </c>
      <c r="D441" s="9" t="n">
        <v>43</v>
      </c>
      <c r="E441" s="9" t="n"/>
      <c r="F441" s="9" t="n"/>
      <c r="G441" s="16" t="n"/>
      <c r="H441" s="9" t="n"/>
      <c r="I441" s="16" t="n"/>
      <c r="J441" s="9" t="n"/>
      <c r="K441" s="9" t="n"/>
      <c r="L441" s="9" t="n"/>
      <c r="M441" s="9" t="n"/>
      <c r="N441" s="9" t="n"/>
      <c r="O441" s="9" t="n"/>
    </row>
    <row r="442">
      <c r="A442" s="24" t="n">
        <v>46323</v>
      </c>
      <c r="B442" s="25" t="inlineStr">
        <is>
          <t>Wednesday</t>
        </is>
      </c>
      <c r="C442" s="25" t="inlineStr">
        <is>
          <t>OCT</t>
        </is>
      </c>
      <c r="D442" s="25" t="n">
        <v>43</v>
      </c>
      <c r="E442" s="25" t="n"/>
      <c r="F442" s="25" t="n"/>
      <c r="G442" s="24" t="n"/>
      <c r="H442" s="25" t="n"/>
      <c r="I442" s="24" t="n"/>
      <c r="J442" s="25" t="n"/>
      <c r="K442" s="25" t="n"/>
      <c r="L442" s="25" t="n"/>
      <c r="M442" s="25" t="n"/>
      <c r="N442" s="25" t="n"/>
      <c r="O442" s="25" t="n"/>
    </row>
    <row r="443">
      <c r="A443" s="16" t="n">
        <v>46323</v>
      </c>
      <c r="B443" s="9" t="inlineStr">
        <is>
          <t>Wednesday</t>
        </is>
      </c>
      <c r="C443" s="9" t="inlineStr">
        <is>
          <t>OCT</t>
        </is>
      </c>
      <c r="D443" s="9" t="n">
        <v>43</v>
      </c>
      <c r="E443" s="9" t="n"/>
      <c r="F443" s="9" t="n"/>
      <c r="G443" s="16" t="n"/>
      <c r="H443" s="9" t="n"/>
      <c r="I443" s="16" t="n"/>
      <c r="J443" s="9" t="n"/>
      <c r="K443" s="9" t="n"/>
      <c r="L443" s="9" t="n"/>
      <c r="M443" s="9" t="n"/>
      <c r="N443" s="9" t="n"/>
      <c r="O443" s="9" t="n"/>
    </row>
    <row r="444">
      <c r="A444" s="16" t="n">
        <v>46323</v>
      </c>
      <c r="B444" s="9" t="inlineStr">
        <is>
          <t>Wednesday</t>
        </is>
      </c>
      <c r="C444" s="9" t="inlineStr">
        <is>
          <t>OCT</t>
        </is>
      </c>
      <c r="D444" s="9" t="n">
        <v>43</v>
      </c>
      <c r="E444" s="9" t="n"/>
      <c r="F444" s="9" t="n"/>
      <c r="G444" s="16" t="n"/>
      <c r="H444" s="9" t="n"/>
      <c r="I444" s="16" t="n"/>
      <c r="J444" s="9" t="n"/>
      <c r="K444" s="9" t="n"/>
      <c r="L444" s="9" t="n"/>
      <c r="M444" s="9" t="n"/>
      <c r="N444" s="9" t="n"/>
      <c r="O444" s="9" t="n"/>
    </row>
    <row r="445">
      <c r="A445" s="16" t="n">
        <v>46323</v>
      </c>
      <c r="B445" s="9" t="inlineStr">
        <is>
          <t>Wednesday</t>
        </is>
      </c>
      <c r="C445" s="9" t="inlineStr">
        <is>
          <t>OCT</t>
        </is>
      </c>
      <c r="D445" s="9" t="n">
        <v>43</v>
      </c>
      <c r="E445" s="9" t="n"/>
      <c r="F445" s="9" t="n"/>
      <c r="G445" s="16" t="n"/>
      <c r="H445" s="9" t="n"/>
      <c r="I445" s="16" t="n"/>
      <c r="J445" s="9" t="n"/>
      <c r="K445" s="9" t="n"/>
      <c r="L445" s="9" t="n"/>
      <c r="M445" s="9" t="n"/>
      <c r="N445" s="9" t="n"/>
      <c r="O445" s="9" t="n"/>
    </row>
    <row r="446">
      <c r="A446" s="16" t="n">
        <v>46323</v>
      </c>
      <c r="B446" s="9" t="inlineStr">
        <is>
          <t>Wednesday</t>
        </is>
      </c>
      <c r="C446" s="9" t="inlineStr">
        <is>
          <t>OCT</t>
        </is>
      </c>
      <c r="D446" s="9" t="n">
        <v>43</v>
      </c>
      <c r="E446" s="9" t="n"/>
      <c r="F446" s="9" t="n"/>
      <c r="G446" s="16" t="n"/>
      <c r="H446" s="9" t="n"/>
      <c r="I446" s="16" t="n"/>
      <c r="J446" s="9" t="n"/>
      <c r="K446" s="9" t="n"/>
      <c r="L446" s="9" t="n"/>
      <c r="M446" s="9" t="n"/>
      <c r="N446" s="9" t="n"/>
      <c r="O446" s="9" t="n"/>
    </row>
    <row r="447">
      <c r="A447" s="24" t="n">
        <v>46324</v>
      </c>
      <c r="B447" s="25" t="inlineStr">
        <is>
          <t>Thursday</t>
        </is>
      </c>
      <c r="C447" s="25" t="inlineStr">
        <is>
          <t>OCT</t>
        </is>
      </c>
      <c r="D447" s="25" t="n">
        <v>43</v>
      </c>
      <c r="E447" s="25" t="n"/>
      <c r="F447" s="25" t="n"/>
      <c r="G447" s="24" t="n"/>
      <c r="H447" s="25" t="n"/>
      <c r="I447" s="24" t="n"/>
      <c r="J447" s="25" t="n"/>
      <c r="K447" s="25" t="n"/>
      <c r="L447" s="25" t="n"/>
      <c r="M447" s="25" t="n"/>
      <c r="N447" s="25" t="n"/>
      <c r="O447" s="25" t="n"/>
    </row>
    <row r="448">
      <c r="A448" s="16" t="n">
        <v>46324</v>
      </c>
      <c r="B448" s="9" t="inlineStr">
        <is>
          <t>Thursday</t>
        </is>
      </c>
      <c r="C448" s="9" t="inlineStr">
        <is>
          <t>OCT</t>
        </is>
      </c>
      <c r="D448" s="9" t="n">
        <v>43</v>
      </c>
      <c r="E448" s="9" t="n"/>
      <c r="F448" s="9" t="n"/>
      <c r="G448" s="16" t="n"/>
      <c r="H448" s="9" t="n"/>
      <c r="I448" s="16" t="n"/>
      <c r="J448" s="9" t="n"/>
      <c r="K448" s="9" t="n"/>
      <c r="L448" s="9" t="n"/>
      <c r="M448" s="9" t="n"/>
      <c r="N448" s="9" t="n"/>
      <c r="O448" s="9" t="n"/>
    </row>
    <row r="449">
      <c r="A449" s="16" t="n">
        <v>46324</v>
      </c>
      <c r="B449" s="9" t="inlineStr">
        <is>
          <t>Thursday</t>
        </is>
      </c>
      <c r="C449" s="9" t="inlineStr">
        <is>
          <t>OCT</t>
        </is>
      </c>
      <c r="D449" s="9" t="n">
        <v>43</v>
      </c>
      <c r="E449" s="9" t="n"/>
      <c r="F449" s="9" t="n"/>
      <c r="G449" s="16" t="n"/>
      <c r="H449" s="9" t="n"/>
      <c r="I449" s="16" t="n"/>
      <c r="J449" s="9" t="n"/>
      <c r="K449" s="9" t="n"/>
      <c r="L449" s="9" t="n"/>
      <c r="M449" s="9" t="n"/>
      <c r="N449" s="9" t="n"/>
      <c r="O449" s="9" t="n"/>
    </row>
    <row r="450">
      <c r="A450" s="16" t="n">
        <v>46324</v>
      </c>
      <c r="B450" s="9" t="inlineStr">
        <is>
          <t>Thursday</t>
        </is>
      </c>
      <c r="C450" s="9" t="inlineStr">
        <is>
          <t>OCT</t>
        </is>
      </c>
      <c r="D450" s="9" t="n">
        <v>43</v>
      </c>
      <c r="E450" s="9" t="n"/>
      <c r="F450" s="9" t="n"/>
      <c r="G450" s="16" t="n"/>
      <c r="H450" s="9" t="n"/>
      <c r="I450" s="16" t="n"/>
      <c r="J450" s="9" t="n"/>
      <c r="K450" s="9" t="n"/>
      <c r="L450" s="9" t="n"/>
      <c r="M450" s="9" t="n"/>
      <c r="N450" s="9" t="n"/>
      <c r="O450" s="9" t="n"/>
    </row>
    <row r="451">
      <c r="A451" s="16" t="n">
        <v>46324</v>
      </c>
      <c r="B451" s="9" t="inlineStr">
        <is>
          <t>Thursday</t>
        </is>
      </c>
      <c r="C451" s="9" t="inlineStr">
        <is>
          <t>OCT</t>
        </is>
      </c>
      <c r="D451" s="9" t="n">
        <v>43</v>
      </c>
      <c r="E451" s="9" t="n"/>
      <c r="F451" s="9" t="n"/>
      <c r="G451" s="16" t="n"/>
      <c r="H451" s="9" t="n"/>
      <c r="I451" s="16" t="n"/>
      <c r="J451" s="9" t="n"/>
      <c r="K451" s="9" t="n"/>
      <c r="L451" s="9" t="n"/>
      <c r="M451" s="9" t="n"/>
      <c r="N451" s="9" t="n"/>
      <c r="O451" s="9" t="n"/>
    </row>
    <row r="452">
      <c r="A452" s="24" t="n">
        <v>46325</v>
      </c>
      <c r="B452" s="25" t="inlineStr">
        <is>
          <t>Friday</t>
        </is>
      </c>
      <c r="C452" s="25" t="inlineStr">
        <is>
          <t>OCT</t>
        </is>
      </c>
      <c r="D452" s="25" t="n">
        <v>44</v>
      </c>
      <c r="E452" s="25" t="n"/>
      <c r="F452" s="25" t="n"/>
      <c r="G452" s="24" t="n"/>
      <c r="H452" s="25" t="n"/>
      <c r="I452" s="24" t="n"/>
      <c r="J452" s="25" t="n"/>
      <c r="K452" s="25" t="n"/>
      <c r="L452" s="25" t="n"/>
      <c r="M452" s="25" t="n"/>
      <c r="N452" s="25" t="n"/>
      <c r="O452" s="25" t="n"/>
    </row>
    <row r="453">
      <c r="A453" s="16" t="n">
        <v>46325</v>
      </c>
      <c r="B453" s="9" t="inlineStr">
        <is>
          <t>Friday</t>
        </is>
      </c>
      <c r="C453" s="9" t="inlineStr">
        <is>
          <t>OCT</t>
        </is>
      </c>
      <c r="D453" s="9" t="n">
        <v>44</v>
      </c>
      <c r="E453" s="9" t="n"/>
      <c r="F453" s="9" t="n"/>
      <c r="G453" s="16" t="n"/>
      <c r="H453" s="9" t="n"/>
      <c r="I453" s="16" t="n"/>
      <c r="J453" s="9" t="n"/>
      <c r="K453" s="9" t="n"/>
      <c r="L453" s="9" t="n"/>
      <c r="M453" s="9" t="n"/>
      <c r="N453" s="9" t="n"/>
      <c r="O453" s="9" t="n"/>
    </row>
    <row r="454">
      <c r="A454" s="16" t="n">
        <v>46325</v>
      </c>
      <c r="B454" s="9" t="inlineStr">
        <is>
          <t>Friday</t>
        </is>
      </c>
      <c r="C454" s="9" t="inlineStr">
        <is>
          <t>OCT</t>
        </is>
      </c>
      <c r="D454" s="9" t="n">
        <v>44</v>
      </c>
      <c r="E454" s="9" t="n"/>
      <c r="F454" s="9" t="n"/>
      <c r="G454" s="16" t="n"/>
      <c r="H454" s="9" t="n"/>
      <c r="I454" s="16" t="n"/>
      <c r="J454" s="9" t="n"/>
      <c r="K454" s="9" t="n"/>
      <c r="L454" s="9" t="n"/>
      <c r="M454" s="9" t="n"/>
      <c r="N454" s="9" t="n"/>
      <c r="O454" s="9" t="n"/>
    </row>
    <row r="455">
      <c r="A455" s="16" t="n">
        <v>46325</v>
      </c>
      <c r="B455" s="9" t="inlineStr">
        <is>
          <t>Friday</t>
        </is>
      </c>
      <c r="C455" s="9" t="inlineStr">
        <is>
          <t>OCT</t>
        </is>
      </c>
      <c r="D455" s="9" t="n">
        <v>44</v>
      </c>
      <c r="E455" s="9" t="n"/>
      <c r="F455" s="9" t="n"/>
      <c r="G455" s="16" t="n"/>
      <c r="H455" s="9" t="n"/>
      <c r="I455" s="16" t="n"/>
      <c r="J455" s="9" t="n"/>
      <c r="K455" s="9" t="n"/>
      <c r="L455" s="9" t="n"/>
      <c r="M455" s="9" t="n"/>
      <c r="N455" s="9" t="n"/>
      <c r="O455" s="9" t="n"/>
    </row>
    <row r="456">
      <c r="A456" s="16" t="n">
        <v>46325</v>
      </c>
      <c r="B456" s="9" t="inlineStr">
        <is>
          <t>Friday</t>
        </is>
      </c>
      <c r="C456" s="9" t="inlineStr">
        <is>
          <t>OCT</t>
        </is>
      </c>
      <c r="D456" s="9" t="n">
        <v>44</v>
      </c>
      <c r="E456" s="9" t="n"/>
      <c r="F456" s="9" t="n"/>
      <c r="G456" s="16" t="n"/>
      <c r="H456" s="9" t="n"/>
      <c r="I456" s="16" t="n"/>
      <c r="J456" s="9" t="n"/>
      <c r="K456" s="9" t="n"/>
      <c r="L456" s="9" t="n"/>
      <c r="M456" s="9" t="n"/>
      <c r="N456" s="9" t="n"/>
      <c r="O456" s="9" t="n"/>
    </row>
    <row r="457">
      <c r="A457" s="24" t="n">
        <v>46326</v>
      </c>
      <c r="B457" s="25" t="inlineStr">
        <is>
          <t>Saturday</t>
        </is>
      </c>
      <c r="C457" s="25" t="inlineStr">
        <is>
          <t>OCT</t>
        </is>
      </c>
      <c r="D457" s="25" t="n">
        <v>44</v>
      </c>
      <c r="E457" s="25" t="n"/>
      <c r="F457" s="25" t="n"/>
      <c r="G457" s="24" t="n"/>
      <c r="H457" s="25" t="n"/>
      <c r="I457" s="24" t="n"/>
      <c r="J457" s="25" t="n"/>
      <c r="K457" s="25" t="n"/>
      <c r="L457" s="25" t="n"/>
      <c r="M457" s="25" t="n"/>
      <c r="N457" s="25" t="n"/>
      <c r="O457" s="25" t="n"/>
    </row>
    <row r="458">
      <c r="A458" s="16" t="n">
        <v>46326</v>
      </c>
      <c r="B458" s="9" t="inlineStr">
        <is>
          <t>Saturday</t>
        </is>
      </c>
      <c r="C458" s="9" t="inlineStr">
        <is>
          <t>OCT</t>
        </is>
      </c>
      <c r="D458" s="9" t="n">
        <v>44</v>
      </c>
      <c r="E458" s="9" t="n"/>
      <c r="F458" s="9" t="n"/>
      <c r="G458" s="16" t="n"/>
      <c r="H458" s="9" t="n"/>
      <c r="I458" s="16" t="n"/>
      <c r="J458" s="9" t="n"/>
      <c r="K458" s="9" t="n"/>
      <c r="L458" s="9" t="n"/>
      <c r="M458" s="9" t="n"/>
      <c r="N458" s="9" t="n"/>
      <c r="O458" s="9" t="n"/>
    </row>
    <row r="459">
      <c r="A459" s="16" t="n">
        <v>46326</v>
      </c>
      <c r="B459" s="9" t="inlineStr">
        <is>
          <t>Saturday</t>
        </is>
      </c>
      <c r="C459" s="9" t="inlineStr">
        <is>
          <t>OCT</t>
        </is>
      </c>
      <c r="D459" s="9" t="n">
        <v>44</v>
      </c>
      <c r="E459" s="9" t="n"/>
      <c r="F459" s="9" t="n"/>
      <c r="G459" s="16" t="n"/>
      <c r="H459" s="9" t="n"/>
      <c r="I459" s="16" t="n"/>
      <c r="J459" s="9" t="n"/>
      <c r="K459" s="9" t="n"/>
      <c r="L459" s="9" t="n"/>
      <c r="M459" s="9" t="n"/>
      <c r="N459" s="9" t="n"/>
      <c r="O459" s="9" t="n"/>
    </row>
    <row r="460">
      <c r="A460" s="16" t="n">
        <v>46326</v>
      </c>
      <c r="B460" s="9" t="inlineStr">
        <is>
          <t>Saturday</t>
        </is>
      </c>
      <c r="C460" s="9" t="inlineStr">
        <is>
          <t>OCT</t>
        </is>
      </c>
      <c r="D460" s="9" t="n">
        <v>44</v>
      </c>
      <c r="E460" s="9" t="n"/>
      <c r="F460" s="9" t="n"/>
      <c r="G460" s="16" t="n"/>
      <c r="H460" s="9" t="n"/>
      <c r="I460" s="16" t="n"/>
      <c r="J460" s="9" t="n"/>
      <c r="K460" s="9" t="n"/>
      <c r="L460" s="9" t="n"/>
      <c r="M460" s="9" t="n"/>
      <c r="N460" s="9" t="n"/>
      <c r="O460" s="9" t="n"/>
    </row>
    <row r="461">
      <c r="A461" s="16" t="n">
        <v>46326</v>
      </c>
      <c r="B461" s="9" t="inlineStr">
        <is>
          <t>Saturday</t>
        </is>
      </c>
      <c r="C461" s="9" t="inlineStr">
        <is>
          <t>OCT</t>
        </is>
      </c>
      <c r="D461" s="9" t="n">
        <v>44</v>
      </c>
      <c r="E461" s="9" t="n"/>
      <c r="F461" s="9" t="n"/>
      <c r="G461" s="16" t="n"/>
      <c r="H461" s="9" t="n"/>
      <c r="I461" s="16" t="n"/>
      <c r="J461" s="9" t="n"/>
      <c r="K461" s="9" t="n"/>
      <c r="L461" s="9" t="n"/>
      <c r="M461" s="9" t="n"/>
      <c r="N461" s="9" t="n"/>
      <c r="O461" s="9" t="n"/>
    </row>
    <row r="462">
      <c r="A462" s="24" t="n">
        <v>46327</v>
      </c>
      <c r="B462" s="25" t="inlineStr">
        <is>
          <t>Sunday</t>
        </is>
      </c>
      <c r="C462" s="25" t="inlineStr">
        <is>
          <t>NOV</t>
        </is>
      </c>
      <c r="D462" s="25" t="n">
        <v>44</v>
      </c>
      <c r="E462" s="25" t="n"/>
      <c r="F462" s="25" t="n"/>
      <c r="G462" s="24" t="n"/>
      <c r="H462" s="25" t="n"/>
      <c r="I462" s="24" t="n"/>
      <c r="J462" s="25" t="n"/>
      <c r="K462" s="25" t="n"/>
      <c r="L462" s="25" t="n"/>
      <c r="M462" s="25" t="n"/>
      <c r="N462" s="25" t="n"/>
      <c r="O462" s="25" t="n"/>
    </row>
    <row r="463">
      <c r="A463" s="16" t="n">
        <v>46327</v>
      </c>
      <c r="B463" s="9" t="inlineStr">
        <is>
          <t>Sunday</t>
        </is>
      </c>
      <c r="C463" s="9" t="inlineStr">
        <is>
          <t>NOV</t>
        </is>
      </c>
      <c r="D463" s="9" t="n">
        <v>44</v>
      </c>
      <c r="E463" s="9" t="n"/>
      <c r="F463" s="9" t="n"/>
      <c r="G463" s="16" t="n"/>
      <c r="H463" s="9" t="n"/>
      <c r="I463" s="16" t="n"/>
      <c r="J463" s="9" t="n"/>
      <c r="K463" s="9" t="n"/>
      <c r="L463" s="9" t="n"/>
      <c r="M463" s="9" t="n"/>
      <c r="N463" s="9" t="n"/>
      <c r="O463" s="9" t="n"/>
    </row>
    <row r="464">
      <c r="A464" s="16" t="n">
        <v>46327</v>
      </c>
      <c r="B464" s="9" t="inlineStr">
        <is>
          <t>Sunday</t>
        </is>
      </c>
      <c r="C464" s="9" t="inlineStr">
        <is>
          <t>NOV</t>
        </is>
      </c>
      <c r="D464" s="9" t="n">
        <v>44</v>
      </c>
      <c r="E464" s="9" t="n"/>
      <c r="F464" s="9" t="n"/>
      <c r="G464" s="16" t="n"/>
      <c r="H464" s="9" t="n"/>
      <c r="I464" s="16" t="n"/>
      <c r="J464" s="9" t="n"/>
      <c r="K464" s="9" t="n"/>
      <c r="L464" s="9" t="n"/>
      <c r="M464" s="9" t="n"/>
      <c r="N464" s="9" t="n"/>
      <c r="O464" s="9" t="n"/>
    </row>
    <row r="465">
      <c r="A465" s="16" t="n">
        <v>46327</v>
      </c>
      <c r="B465" s="9" t="inlineStr">
        <is>
          <t>Sunday</t>
        </is>
      </c>
      <c r="C465" s="9" t="inlineStr">
        <is>
          <t>NOV</t>
        </is>
      </c>
      <c r="D465" s="9" t="n">
        <v>44</v>
      </c>
      <c r="E465" s="9" t="n"/>
      <c r="F465" s="9" t="n"/>
      <c r="G465" s="16" t="n"/>
      <c r="H465" s="9" t="n"/>
      <c r="I465" s="16" t="n"/>
      <c r="J465" s="9" t="n"/>
      <c r="K465" s="9" t="n"/>
      <c r="L465" s="9" t="n"/>
      <c r="M465" s="9" t="n"/>
      <c r="N465" s="9" t="n"/>
      <c r="O465" s="9" t="n"/>
    </row>
    <row r="466">
      <c r="A466" s="16" t="n">
        <v>46327</v>
      </c>
      <c r="B466" s="9" t="inlineStr">
        <is>
          <t>Sunday</t>
        </is>
      </c>
      <c r="C466" s="9" t="inlineStr">
        <is>
          <t>NOV</t>
        </is>
      </c>
      <c r="D466" s="9" t="n">
        <v>44</v>
      </c>
      <c r="E466" s="9" t="n"/>
      <c r="F466" s="9" t="n"/>
      <c r="G466" s="16" t="n"/>
      <c r="H466" s="9" t="n"/>
      <c r="I466" s="16" t="n"/>
      <c r="J466" s="9" t="n"/>
      <c r="K466" s="9" t="n"/>
      <c r="L466" s="9" t="n"/>
      <c r="M466" s="9" t="n"/>
      <c r="N466" s="9" t="n"/>
      <c r="O466" s="9" t="n"/>
    </row>
    <row r="467">
      <c r="A467" s="24" t="n">
        <v>46328</v>
      </c>
      <c r="B467" s="25" t="inlineStr">
        <is>
          <t>Monday</t>
        </is>
      </c>
      <c r="C467" s="25" t="inlineStr">
        <is>
          <t>NOV</t>
        </is>
      </c>
      <c r="D467" s="25" t="n">
        <v>44</v>
      </c>
      <c r="E467" s="25" t="n"/>
      <c r="F467" s="25" t="n"/>
      <c r="G467" s="24" t="n"/>
      <c r="H467" s="25" t="n"/>
      <c r="I467" s="24" t="n"/>
      <c r="J467" s="25" t="n"/>
      <c r="K467" s="25" t="n"/>
      <c r="L467" s="25" t="n"/>
      <c r="M467" s="25" t="n"/>
      <c r="N467" s="25" t="n"/>
      <c r="O467" s="25" t="n"/>
    </row>
    <row r="468">
      <c r="A468" s="16" t="n">
        <v>46328</v>
      </c>
      <c r="B468" s="9" t="inlineStr">
        <is>
          <t>Monday</t>
        </is>
      </c>
      <c r="C468" s="9" t="inlineStr">
        <is>
          <t>NOV</t>
        </is>
      </c>
      <c r="D468" s="9" t="n">
        <v>44</v>
      </c>
      <c r="E468" s="9" t="n"/>
      <c r="F468" s="9" t="n"/>
      <c r="G468" s="16" t="n"/>
      <c r="H468" s="9" t="n"/>
      <c r="I468" s="16" t="n"/>
      <c r="J468" s="9" t="n"/>
      <c r="K468" s="9" t="n"/>
      <c r="L468" s="9" t="n"/>
      <c r="M468" s="9" t="n"/>
      <c r="N468" s="9" t="n"/>
      <c r="O468" s="9" t="n"/>
    </row>
    <row r="469">
      <c r="A469" s="16" t="n">
        <v>46328</v>
      </c>
      <c r="B469" s="9" t="inlineStr">
        <is>
          <t>Monday</t>
        </is>
      </c>
      <c r="C469" s="9" t="inlineStr">
        <is>
          <t>NOV</t>
        </is>
      </c>
      <c r="D469" s="9" t="n">
        <v>44</v>
      </c>
      <c r="E469" s="9" t="n"/>
      <c r="F469" s="9" t="n"/>
      <c r="G469" s="16" t="n"/>
      <c r="H469" s="9" t="n"/>
      <c r="I469" s="16" t="n"/>
      <c r="J469" s="9" t="n"/>
      <c r="K469" s="9" t="n"/>
      <c r="L469" s="9" t="n"/>
      <c r="M469" s="9" t="n"/>
      <c r="N469" s="9" t="n"/>
      <c r="O469" s="9" t="n"/>
    </row>
    <row r="470">
      <c r="A470" s="16" t="n">
        <v>46328</v>
      </c>
      <c r="B470" s="9" t="inlineStr">
        <is>
          <t>Monday</t>
        </is>
      </c>
      <c r="C470" s="9" t="inlineStr">
        <is>
          <t>NOV</t>
        </is>
      </c>
      <c r="D470" s="9" t="n">
        <v>44</v>
      </c>
      <c r="E470" s="9" t="n"/>
      <c r="F470" s="9" t="n"/>
      <c r="G470" s="16" t="n"/>
      <c r="H470" s="9" t="n"/>
      <c r="I470" s="16" t="n"/>
      <c r="J470" s="9" t="n"/>
      <c r="K470" s="9" t="n"/>
      <c r="L470" s="9" t="n"/>
      <c r="M470" s="9" t="n"/>
      <c r="N470" s="9" t="n"/>
      <c r="O470" s="9" t="n"/>
    </row>
    <row r="471">
      <c r="A471" s="16" t="n">
        <v>46328</v>
      </c>
      <c r="B471" s="9" t="inlineStr">
        <is>
          <t>Monday</t>
        </is>
      </c>
      <c r="C471" s="9" t="inlineStr">
        <is>
          <t>NOV</t>
        </is>
      </c>
      <c r="D471" s="9" t="n">
        <v>44</v>
      </c>
      <c r="E471" s="9" t="n"/>
      <c r="F471" s="9" t="n"/>
      <c r="G471" s="16" t="n"/>
      <c r="H471" s="9" t="n"/>
      <c r="I471" s="16" t="n"/>
      <c r="J471" s="9" t="n"/>
      <c r="K471" s="9" t="n"/>
      <c r="L471" s="9" t="n"/>
      <c r="M471" s="9" t="n"/>
      <c r="N471" s="9" t="n"/>
      <c r="O471" s="9" t="n"/>
    </row>
    <row r="472">
      <c r="A472" s="24" t="n">
        <v>46329</v>
      </c>
      <c r="B472" s="25" t="inlineStr">
        <is>
          <t>Tuesday</t>
        </is>
      </c>
      <c r="C472" s="25" t="inlineStr">
        <is>
          <t>NOV</t>
        </is>
      </c>
      <c r="D472" s="25" t="n">
        <v>44</v>
      </c>
      <c r="E472" s="25" t="n"/>
      <c r="F472" s="25" t="n"/>
      <c r="G472" s="24" t="n"/>
      <c r="H472" s="25" t="n"/>
      <c r="I472" s="24" t="n"/>
      <c r="J472" s="25" t="n"/>
      <c r="K472" s="25" t="n"/>
      <c r="L472" s="25" t="n"/>
      <c r="M472" s="25" t="n"/>
      <c r="N472" s="25" t="n"/>
      <c r="O472" s="25" t="n"/>
    </row>
    <row r="473">
      <c r="A473" s="16" t="n">
        <v>46329</v>
      </c>
      <c r="B473" s="9" t="inlineStr">
        <is>
          <t>Tuesday</t>
        </is>
      </c>
      <c r="C473" s="9" t="inlineStr">
        <is>
          <t>NOV</t>
        </is>
      </c>
      <c r="D473" s="9" t="n">
        <v>44</v>
      </c>
      <c r="E473" s="9" t="n"/>
      <c r="F473" s="9" t="n"/>
      <c r="G473" s="16" t="n"/>
      <c r="H473" s="9" t="n"/>
      <c r="I473" s="16" t="n"/>
      <c r="J473" s="9" t="n"/>
      <c r="K473" s="9" t="n"/>
      <c r="L473" s="9" t="n"/>
      <c r="M473" s="9" t="n"/>
      <c r="N473" s="9" t="n"/>
      <c r="O473" s="9" t="n"/>
    </row>
    <row r="474">
      <c r="A474" s="16" t="n">
        <v>46329</v>
      </c>
      <c r="B474" s="9" t="inlineStr">
        <is>
          <t>Tuesday</t>
        </is>
      </c>
      <c r="C474" s="9" t="inlineStr">
        <is>
          <t>NOV</t>
        </is>
      </c>
      <c r="D474" s="9" t="n">
        <v>44</v>
      </c>
      <c r="E474" s="9" t="n"/>
      <c r="F474" s="9" t="n"/>
      <c r="G474" s="16" t="n"/>
      <c r="H474" s="9" t="n"/>
      <c r="I474" s="16" t="n"/>
      <c r="J474" s="9" t="n"/>
      <c r="K474" s="9" t="n"/>
      <c r="L474" s="9" t="n"/>
      <c r="M474" s="9" t="n"/>
      <c r="N474" s="9" t="n"/>
      <c r="O474" s="9" t="n"/>
    </row>
    <row r="475">
      <c r="A475" s="16" t="n">
        <v>46329</v>
      </c>
      <c r="B475" s="9" t="inlineStr">
        <is>
          <t>Tuesday</t>
        </is>
      </c>
      <c r="C475" s="9" t="inlineStr">
        <is>
          <t>NOV</t>
        </is>
      </c>
      <c r="D475" s="9" t="n">
        <v>44</v>
      </c>
      <c r="E475" s="9" t="n"/>
      <c r="F475" s="9" t="n"/>
      <c r="G475" s="16" t="n"/>
      <c r="H475" s="9" t="n"/>
      <c r="I475" s="16" t="n"/>
      <c r="J475" s="9" t="n"/>
      <c r="K475" s="9" t="n"/>
      <c r="L475" s="9" t="n"/>
      <c r="M475" s="9" t="n"/>
      <c r="N475" s="9" t="n"/>
      <c r="O475" s="9" t="n"/>
    </row>
    <row r="476">
      <c r="A476" s="16" t="n">
        <v>46329</v>
      </c>
      <c r="B476" s="9" t="inlineStr">
        <is>
          <t>Tuesday</t>
        </is>
      </c>
      <c r="C476" s="9" t="inlineStr">
        <is>
          <t>NOV</t>
        </is>
      </c>
      <c r="D476" s="9" t="n">
        <v>44</v>
      </c>
      <c r="E476" s="9" t="n"/>
      <c r="F476" s="9" t="n"/>
      <c r="G476" s="16" t="n"/>
      <c r="H476" s="9" t="n"/>
      <c r="I476" s="16" t="n"/>
      <c r="J476" s="9" t="n"/>
      <c r="K476" s="9" t="n"/>
      <c r="L476" s="9" t="n"/>
      <c r="M476" s="9" t="n"/>
      <c r="N476" s="9" t="n"/>
      <c r="O476" s="9" t="n"/>
    </row>
    <row r="477">
      <c r="A477" s="24" t="n">
        <v>46330</v>
      </c>
      <c r="B477" s="25" t="inlineStr">
        <is>
          <t>Wednesday</t>
        </is>
      </c>
      <c r="C477" s="25" t="inlineStr">
        <is>
          <t>NOV</t>
        </is>
      </c>
      <c r="D477" s="25" t="n">
        <v>44</v>
      </c>
      <c r="E477" s="25" t="n"/>
      <c r="F477" s="25" t="n"/>
      <c r="G477" s="24" t="n"/>
      <c r="H477" s="25" t="n"/>
      <c r="I477" s="24" t="n"/>
      <c r="J477" s="25" t="n"/>
      <c r="K477" s="25" t="n"/>
      <c r="L477" s="25" t="n"/>
      <c r="M477" s="25" t="n"/>
      <c r="N477" s="25" t="n"/>
      <c r="O477" s="25" t="n"/>
    </row>
    <row r="478">
      <c r="A478" s="16" t="n">
        <v>46330</v>
      </c>
      <c r="B478" s="9" t="inlineStr">
        <is>
          <t>Wednesday</t>
        </is>
      </c>
      <c r="C478" s="9" t="inlineStr">
        <is>
          <t>NOV</t>
        </is>
      </c>
      <c r="D478" s="9" t="n">
        <v>44</v>
      </c>
      <c r="E478" s="9" t="n"/>
      <c r="F478" s="9" t="n"/>
      <c r="G478" s="16" t="n"/>
      <c r="H478" s="9" t="n"/>
      <c r="I478" s="16" t="n"/>
      <c r="J478" s="9" t="n"/>
      <c r="K478" s="9" t="n"/>
      <c r="L478" s="9" t="n"/>
      <c r="M478" s="9" t="n"/>
      <c r="N478" s="9" t="n"/>
      <c r="O478" s="9" t="n"/>
    </row>
    <row r="479">
      <c r="A479" s="16" t="n">
        <v>46330</v>
      </c>
      <c r="B479" s="9" t="inlineStr">
        <is>
          <t>Wednesday</t>
        </is>
      </c>
      <c r="C479" s="9" t="inlineStr">
        <is>
          <t>NOV</t>
        </is>
      </c>
      <c r="D479" s="9" t="n">
        <v>44</v>
      </c>
      <c r="E479" s="9" t="n"/>
      <c r="F479" s="9" t="n"/>
      <c r="G479" s="16" t="n"/>
      <c r="H479" s="9" t="n"/>
      <c r="I479" s="16" t="n"/>
      <c r="J479" s="9" t="n"/>
      <c r="K479" s="9" t="n"/>
      <c r="L479" s="9" t="n"/>
      <c r="M479" s="9" t="n"/>
      <c r="N479" s="9" t="n"/>
      <c r="O479" s="9" t="n"/>
    </row>
    <row r="480">
      <c r="A480" s="16" t="n">
        <v>46330</v>
      </c>
      <c r="B480" s="9" t="inlineStr">
        <is>
          <t>Wednesday</t>
        </is>
      </c>
      <c r="C480" s="9" t="inlineStr">
        <is>
          <t>NOV</t>
        </is>
      </c>
      <c r="D480" s="9" t="n">
        <v>44</v>
      </c>
      <c r="E480" s="9" t="n"/>
      <c r="F480" s="9" t="n"/>
      <c r="G480" s="16" t="n"/>
      <c r="H480" s="9" t="n"/>
      <c r="I480" s="16" t="n"/>
      <c r="J480" s="9" t="n"/>
      <c r="K480" s="9" t="n"/>
      <c r="L480" s="9" t="n"/>
      <c r="M480" s="9" t="n"/>
      <c r="N480" s="9" t="n"/>
      <c r="O480" s="9" t="n"/>
    </row>
    <row r="481">
      <c r="A481" s="16" t="n">
        <v>46330</v>
      </c>
      <c r="B481" s="9" t="inlineStr">
        <is>
          <t>Wednesday</t>
        </is>
      </c>
      <c r="C481" s="9" t="inlineStr">
        <is>
          <t>NOV</t>
        </is>
      </c>
      <c r="D481" s="9" t="n">
        <v>44</v>
      </c>
      <c r="E481" s="9" t="n"/>
      <c r="F481" s="9" t="n"/>
      <c r="G481" s="16" t="n"/>
      <c r="H481" s="9" t="n"/>
      <c r="I481" s="16" t="n"/>
      <c r="J481" s="9" t="n"/>
      <c r="K481" s="9" t="n"/>
      <c r="L481" s="9" t="n"/>
      <c r="M481" s="9" t="n"/>
      <c r="N481" s="9" t="n"/>
      <c r="O481" s="9" t="n"/>
    </row>
    <row r="482">
      <c r="A482" s="24" t="n">
        <v>46331</v>
      </c>
      <c r="B482" s="25" t="inlineStr">
        <is>
          <t>Thursday</t>
        </is>
      </c>
      <c r="C482" s="25" t="inlineStr">
        <is>
          <t>NOV</t>
        </is>
      </c>
      <c r="D482" s="25" t="n">
        <v>44</v>
      </c>
      <c r="E482" s="25" t="n"/>
      <c r="F482" s="25" t="n"/>
      <c r="G482" s="24" t="n"/>
      <c r="H482" s="25" t="n"/>
      <c r="I482" s="24" t="n"/>
      <c r="J482" s="25" t="n"/>
      <c r="K482" s="25" t="n"/>
      <c r="L482" s="25" t="n"/>
      <c r="M482" s="25" t="n"/>
      <c r="N482" s="25" t="n"/>
      <c r="O482" s="25" t="n"/>
    </row>
    <row r="483">
      <c r="A483" s="16" t="n">
        <v>46331</v>
      </c>
      <c r="B483" s="9" t="inlineStr">
        <is>
          <t>Thursday</t>
        </is>
      </c>
      <c r="C483" s="9" t="inlineStr">
        <is>
          <t>NOV</t>
        </is>
      </c>
      <c r="D483" s="9" t="n">
        <v>44</v>
      </c>
      <c r="E483" s="9" t="n"/>
      <c r="F483" s="9" t="n"/>
      <c r="G483" s="16" t="n"/>
      <c r="H483" s="9" t="n"/>
      <c r="I483" s="16" t="n"/>
      <c r="J483" s="9" t="n"/>
      <c r="K483" s="9" t="n"/>
      <c r="L483" s="9" t="n"/>
      <c r="M483" s="9" t="n"/>
      <c r="N483" s="9" t="n"/>
      <c r="O483" s="9" t="n"/>
    </row>
    <row r="484">
      <c r="A484" s="16" t="n">
        <v>46331</v>
      </c>
      <c r="B484" s="9" t="inlineStr">
        <is>
          <t>Thursday</t>
        </is>
      </c>
      <c r="C484" s="9" t="inlineStr">
        <is>
          <t>NOV</t>
        </is>
      </c>
      <c r="D484" s="9" t="n">
        <v>44</v>
      </c>
      <c r="E484" s="9" t="n"/>
      <c r="F484" s="9" t="n"/>
      <c r="G484" s="16" t="n"/>
      <c r="H484" s="9" t="n"/>
      <c r="I484" s="16" t="n"/>
      <c r="J484" s="9" t="n"/>
      <c r="K484" s="9" t="n"/>
      <c r="L484" s="9" t="n"/>
      <c r="M484" s="9" t="n"/>
      <c r="N484" s="9" t="n"/>
      <c r="O484" s="9" t="n"/>
    </row>
    <row r="485">
      <c r="A485" s="16" t="n">
        <v>46331</v>
      </c>
      <c r="B485" s="9" t="inlineStr">
        <is>
          <t>Thursday</t>
        </is>
      </c>
      <c r="C485" s="9" t="inlineStr">
        <is>
          <t>NOV</t>
        </is>
      </c>
      <c r="D485" s="9" t="n">
        <v>44</v>
      </c>
      <c r="E485" s="9" t="n"/>
      <c r="F485" s="9" t="n"/>
      <c r="G485" s="16" t="n"/>
      <c r="H485" s="9" t="n"/>
      <c r="I485" s="16" t="n"/>
      <c r="J485" s="9" t="n"/>
      <c r="K485" s="9" t="n"/>
      <c r="L485" s="9" t="n"/>
      <c r="M485" s="9" t="n"/>
      <c r="N485" s="9" t="n"/>
      <c r="O485" s="9" t="n"/>
    </row>
    <row r="486">
      <c r="A486" s="16" t="n">
        <v>46331</v>
      </c>
      <c r="B486" s="9" t="inlineStr">
        <is>
          <t>Thursday</t>
        </is>
      </c>
      <c r="C486" s="9" t="inlineStr">
        <is>
          <t>NOV</t>
        </is>
      </c>
      <c r="D486" s="9" t="n">
        <v>44</v>
      </c>
      <c r="E486" s="9" t="n"/>
      <c r="F486" s="9" t="n"/>
      <c r="G486" s="16" t="n"/>
      <c r="H486" s="9" t="n"/>
      <c r="I486" s="16" t="n"/>
      <c r="J486" s="9" t="n"/>
      <c r="K486" s="9" t="n"/>
      <c r="L486" s="9" t="n"/>
      <c r="M486" s="9" t="n"/>
      <c r="N486" s="9" t="n"/>
      <c r="O486" s="9" t="n"/>
    </row>
    <row r="487">
      <c r="A487" s="24" t="n">
        <v>46332</v>
      </c>
      <c r="B487" s="25" t="inlineStr">
        <is>
          <t>Friday</t>
        </is>
      </c>
      <c r="C487" s="25" t="inlineStr">
        <is>
          <t>NOV</t>
        </is>
      </c>
      <c r="D487" s="25" t="n">
        <v>45</v>
      </c>
      <c r="E487" s="25" t="n"/>
      <c r="F487" s="25" t="n"/>
      <c r="G487" s="24" t="n"/>
      <c r="H487" s="25" t="n"/>
      <c r="I487" s="24" t="n"/>
      <c r="J487" s="25" t="n"/>
      <c r="K487" s="25" t="n"/>
      <c r="L487" s="25" t="n"/>
      <c r="M487" s="25" t="n"/>
      <c r="N487" s="25" t="n"/>
      <c r="O487" s="25" t="n"/>
    </row>
    <row r="488">
      <c r="A488" s="16" t="n">
        <v>46332</v>
      </c>
      <c r="B488" s="9" t="inlineStr">
        <is>
          <t>Friday</t>
        </is>
      </c>
      <c r="C488" s="9" t="inlineStr">
        <is>
          <t>NOV</t>
        </is>
      </c>
      <c r="D488" s="9" t="n">
        <v>45</v>
      </c>
      <c r="E488" s="9" t="n"/>
      <c r="F488" s="9" t="n"/>
      <c r="G488" s="16" t="n"/>
      <c r="H488" s="9" t="n"/>
      <c r="I488" s="16" t="n"/>
      <c r="J488" s="9" t="n"/>
      <c r="K488" s="9" t="n"/>
      <c r="L488" s="9" t="n"/>
      <c r="M488" s="9" t="n"/>
      <c r="N488" s="9" t="n"/>
      <c r="O488" s="9" t="n"/>
    </row>
    <row r="489">
      <c r="A489" s="16" t="n">
        <v>46332</v>
      </c>
      <c r="B489" s="9" t="inlineStr">
        <is>
          <t>Friday</t>
        </is>
      </c>
      <c r="C489" s="9" t="inlineStr">
        <is>
          <t>NOV</t>
        </is>
      </c>
      <c r="D489" s="9" t="n">
        <v>45</v>
      </c>
      <c r="E489" s="9" t="n"/>
      <c r="F489" s="9" t="n"/>
      <c r="G489" s="16" t="n"/>
      <c r="H489" s="9" t="n"/>
      <c r="I489" s="16" t="n"/>
      <c r="J489" s="9" t="n"/>
      <c r="K489" s="9" t="n"/>
      <c r="L489" s="9" t="n"/>
      <c r="M489" s="9" t="n"/>
      <c r="N489" s="9" t="n"/>
      <c r="O489" s="9" t="n"/>
    </row>
    <row r="490">
      <c r="A490" s="16" t="n">
        <v>46332</v>
      </c>
      <c r="B490" s="9" t="inlineStr">
        <is>
          <t>Friday</t>
        </is>
      </c>
      <c r="C490" s="9" t="inlineStr">
        <is>
          <t>NOV</t>
        </is>
      </c>
      <c r="D490" s="9" t="n">
        <v>45</v>
      </c>
      <c r="E490" s="9" t="n"/>
      <c r="F490" s="9" t="n"/>
      <c r="G490" s="16" t="n"/>
      <c r="H490" s="9" t="n"/>
      <c r="I490" s="16" t="n"/>
      <c r="J490" s="9" t="n"/>
      <c r="K490" s="9" t="n"/>
      <c r="L490" s="9" t="n"/>
      <c r="M490" s="9" t="n"/>
      <c r="N490" s="9" t="n"/>
      <c r="O490" s="9" t="n"/>
    </row>
    <row r="491">
      <c r="A491" s="16" t="n">
        <v>46332</v>
      </c>
      <c r="B491" s="9" t="inlineStr">
        <is>
          <t>Friday</t>
        </is>
      </c>
      <c r="C491" s="9" t="inlineStr">
        <is>
          <t>NOV</t>
        </is>
      </c>
      <c r="D491" s="9" t="n">
        <v>45</v>
      </c>
      <c r="E491" s="9" t="n"/>
      <c r="F491" s="9" t="n"/>
      <c r="G491" s="16" t="n"/>
      <c r="H491" s="9" t="n"/>
      <c r="I491" s="16" t="n"/>
      <c r="J491" s="9" t="n"/>
      <c r="K491" s="9" t="n"/>
      <c r="L491" s="9" t="n"/>
      <c r="M491" s="9" t="n"/>
      <c r="N491" s="9" t="n"/>
      <c r="O491" s="9" t="n"/>
    </row>
    <row r="492">
      <c r="A492" s="24" t="n">
        <v>46333</v>
      </c>
      <c r="B492" s="25" t="inlineStr">
        <is>
          <t>Saturday</t>
        </is>
      </c>
      <c r="C492" s="25" t="inlineStr">
        <is>
          <t>NOV</t>
        </is>
      </c>
      <c r="D492" s="25" t="n">
        <v>45</v>
      </c>
      <c r="E492" s="25" t="n"/>
      <c r="F492" s="25" t="n"/>
      <c r="G492" s="24" t="n"/>
      <c r="H492" s="25" t="n"/>
      <c r="I492" s="24" t="n"/>
      <c r="J492" s="25" t="n"/>
      <c r="K492" s="25" t="n"/>
      <c r="L492" s="25" t="n"/>
      <c r="M492" s="25" t="n"/>
      <c r="N492" s="25" t="n"/>
      <c r="O492" s="25" t="n"/>
    </row>
    <row r="493">
      <c r="A493" s="16" t="n">
        <v>46333</v>
      </c>
      <c r="B493" s="9" t="inlineStr">
        <is>
          <t>Saturday</t>
        </is>
      </c>
      <c r="C493" s="9" t="inlineStr">
        <is>
          <t>NOV</t>
        </is>
      </c>
      <c r="D493" s="9" t="n">
        <v>45</v>
      </c>
      <c r="E493" s="9" t="n"/>
      <c r="F493" s="9" t="n"/>
      <c r="G493" s="16" t="n"/>
      <c r="H493" s="9" t="n"/>
      <c r="I493" s="16" t="n"/>
      <c r="J493" s="9" t="n"/>
      <c r="K493" s="9" t="n"/>
      <c r="L493" s="9" t="n"/>
      <c r="M493" s="9" t="n"/>
      <c r="N493" s="9" t="n"/>
      <c r="O493" s="9" t="n"/>
    </row>
    <row r="494">
      <c r="A494" s="16" t="n">
        <v>46333</v>
      </c>
      <c r="B494" s="9" t="inlineStr">
        <is>
          <t>Saturday</t>
        </is>
      </c>
      <c r="C494" s="9" t="inlineStr">
        <is>
          <t>NOV</t>
        </is>
      </c>
      <c r="D494" s="9" t="n">
        <v>45</v>
      </c>
      <c r="E494" s="9" t="n"/>
      <c r="F494" s="9" t="n"/>
      <c r="G494" s="16" t="n"/>
      <c r="H494" s="9" t="n"/>
      <c r="I494" s="16" t="n"/>
      <c r="J494" s="9" t="n"/>
      <c r="K494" s="9" t="n"/>
      <c r="L494" s="9" t="n"/>
      <c r="M494" s="9" t="n"/>
      <c r="N494" s="9" t="n"/>
      <c r="O494" s="9" t="n"/>
    </row>
    <row r="495">
      <c r="A495" s="16" t="n">
        <v>46333</v>
      </c>
      <c r="B495" s="9" t="inlineStr">
        <is>
          <t>Saturday</t>
        </is>
      </c>
      <c r="C495" s="9" t="inlineStr">
        <is>
          <t>NOV</t>
        </is>
      </c>
      <c r="D495" s="9" t="n">
        <v>45</v>
      </c>
      <c r="E495" s="9" t="n"/>
      <c r="F495" s="9" t="n"/>
      <c r="G495" s="16" t="n"/>
      <c r="H495" s="9" t="n"/>
      <c r="I495" s="16" t="n"/>
      <c r="J495" s="9" t="n"/>
      <c r="K495" s="9" t="n"/>
      <c r="L495" s="9" t="n"/>
      <c r="M495" s="9" t="n"/>
      <c r="N495" s="9" t="n"/>
      <c r="O495" s="9" t="n"/>
    </row>
    <row r="496">
      <c r="A496" s="16" t="n">
        <v>46333</v>
      </c>
      <c r="B496" s="9" t="inlineStr">
        <is>
          <t>Saturday</t>
        </is>
      </c>
      <c r="C496" s="9" t="inlineStr">
        <is>
          <t>NOV</t>
        </is>
      </c>
      <c r="D496" s="9" t="n">
        <v>45</v>
      </c>
      <c r="E496" s="9" t="n"/>
      <c r="F496" s="9" t="n"/>
      <c r="G496" s="16" t="n"/>
      <c r="H496" s="9" t="n"/>
      <c r="I496" s="16" t="n"/>
      <c r="J496" s="9" t="n"/>
      <c r="K496" s="9" t="n"/>
      <c r="L496" s="9" t="n"/>
      <c r="M496" s="9" t="n"/>
      <c r="N496" s="9" t="n"/>
      <c r="O496" s="9" t="n"/>
    </row>
    <row r="497">
      <c r="A497" s="24" t="n">
        <v>46334</v>
      </c>
      <c r="B497" s="25" t="inlineStr">
        <is>
          <t>Sunday</t>
        </is>
      </c>
      <c r="C497" s="25" t="inlineStr">
        <is>
          <t>NOV</t>
        </is>
      </c>
      <c r="D497" s="25" t="n">
        <v>45</v>
      </c>
      <c r="E497" s="25" t="n"/>
      <c r="F497" s="25" t="n"/>
      <c r="G497" s="24" t="n"/>
      <c r="H497" s="25" t="n"/>
      <c r="I497" s="24" t="n"/>
      <c r="J497" s="25" t="n"/>
      <c r="K497" s="25" t="n"/>
      <c r="L497" s="25" t="n"/>
      <c r="M497" s="25" t="n"/>
      <c r="N497" s="25" t="n"/>
      <c r="O497" s="25" t="n"/>
    </row>
    <row r="498">
      <c r="A498" s="16" t="n">
        <v>46334</v>
      </c>
      <c r="B498" s="9" t="inlineStr">
        <is>
          <t>Sunday</t>
        </is>
      </c>
      <c r="C498" s="9" t="inlineStr">
        <is>
          <t>NOV</t>
        </is>
      </c>
      <c r="D498" s="9" t="n">
        <v>45</v>
      </c>
      <c r="E498" s="9" t="n"/>
      <c r="F498" s="9" t="n"/>
      <c r="G498" s="16" t="n"/>
      <c r="H498" s="9" t="n"/>
      <c r="I498" s="16" t="n"/>
      <c r="J498" s="9" t="n"/>
      <c r="K498" s="9" t="n"/>
      <c r="L498" s="9" t="n"/>
      <c r="M498" s="9" t="n"/>
      <c r="N498" s="9" t="n"/>
      <c r="O498" s="9" t="n"/>
    </row>
    <row r="499">
      <c r="A499" s="16" t="n">
        <v>46334</v>
      </c>
      <c r="B499" s="9" t="inlineStr">
        <is>
          <t>Sunday</t>
        </is>
      </c>
      <c r="C499" s="9" t="inlineStr">
        <is>
          <t>NOV</t>
        </is>
      </c>
      <c r="D499" s="9" t="n">
        <v>45</v>
      </c>
      <c r="E499" s="9" t="n"/>
      <c r="F499" s="9" t="n"/>
      <c r="G499" s="16" t="n"/>
      <c r="H499" s="9" t="n"/>
      <c r="I499" s="16" t="n"/>
      <c r="J499" s="9" t="n"/>
      <c r="K499" s="9" t="n"/>
      <c r="L499" s="9" t="n"/>
      <c r="M499" s="9" t="n"/>
      <c r="N499" s="9" t="n"/>
      <c r="O499" s="9" t="n"/>
    </row>
    <row r="500">
      <c r="A500" s="16" t="n">
        <v>46334</v>
      </c>
      <c r="B500" s="9" t="inlineStr">
        <is>
          <t>Sunday</t>
        </is>
      </c>
      <c r="C500" s="9" t="inlineStr">
        <is>
          <t>NOV</t>
        </is>
      </c>
      <c r="D500" s="9" t="n">
        <v>45</v>
      </c>
      <c r="E500" s="9" t="n"/>
      <c r="F500" s="9" t="n"/>
      <c r="G500" s="16" t="n"/>
      <c r="H500" s="9" t="n"/>
      <c r="I500" s="16" t="n"/>
      <c r="J500" s="9" t="n"/>
      <c r="K500" s="9" t="n"/>
      <c r="L500" s="9" t="n"/>
      <c r="M500" s="9" t="n"/>
      <c r="N500" s="9" t="n"/>
      <c r="O500" s="9" t="n"/>
    </row>
    <row r="501">
      <c r="A501" s="16" t="n">
        <v>46334</v>
      </c>
      <c r="B501" s="9" t="inlineStr">
        <is>
          <t>Sunday</t>
        </is>
      </c>
      <c r="C501" s="9" t="inlineStr">
        <is>
          <t>NOV</t>
        </is>
      </c>
      <c r="D501" s="9" t="n">
        <v>45</v>
      </c>
      <c r="E501" s="9" t="n"/>
      <c r="F501" s="9" t="n"/>
      <c r="G501" s="16" t="n"/>
      <c r="H501" s="9" t="n"/>
      <c r="I501" s="16" t="n"/>
      <c r="J501" s="9" t="n"/>
      <c r="K501" s="9" t="n"/>
      <c r="L501" s="9" t="n"/>
      <c r="M501" s="9" t="n"/>
      <c r="N501" s="9" t="n"/>
      <c r="O501" s="9" t="n"/>
    </row>
    <row r="502">
      <c r="A502" s="24" t="n">
        <v>46335</v>
      </c>
      <c r="B502" s="25" t="inlineStr">
        <is>
          <t>Monday</t>
        </is>
      </c>
      <c r="C502" s="25" t="inlineStr">
        <is>
          <t>NOV</t>
        </is>
      </c>
      <c r="D502" s="25" t="n">
        <v>45</v>
      </c>
      <c r="E502" s="25" t="n"/>
      <c r="F502" s="25" t="n"/>
      <c r="G502" s="24" t="n"/>
      <c r="H502" s="25" t="n"/>
      <c r="I502" s="24" t="n"/>
      <c r="J502" s="25" t="n"/>
      <c r="K502" s="25" t="n"/>
      <c r="L502" s="25" t="n"/>
      <c r="M502" s="25" t="n"/>
      <c r="N502" s="25" t="n"/>
      <c r="O502" s="25" t="n"/>
    </row>
    <row r="503">
      <c r="A503" s="16" t="n">
        <v>46335</v>
      </c>
      <c r="B503" s="9" t="inlineStr">
        <is>
          <t>Monday</t>
        </is>
      </c>
      <c r="C503" s="9" t="inlineStr">
        <is>
          <t>NOV</t>
        </is>
      </c>
      <c r="D503" s="9" t="n">
        <v>45</v>
      </c>
      <c r="E503" s="9" t="n"/>
      <c r="F503" s="9" t="n"/>
      <c r="G503" s="16" t="n"/>
      <c r="H503" s="9" t="n"/>
      <c r="I503" s="16" t="n"/>
      <c r="J503" s="9" t="n"/>
      <c r="K503" s="9" t="n"/>
      <c r="L503" s="9" t="n"/>
      <c r="M503" s="9" t="n"/>
      <c r="N503" s="9" t="n"/>
      <c r="O503" s="9" t="n"/>
    </row>
    <row r="504">
      <c r="A504" s="16" t="n">
        <v>46335</v>
      </c>
      <c r="B504" s="9" t="inlineStr">
        <is>
          <t>Monday</t>
        </is>
      </c>
      <c r="C504" s="9" t="inlineStr">
        <is>
          <t>NOV</t>
        </is>
      </c>
      <c r="D504" s="9" t="n">
        <v>45</v>
      </c>
      <c r="E504" s="9" t="n"/>
      <c r="F504" s="9" t="n"/>
      <c r="G504" s="16" t="n"/>
      <c r="H504" s="9" t="n"/>
      <c r="I504" s="16" t="n"/>
      <c r="J504" s="9" t="n"/>
      <c r="K504" s="9" t="n"/>
      <c r="L504" s="9" t="n"/>
      <c r="M504" s="9" t="n"/>
      <c r="N504" s="9" t="n"/>
      <c r="O504" s="9" t="n"/>
    </row>
    <row r="505">
      <c r="A505" s="16" t="n">
        <v>46335</v>
      </c>
      <c r="B505" s="9" t="inlineStr">
        <is>
          <t>Monday</t>
        </is>
      </c>
      <c r="C505" s="9" t="inlineStr">
        <is>
          <t>NOV</t>
        </is>
      </c>
      <c r="D505" s="9" t="n">
        <v>45</v>
      </c>
      <c r="E505" s="9" t="n"/>
      <c r="F505" s="9" t="n"/>
      <c r="G505" s="16" t="n"/>
      <c r="H505" s="9" t="n"/>
      <c r="I505" s="16" t="n"/>
      <c r="J505" s="9" t="n"/>
      <c r="K505" s="9" t="n"/>
      <c r="L505" s="9" t="n"/>
      <c r="M505" s="9" t="n"/>
      <c r="N505" s="9" t="n"/>
      <c r="O505" s="9" t="n"/>
    </row>
    <row r="506">
      <c r="A506" s="16" t="n">
        <v>46335</v>
      </c>
      <c r="B506" s="9" t="inlineStr">
        <is>
          <t>Monday</t>
        </is>
      </c>
      <c r="C506" s="9" t="inlineStr">
        <is>
          <t>NOV</t>
        </is>
      </c>
      <c r="D506" s="9" t="n">
        <v>45</v>
      </c>
      <c r="E506" s="9" t="n"/>
      <c r="F506" s="9" t="n"/>
      <c r="G506" s="16" t="n"/>
      <c r="H506" s="9" t="n"/>
      <c r="I506" s="16" t="n"/>
      <c r="J506" s="9" t="n"/>
      <c r="K506" s="9" t="n"/>
      <c r="L506" s="9" t="n"/>
      <c r="M506" s="9" t="n"/>
      <c r="N506" s="9" t="n"/>
      <c r="O506" s="9" t="n"/>
    </row>
    <row r="507">
      <c r="A507" s="24" t="n">
        <v>46336</v>
      </c>
      <c r="B507" s="25" t="inlineStr">
        <is>
          <t>Tuesday</t>
        </is>
      </c>
      <c r="C507" s="25" t="inlineStr">
        <is>
          <t>NOV</t>
        </is>
      </c>
      <c r="D507" s="25" t="n">
        <v>45</v>
      </c>
      <c r="E507" s="25" t="n"/>
      <c r="F507" s="25" t="n"/>
      <c r="G507" s="24" t="n"/>
      <c r="H507" s="25" t="n"/>
      <c r="I507" s="24" t="n"/>
      <c r="J507" s="25" t="n"/>
      <c r="K507" s="25" t="n"/>
      <c r="L507" s="25" t="n"/>
      <c r="M507" s="25" t="n"/>
      <c r="N507" s="25" t="n"/>
      <c r="O507" s="25" t="n"/>
    </row>
    <row r="508">
      <c r="A508" s="16" t="n">
        <v>46336</v>
      </c>
      <c r="B508" s="9" t="inlineStr">
        <is>
          <t>Tuesday</t>
        </is>
      </c>
      <c r="C508" s="9" t="inlineStr">
        <is>
          <t>NOV</t>
        </is>
      </c>
      <c r="D508" s="9" t="n">
        <v>45</v>
      </c>
      <c r="E508" s="9" t="n"/>
      <c r="F508" s="9" t="n"/>
      <c r="G508" s="16" t="n"/>
      <c r="H508" s="9" t="n"/>
      <c r="I508" s="16" t="n"/>
      <c r="J508" s="9" t="n"/>
      <c r="K508" s="9" t="n"/>
      <c r="L508" s="9" t="n"/>
      <c r="M508" s="9" t="n"/>
      <c r="N508" s="9" t="n"/>
      <c r="O508" s="9" t="n"/>
    </row>
    <row r="509">
      <c r="A509" s="16" t="n">
        <v>46336</v>
      </c>
      <c r="B509" s="9" t="inlineStr">
        <is>
          <t>Tuesday</t>
        </is>
      </c>
      <c r="C509" s="9" t="inlineStr">
        <is>
          <t>NOV</t>
        </is>
      </c>
      <c r="D509" s="9" t="n">
        <v>45</v>
      </c>
      <c r="E509" s="9" t="n"/>
      <c r="F509" s="9" t="n"/>
      <c r="G509" s="16" t="n"/>
      <c r="H509" s="9" t="n"/>
      <c r="I509" s="16" t="n"/>
      <c r="J509" s="9" t="n"/>
      <c r="K509" s="9" t="n"/>
      <c r="L509" s="9" t="n"/>
      <c r="M509" s="9" t="n"/>
      <c r="N509" s="9" t="n"/>
      <c r="O509" s="9" t="n"/>
    </row>
    <row r="510">
      <c r="A510" s="16" t="n">
        <v>46336</v>
      </c>
      <c r="B510" s="9" t="inlineStr">
        <is>
          <t>Tuesday</t>
        </is>
      </c>
      <c r="C510" s="9" t="inlineStr">
        <is>
          <t>NOV</t>
        </is>
      </c>
      <c r="D510" s="9" t="n">
        <v>45</v>
      </c>
      <c r="E510" s="9" t="n"/>
      <c r="F510" s="9" t="n"/>
      <c r="G510" s="16" t="n"/>
      <c r="H510" s="9" t="n"/>
      <c r="I510" s="16" t="n"/>
      <c r="J510" s="9" t="n"/>
      <c r="K510" s="9" t="n"/>
      <c r="L510" s="9" t="n"/>
      <c r="M510" s="9" t="n"/>
      <c r="N510" s="9" t="n"/>
      <c r="O510" s="9" t="n"/>
    </row>
    <row r="511">
      <c r="A511" s="16" t="n">
        <v>46336</v>
      </c>
      <c r="B511" s="9" t="inlineStr">
        <is>
          <t>Tuesday</t>
        </is>
      </c>
      <c r="C511" s="9" t="inlineStr">
        <is>
          <t>NOV</t>
        </is>
      </c>
      <c r="D511" s="9" t="n">
        <v>45</v>
      </c>
      <c r="E511" s="9" t="n"/>
      <c r="F511" s="9" t="n"/>
      <c r="G511" s="16" t="n"/>
      <c r="H511" s="9" t="n"/>
      <c r="I511" s="16" t="n"/>
      <c r="J511" s="9" t="n"/>
      <c r="K511" s="9" t="n"/>
      <c r="L511" s="9" t="n"/>
      <c r="M511" s="9" t="n"/>
      <c r="N511" s="9" t="n"/>
      <c r="O511" s="9" t="n"/>
    </row>
    <row r="512">
      <c r="A512" s="24" t="n">
        <v>46337</v>
      </c>
      <c r="B512" s="25" t="inlineStr">
        <is>
          <t>Wednesday</t>
        </is>
      </c>
      <c r="C512" s="25" t="inlineStr">
        <is>
          <t>NOV</t>
        </is>
      </c>
      <c r="D512" s="25" t="n">
        <v>45</v>
      </c>
      <c r="E512" s="25" t="n"/>
      <c r="F512" s="25" t="n"/>
      <c r="G512" s="24" t="n"/>
      <c r="H512" s="25" t="n"/>
      <c r="I512" s="24" t="n"/>
      <c r="J512" s="25" t="n"/>
      <c r="K512" s="25" t="n"/>
      <c r="L512" s="25" t="n"/>
      <c r="M512" s="25" t="n"/>
      <c r="N512" s="25" t="n"/>
      <c r="O512" s="25" t="n"/>
    </row>
    <row r="513">
      <c r="A513" s="16" t="n">
        <v>46337</v>
      </c>
      <c r="B513" s="9" t="inlineStr">
        <is>
          <t>Wednesday</t>
        </is>
      </c>
      <c r="C513" s="9" t="inlineStr">
        <is>
          <t>NOV</t>
        </is>
      </c>
      <c r="D513" s="9" t="n">
        <v>45</v>
      </c>
      <c r="E513" s="9" t="n"/>
      <c r="F513" s="9" t="n"/>
      <c r="G513" s="16" t="n"/>
      <c r="H513" s="9" t="n"/>
      <c r="I513" s="16" t="n"/>
      <c r="J513" s="9" t="n"/>
      <c r="K513" s="9" t="n"/>
      <c r="L513" s="9" t="n"/>
      <c r="M513" s="9" t="n"/>
      <c r="N513" s="9" t="n"/>
      <c r="O513" s="9" t="n"/>
    </row>
    <row r="514">
      <c r="A514" s="16" t="n">
        <v>46337</v>
      </c>
      <c r="B514" s="9" t="inlineStr">
        <is>
          <t>Wednesday</t>
        </is>
      </c>
      <c r="C514" s="9" t="inlineStr">
        <is>
          <t>NOV</t>
        </is>
      </c>
      <c r="D514" s="9" t="n">
        <v>45</v>
      </c>
      <c r="E514" s="9" t="n"/>
      <c r="F514" s="9" t="n"/>
      <c r="G514" s="16" t="n"/>
      <c r="H514" s="9" t="n"/>
      <c r="I514" s="16" t="n"/>
      <c r="J514" s="9" t="n"/>
      <c r="K514" s="9" t="n"/>
      <c r="L514" s="9" t="n"/>
      <c r="M514" s="9" t="n"/>
      <c r="N514" s="9" t="n"/>
      <c r="O514" s="9" t="n"/>
    </row>
    <row r="515">
      <c r="A515" s="16" t="n">
        <v>46337</v>
      </c>
      <c r="B515" s="9" t="inlineStr">
        <is>
          <t>Wednesday</t>
        </is>
      </c>
      <c r="C515" s="9" t="inlineStr">
        <is>
          <t>NOV</t>
        </is>
      </c>
      <c r="D515" s="9" t="n">
        <v>45</v>
      </c>
      <c r="E515" s="9" t="n"/>
      <c r="F515" s="9" t="n"/>
      <c r="G515" s="16" t="n"/>
      <c r="H515" s="9" t="n"/>
      <c r="I515" s="16" t="n"/>
      <c r="J515" s="9" t="n"/>
      <c r="K515" s="9" t="n"/>
      <c r="L515" s="9" t="n"/>
      <c r="M515" s="9" t="n"/>
      <c r="N515" s="9" t="n"/>
      <c r="O515" s="9" t="n"/>
    </row>
    <row r="516">
      <c r="A516" s="16" t="n">
        <v>46337</v>
      </c>
      <c r="B516" s="9" t="inlineStr">
        <is>
          <t>Wednesday</t>
        </is>
      </c>
      <c r="C516" s="9" t="inlineStr">
        <is>
          <t>NOV</t>
        </is>
      </c>
      <c r="D516" s="9" t="n">
        <v>45</v>
      </c>
      <c r="E516" s="9" t="n"/>
      <c r="F516" s="9" t="n"/>
      <c r="G516" s="16" t="n"/>
      <c r="H516" s="9" t="n"/>
      <c r="I516" s="16" t="n"/>
      <c r="J516" s="9" t="n"/>
      <c r="K516" s="9" t="n"/>
      <c r="L516" s="9" t="n"/>
      <c r="M516" s="9" t="n"/>
      <c r="N516" s="9" t="n"/>
      <c r="O516" s="9" t="n"/>
    </row>
    <row r="517">
      <c r="A517" s="24" t="n">
        <v>46338</v>
      </c>
      <c r="B517" s="25" t="inlineStr">
        <is>
          <t>Thursday</t>
        </is>
      </c>
      <c r="C517" s="25" t="inlineStr">
        <is>
          <t>NOV</t>
        </is>
      </c>
      <c r="D517" s="25" t="n">
        <v>45</v>
      </c>
      <c r="E517" s="25" t="n"/>
      <c r="F517" s="25" t="n"/>
      <c r="G517" s="24" t="n"/>
      <c r="H517" s="25" t="n"/>
      <c r="I517" s="24" t="n"/>
      <c r="J517" s="25" t="n"/>
      <c r="K517" s="25" t="n"/>
      <c r="L517" s="25" t="n"/>
      <c r="M517" s="25" t="n"/>
      <c r="N517" s="25" t="n"/>
      <c r="O517" s="25" t="n"/>
    </row>
    <row r="518">
      <c r="A518" s="16" t="n">
        <v>46338</v>
      </c>
      <c r="B518" s="9" t="inlineStr">
        <is>
          <t>Thursday</t>
        </is>
      </c>
      <c r="C518" s="9" t="inlineStr">
        <is>
          <t>NOV</t>
        </is>
      </c>
      <c r="D518" s="9" t="n">
        <v>45</v>
      </c>
      <c r="E518" s="9" t="n"/>
      <c r="F518" s="9" t="n"/>
      <c r="G518" s="16" t="n"/>
      <c r="H518" s="9" t="n"/>
      <c r="I518" s="16" t="n"/>
      <c r="J518" s="9" t="n"/>
      <c r="K518" s="9" t="n"/>
      <c r="L518" s="9" t="n"/>
      <c r="M518" s="9" t="n"/>
      <c r="N518" s="9" t="n"/>
      <c r="O518" s="9" t="n"/>
    </row>
    <row r="519">
      <c r="A519" s="16" t="n">
        <v>46338</v>
      </c>
      <c r="B519" s="9" t="inlineStr">
        <is>
          <t>Thursday</t>
        </is>
      </c>
      <c r="C519" s="9" t="inlineStr">
        <is>
          <t>NOV</t>
        </is>
      </c>
      <c r="D519" s="9" t="n">
        <v>45</v>
      </c>
      <c r="E519" s="9" t="n"/>
      <c r="F519" s="9" t="n"/>
      <c r="G519" s="16" t="n"/>
      <c r="H519" s="9" t="n"/>
      <c r="I519" s="16" t="n"/>
      <c r="J519" s="9" t="n"/>
      <c r="K519" s="9" t="n"/>
      <c r="L519" s="9" t="n"/>
      <c r="M519" s="9" t="n"/>
      <c r="N519" s="9" t="n"/>
      <c r="O519" s="9" t="n"/>
    </row>
    <row r="520">
      <c r="A520" s="16" t="n">
        <v>46338</v>
      </c>
      <c r="B520" s="9" t="inlineStr">
        <is>
          <t>Thursday</t>
        </is>
      </c>
      <c r="C520" s="9" t="inlineStr">
        <is>
          <t>NOV</t>
        </is>
      </c>
      <c r="D520" s="9" t="n">
        <v>45</v>
      </c>
      <c r="E520" s="9" t="n"/>
      <c r="F520" s="9" t="n"/>
      <c r="G520" s="16" t="n"/>
      <c r="H520" s="9" t="n"/>
      <c r="I520" s="16" t="n"/>
      <c r="J520" s="9" t="n"/>
      <c r="K520" s="9" t="n"/>
      <c r="L520" s="9" t="n"/>
      <c r="M520" s="9" t="n"/>
      <c r="N520" s="9" t="n"/>
      <c r="O520" s="9" t="n"/>
    </row>
    <row r="521">
      <c r="A521" s="16" t="n">
        <v>46338</v>
      </c>
      <c r="B521" s="9" t="inlineStr">
        <is>
          <t>Thursday</t>
        </is>
      </c>
      <c r="C521" s="9" t="inlineStr">
        <is>
          <t>NOV</t>
        </is>
      </c>
      <c r="D521" s="9" t="n">
        <v>45</v>
      </c>
      <c r="E521" s="9" t="n"/>
      <c r="F521" s="9" t="n"/>
      <c r="G521" s="16" t="n"/>
      <c r="H521" s="9" t="n"/>
      <c r="I521" s="16" t="n"/>
      <c r="J521" s="9" t="n"/>
      <c r="K521" s="9" t="n"/>
      <c r="L521" s="9" t="n"/>
      <c r="M521" s="9" t="n"/>
      <c r="N521" s="9" t="n"/>
      <c r="O521" s="9" t="n"/>
    </row>
    <row r="522">
      <c r="A522" s="24" t="n">
        <v>46339</v>
      </c>
      <c r="B522" s="25" t="inlineStr">
        <is>
          <t>Friday</t>
        </is>
      </c>
      <c r="C522" s="25" t="inlineStr">
        <is>
          <t>NOV</t>
        </is>
      </c>
      <c r="D522" s="25" t="n">
        <v>46</v>
      </c>
      <c r="E522" s="25" t="n"/>
      <c r="F522" s="25" t="n"/>
      <c r="G522" s="24" t="n"/>
      <c r="H522" s="25" t="n"/>
      <c r="I522" s="24" t="n"/>
      <c r="J522" s="25" t="n"/>
      <c r="K522" s="25" t="n"/>
      <c r="L522" s="25" t="n"/>
      <c r="M522" s="25" t="n"/>
      <c r="N522" s="25" t="n"/>
      <c r="O522" s="25" t="n"/>
    </row>
    <row r="523">
      <c r="A523" s="16" t="n">
        <v>46339</v>
      </c>
      <c r="B523" s="9" t="inlineStr">
        <is>
          <t>Friday</t>
        </is>
      </c>
      <c r="C523" s="9" t="inlineStr">
        <is>
          <t>NOV</t>
        </is>
      </c>
      <c r="D523" s="9" t="n">
        <v>46</v>
      </c>
      <c r="E523" s="9" t="n"/>
      <c r="F523" s="9" t="n"/>
      <c r="G523" s="16" t="n"/>
      <c r="H523" s="9" t="n"/>
      <c r="I523" s="16" t="n"/>
      <c r="J523" s="9" t="n"/>
      <c r="K523" s="9" t="n"/>
      <c r="L523" s="9" t="n"/>
      <c r="M523" s="9" t="n"/>
      <c r="N523" s="9" t="n"/>
      <c r="O523" s="9" t="n"/>
    </row>
    <row r="524">
      <c r="A524" s="16" t="n">
        <v>46339</v>
      </c>
      <c r="B524" s="9" t="inlineStr">
        <is>
          <t>Friday</t>
        </is>
      </c>
      <c r="C524" s="9" t="inlineStr">
        <is>
          <t>NOV</t>
        </is>
      </c>
      <c r="D524" s="9" t="n">
        <v>46</v>
      </c>
      <c r="E524" s="9" t="n"/>
      <c r="F524" s="9" t="n"/>
      <c r="G524" s="16" t="n"/>
      <c r="H524" s="9" t="n"/>
      <c r="I524" s="16" t="n"/>
      <c r="J524" s="9" t="n"/>
      <c r="K524" s="9" t="n"/>
      <c r="L524" s="9" t="n"/>
      <c r="M524" s="9" t="n"/>
      <c r="N524" s="9" t="n"/>
      <c r="O524" s="9" t="n"/>
    </row>
    <row r="525">
      <c r="A525" s="16" t="n">
        <v>46339</v>
      </c>
      <c r="B525" s="9" t="inlineStr">
        <is>
          <t>Friday</t>
        </is>
      </c>
      <c r="C525" s="9" t="inlineStr">
        <is>
          <t>NOV</t>
        </is>
      </c>
      <c r="D525" s="9" t="n">
        <v>46</v>
      </c>
      <c r="E525" s="9" t="n"/>
      <c r="F525" s="9" t="n"/>
      <c r="G525" s="16" t="n"/>
      <c r="H525" s="9" t="n"/>
      <c r="I525" s="16" t="n"/>
      <c r="J525" s="9" t="n"/>
      <c r="K525" s="9" t="n"/>
      <c r="L525" s="9" t="n"/>
      <c r="M525" s="9" t="n"/>
      <c r="N525" s="9" t="n"/>
      <c r="O525" s="9" t="n"/>
    </row>
    <row r="526">
      <c r="A526" s="16" t="n">
        <v>46339</v>
      </c>
      <c r="B526" s="9" t="inlineStr">
        <is>
          <t>Friday</t>
        </is>
      </c>
      <c r="C526" s="9" t="inlineStr">
        <is>
          <t>NOV</t>
        </is>
      </c>
      <c r="D526" s="9" t="n">
        <v>46</v>
      </c>
      <c r="E526" s="9" t="n"/>
      <c r="F526" s="9" t="n"/>
      <c r="G526" s="16" t="n"/>
      <c r="H526" s="9" t="n"/>
      <c r="I526" s="16" t="n"/>
      <c r="J526" s="9" t="n"/>
      <c r="K526" s="9" t="n"/>
      <c r="L526" s="9" t="n"/>
      <c r="M526" s="9" t="n"/>
      <c r="N526" s="9" t="n"/>
      <c r="O526" s="9" t="n"/>
    </row>
    <row r="527">
      <c r="A527" s="24" t="n">
        <v>46340</v>
      </c>
      <c r="B527" s="25" t="inlineStr">
        <is>
          <t>Saturday</t>
        </is>
      </c>
      <c r="C527" s="25" t="inlineStr">
        <is>
          <t>NOV</t>
        </is>
      </c>
      <c r="D527" s="25" t="n">
        <v>46</v>
      </c>
      <c r="E527" s="25" t="n"/>
      <c r="F527" s="25" t="n"/>
      <c r="G527" s="24" t="n"/>
      <c r="H527" s="25" t="n"/>
      <c r="I527" s="24" t="n"/>
      <c r="J527" s="25" t="n"/>
      <c r="K527" s="25" t="n"/>
      <c r="L527" s="25" t="n"/>
      <c r="M527" s="25" t="n"/>
      <c r="N527" s="25" t="n"/>
      <c r="O527" s="25" t="n"/>
    </row>
    <row r="528">
      <c r="A528" s="16" t="n">
        <v>46340</v>
      </c>
      <c r="B528" s="9" t="inlineStr">
        <is>
          <t>Saturday</t>
        </is>
      </c>
      <c r="C528" s="9" t="inlineStr">
        <is>
          <t>NOV</t>
        </is>
      </c>
      <c r="D528" s="9" t="n">
        <v>46</v>
      </c>
      <c r="E528" s="9" t="n"/>
      <c r="F528" s="9" t="n"/>
      <c r="G528" s="16" t="n"/>
      <c r="H528" s="9" t="n"/>
      <c r="I528" s="16" t="n"/>
      <c r="J528" s="9" t="n"/>
      <c r="K528" s="9" t="n"/>
      <c r="L528" s="9" t="n"/>
      <c r="M528" s="9" t="n"/>
      <c r="N528" s="9" t="n"/>
      <c r="O528" s="9" t="n"/>
    </row>
    <row r="529">
      <c r="A529" s="16" t="n">
        <v>46340</v>
      </c>
      <c r="B529" s="9" t="inlineStr">
        <is>
          <t>Saturday</t>
        </is>
      </c>
      <c r="C529" s="9" t="inlineStr">
        <is>
          <t>NOV</t>
        </is>
      </c>
      <c r="D529" s="9" t="n">
        <v>46</v>
      </c>
      <c r="E529" s="9" t="n"/>
      <c r="F529" s="9" t="n"/>
      <c r="G529" s="16" t="n"/>
      <c r="H529" s="9" t="n"/>
      <c r="I529" s="16" t="n"/>
      <c r="J529" s="9" t="n"/>
      <c r="K529" s="9" t="n"/>
      <c r="L529" s="9" t="n"/>
      <c r="M529" s="9" t="n"/>
      <c r="N529" s="9" t="n"/>
      <c r="O529" s="9" t="n"/>
    </row>
    <row r="530">
      <c r="A530" s="16" t="n">
        <v>46340</v>
      </c>
      <c r="B530" s="9" t="inlineStr">
        <is>
          <t>Saturday</t>
        </is>
      </c>
      <c r="C530" s="9" t="inlineStr">
        <is>
          <t>NOV</t>
        </is>
      </c>
      <c r="D530" s="9" t="n">
        <v>46</v>
      </c>
      <c r="E530" s="9" t="n"/>
      <c r="F530" s="9" t="n"/>
      <c r="G530" s="16" t="n"/>
      <c r="H530" s="9" t="n"/>
      <c r="I530" s="16" t="n"/>
      <c r="J530" s="9" t="n"/>
      <c r="K530" s="9" t="n"/>
      <c r="L530" s="9" t="n"/>
      <c r="M530" s="9" t="n"/>
      <c r="N530" s="9" t="n"/>
      <c r="O530" s="9" t="n"/>
    </row>
    <row r="531">
      <c r="A531" s="16" t="n">
        <v>46340</v>
      </c>
      <c r="B531" s="9" t="inlineStr">
        <is>
          <t>Saturday</t>
        </is>
      </c>
      <c r="C531" s="9" t="inlineStr">
        <is>
          <t>NOV</t>
        </is>
      </c>
      <c r="D531" s="9" t="n">
        <v>46</v>
      </c>
      <c r="E531" s="9" t="n"/>
      <c r="F531" s="9" t="n"/>
      <c r="G531" s="16" t="n"/>
      <c r="H531" s="9" t="n"/>
      <c r="I531" s="16" t="n"/>
      <c r="J531" s="9" t="n"/>
      <c r="K531" s="9" t="n"/>
      <c r="L531" s="9" t="n"/>
      <c r="M531" s="9" t="n"/>
      <c r="N531" s="9" t="n"/>
      <c r="O531" s="9" t="n"/>
    </row>
    <row r="532">
      <c r="A532" s="24" t="n">
        <v>46341</v>
      </c>
      <c r="B532" s="25" t="inlineStr">
        <is>
          <t>Sunday</t>
        </is>
      </c>
      <c r="C532" s="25" t="inlineStr">
        <is>
          <t>NOV</t>
        </is>
      </c>
      <c r="D532" s="25" t="n">
        <v>46</v>
      </c>
      <c r="E532" s="25" t="n"/>
      <c r="F532" s="25" t="n"/>
      <c r="G532" s="24" t="n"/>
      <c r="H532" s="25" t="n"/>
      <c r="I532" s="24" t="n"/>
      <c r="J532" s="25" t="n"/>
      <c r="K532" s="25" t="n"/>
      <c r="L532" s="25" t="n"/>
      <c r="M532" s="25" t="n"/>
      <c r="N532" s="25" t="n"/>
      <c r="O532" s="25" t="n"/>
    </row>
    <row r="533">
      <c r="A533" s="16" t="n">
        <v>46341</v>
      </c>
      <c r="B533" s="9" t="inlineStr">
        <is>
          <t>Sunday</t>
        </is>
      </c>
      <c r="C533" s="9" t="inlineStr">
        <is>
          <t>NOV</t>
        </is>
      </c>
      <c r="D533" s="9" t="n">
        <v>46</v>
      </c>
      <c r="E533" s="9" t="n"/>
      <c r="F533" s="9" t="n"/>
      <c r="G533" s="16" t="n"/>
      <c r="H533" s="9" t="n"/>
      <c r="I533" s="16" t="n"/>
      <c r="J533" s="9" t="n"/>
      <c r="K533" s="9" t="n"/>
      <c r="L533" s="9" t="n"/>
      <c r="M533" s="9" t="n"/>
      <c r="N533" s="9" t="n"/>
      <c r="O533" s="9" t="n"/>
    </row>
    <row r="534">
      <c r="A534" s="16" t="n">
        <v>46341</v>
      </c>
      <c r="B534" s="9" t="inlineStr">
        <is>
          <t>Sunday</t>
        </is>
      </c>
      <c r="C534" s="9" t="inlineStr">
        <is>
          <t>NOV</t>
        </is>
      </c>
      <c r="D534" s="9" t="n">
        <v>46</v>
      </c>
      <c r="E534" s="9" t="n"/>
      <c r="F534" s="9" t="n"/>
      <c r="G534" s="16" t="n"/>
      <c r="H534" s="9" t="n"/>
      <c r="I534" s="16" t="n"/>
      <c r="J534" s="9" t="n"/>
      <c r="K534" s="9" t="n"/>
      <c r="L534" s="9" t="n"/>
      <c r="M534" s="9" t="n"/>
      <c r="N534" s="9" t="n"/>
      <c r="O534" s="9" t="n"/>
    </row>
    <row r="535">
      <c r="A535" s="16" t="n">
        <v>46341</v>
      </c>
      <c r="B535" s="9" t="inlineStr">
        <is>
          <t>Sunday</t>
        </is>
      </c>
      <c r="C535" s="9" t="inlineStr">
        <is>
          <t>NOV</t>
        </is>
      </c>
      <c r="D535" s="9" t="n">
        <v>46</v>
      </c>
      <c r="E535" s="9" t="n"/>
      <c r="F535" s="9" t="n"/>
      <c r="G535" s="16" t="n"/>
      <c r="H535" s="9" t="n"/>
      <c r="I535" s="16" t="n"/>
      <c r="J535" s="9" t="n"/>
      <c r="K535" s="9" t="n"/>
      <c r="L535" s="9" t="n"/>
      <c r="M535" s="9" t="n"/>
      <c r="N535" s="9" t="n"/>
      <c r="O535" s="9" t="n"/>
    </row>
    <row r="536">
      <c r="A536" s="16" t="n">
        <v>46341</v>
      </c>
      <c r="B536" s="9" t="inlineStr">
        <is>
          <t>Sunday</t>
        </is>
      </c>
      <c r="C536" s="9" t="inlineStr">
        <is>
          <t>NOV</t>
        </is>
      </c>
      <c r="D536" s="9" t="n">
        <v>46</v>
      </c>
      <c r="E536" s="9" t="n"/>
      <c r="F536" s="9" t="n"/>
      <c r="G536" s="16" t="n"/>
      <c r="H536" s="9" t="n"/>
      <c r="I536" s="16" t="n"/>
      <c r="J536" s="9" t="n"/>
      <c r="K536" s="9" t="n"/>
      <c r="L536" s="9" t="n"/>
      <c r="M536" s="9" t="n"/>
      <c r="N536" s="9" t="n"/>
      <c r="O536" s="9" t="n"/>
    </row>
    <row r="537">
      <c r="A537" s="24" t="n">
        <v>46342</v>
      </c>
      <c r="B537" s="25" t="inlineStr">
        <is>
          <t>Monday</t>
        </is>
      </c>
      <c r="C537" s="25" t="inlineStr">
        <is>
          <t>NOV</t>
        </is>
      </c>
      <c r="D537" s="25" t="n">
        <v>46</v>
      </c>
      <c r="E537" s="25" t="n"/>
      <c r="F537" s="25" t="n"/>
      <c r="G537" s="24" t="n"/>
      <c r="H537" s="25" t="n"/>
      <c r="I537" s="24" t="n"/>
      <c r="J537" s="25" t="n"/>
      <c r="K537" s="25" t="n"/>
      <c r="L537" s="25" t="n"/>
      <c r="M537" s="25" t="n"/>
      <c r="N537" s="25" t="n"/>
      <c r="O537" s="25" t="n"/>
    </row>
    <row r="538">
      <c r="A538" s="16" t="n">
        <v>46342</v>
      </c>
      <c r="B538" s="9" t="inlineStr">
        <is>
          <t>Monday</t>
        </is>
      </c>
      <c r="C538" s="9" t="inlineStr">
        <is>
          <t>NOV</t>
        </is>
      </c>
      <c r="D538" s="9" t="n">
        <v>46</v>
      </c>
      <c r="E538" s="9" t="n"/>
      <c r="F538" s="9" t="n"/>
      <c r="G538" s="16" t="n"/>
      <c r="H538" s="9" t="n"/>
      <c r="I538" s="16" t="n"/>
      <c r="J538" s="9" t="n"/>
      <c r="K538" s="9" t="n"/>
      <c r="L538" s="9" t="n"/>
      <c r="M538" s="9" t="n"/>
      <c r="N538" s="9" t="n"/>
      <c r="O538" s="9" t="n"/>
    </row>
    <row r="539">
      <c r="A539" s="16" t="n">
        <v>46342</v>
      </c>
      <c r="B539" s="9" t="inlineStr">
        <is>
          <t>Monday</t>
        </is>
      </c>
      <c r="C539" s="9" t="inlineStr">
        <is>
          <t>NOV</t>
        </is>
      </c>
      <c r="D539" s="9" t="n">
        <v>46</v>
      </c>
      <c r="E539" s="9" t="n"/>
      <c r="F539" s="9" t="n"/>
      <c r="G539" s="16" t="n"/>
      <c r="H539" s="9" t="n"/>
      <c r="I539" s="16" t="n"/>
      <c r="J539" s="9" t="n"/>
      <c r="K539" s="9" t="n"/>
      <c r="L539" s="9" t="n"/>
      <c r="M539" s="9" t="n"/>
      <c r="N539" s="9" t="n"/>
      <c r="O539" s="9" t="n"/>
    </row>
    <row r="540">
      <c r="A540" s="16" t="n">
        <v>46342</v>
      </c>
      <c r="B540" s="9" t="inlineStr">
        <is>
          <t>Monday</t>
        </is>
      </c>
      <c r="C540" s="9" t="inlineStr">
        <is>
          <t>NOV</t>
        </is>
      </c>
      <c r="D540" s="9" t="n">
        <v>46</v>
      </c>
      <c r="E540" s="9" t="n"/>
      <c r="F540" s="9" t="n"/>
      <c r="G540" s="16" t="n"/>
      <c r="H540" s="9" t="n"/>
      <c r="I540" s="16" t="n"/>
      <c r="J540" s="9" t="n"/>
      <c r="K540" s="9" t="n"/>
      <c r="L540" s="9" t="n"/>
      <c r="M540" s="9" t="n"/>
      <c r="N540" s="9" t="n"/>
      <c r="O540" s="9" t="n"/>
    </row>
    <row r="541">
      <c r="A541" s="16" t="n">
        <v>46342</v>
      </c>
      <c r="B541" s="9" t="inlineStr">
        <is>
          <t>Monday</t>
        </is>
      </c>
      <c r="C541" s="9" t="inlineStr">
        <is>
          <t>NOV</t>
        </is>
      </c>
      <c r="D541" s="9" t="n">
        <v>46</v>
      </c>
      <c r="E541" s="9" t="n"/>
      <c r="F541" s="9" t="n"/>
      <c r="G541" s="16" t="n"/>
      <c r="H541" s="9" t="n"/>
      <c r="I541" s="16" t="n"/>
      <c r="J541" s="9" t="n"/>
      <c r="K541" s="9" t="n"/>
      <c r="L541" s="9" t="n"/>
      <c r="M541" s="9" t="n"/>
      <c r="N541" s="9" t="n"/>
      <c r="O541" s="9" t="n"/>
    </row>
    <row r="542">
      <c r="A542" s="24" t="n">
        <v>46343</v>
      </c>
      <c r="B542" s="25" t="inlineStr">
        <is>
          <t>Tuesday</t>
        </is>
      </c>
      <c r="C542" s="25" t="inlineStr">
        <is>
          <t>NOV</t>
        </is>
      </c>
      <c r="D542" s="25" t="n">
        <v>46</v>
      </c>
      <c r="E542" s="25" t="n"/>
      <c r="F542" s="25" t="n"/>
      <c r="G542" s="24" t="n"/>
      <c r="H542" s="25" t="n"/>
      <c r="I542" s="24" t="n"/>
      <c r="J542" s="25" t="n"/>
      <c r="K542" s="25" t="n"/>
      <c r="L542" s="25" t="n"/>
      <c r="M542" s="25" t="n"/>
      <c r="N542" s="25" t="n"/>
      <c r="O542" s="25" t="n"/>
    </row>
    <row r="543">
      <c r="A543" s="16" t="n">
        <v>46343</v>
      </c>
      <c r="B543" s="9" t="inlineStr">
        <is>
          <t>Tuesday</t>
        </is>
      </c>
      <c r="C543" s="9" t="inlineStr">
        <is>
          <t>NOV</t>
        </is>
      </c>
      <c r="D543" s="9" t="n">
        <v>46</v>
      </c>
      <c r="E543" s="9" t="n"/>
      <c r="F543" s="9" t="n"/>
      <c r="G543" s="16" t="n"/>
      <c r="H543" s="9" t="n"/>
      <c r="I543" s="16" t="n"/>
      <c r="J543" s="9" t="n"/>
      <c r="K543" s="9" t="n"/>
      <c r="L543" s="9" t="n"/>
      <c r="M543" s="9" t="n"/>
      <c r="N543" s="9" t="n"/>
      <c r="O543" s="9" t="n"/>
    </row>
    <row r="544">
      <c r="A544" s="16" t="n">
        <v>46343</v>
      </c>
      <c r="B544" s="9" t="inlineStr">
        <is>
          <t>Tuesday</t>
        </is>
      </c>
      <c r="C544" s="9" t="inlineStr">
        <is>
          <t>NOV</t>
        </is>
      </c>
      <c r="D544" s="9" t="n">
        <v>46</v>
      </c>
      <c r="E544" s="9" t="n"/>
      <c r="F544" s="9" t="n"/>
      <c r="G544" s="16" t="n"/>
      <c r="H544" s="9" t="n"/>
      <c r="I544" s="16" t="n"/>
      <c r="J544" s="9" t="n"/>
      <c r="K544" s="9" t="n"/>
      <c r="L544" s="9" t="n"/>
      <c r="M544" s="9" t="n"/>
      <c r="N544" s="9" t="n"/>
      <c r="O544" s="9" t="n"/>
    </row>
    <row r="545">
      <c r="A545" s="16" t="n">
        <v>46343</v>
      </c>
      <c r="B545" s="9" t="inlineStr">
        <is>
          <t>Tuesday</t>
        </is>
      </c>
      <c r="C545" s="9" t="inlineStr">
        <is>
          <t>NOV</t>
        </is>
      </c>
      <c r="D545" s="9" t="n">
        <v>46</v>
      </c>
      <c r="E545" s="9" t="n"/>
      <c r="F545" s="9" t="n"/>
      <c r="G545" s="16" t="n"/>
      <c r="H545" s="9" t="n"/>
      <c r="I545" s="16" t="n"/>
      <c r="J545" s="9" t="n"/>
      <c r="K545" s="9" t="n"/>
      <c r="L545" s="9" t="n"/>
      <c r="M545" s="9" t="n"/>
      <c r="N545" s="9" t="n"/>
      <c r="O545" s="9" t="n"/>
    </row>
    <row r="546">
      <c r="A546" s="16" t="n">
        <v>46343</v>
      </c>
      <c r="B546" s="9" t="inlineStr">
        <is>
          <t>Tuesday</t>
        </is>
      </c>
      <c r="C546" s="9" t="inlineStr">
        <is>
          <t>NOV</t>
        </is>
      </c>
      <c r="D546" s="9" t="n">
        <v>46</v>
      </c>
      <c r="E546" s="9" t="n"/>
      <c r="F546" s="9" t="n"/>
      <c r="G546" s="16" t="n"/>
      <c r="H546" s="9" t="n"/>
      <c r="I546" s="16" t="n"/>
      <c r="J546" s="9" t="n"/>
      <c r="K546" s="9" t="n"/>
      <c r="L546" s="9" t="n"/>
      <c r="M546" s="9" t="n"/>
      <c r="N546" s="9" t="n"/>
      <c r="O546" s="9" t="n"/>
    </row>
    <row r="547">
      <c r="A547" s="24" t="n">
        <v>46344</v>
      </c>
      <c r="B547" s="25" t="inlineStr">
        <is>
          <t>Wednesday</t>
        </is>
      </c>
      <c r="C547" s="25" t="inlineStr">
        <is>
          <t>NOV</t>
        </is>
      </c>
      <c r="D547" s="25" t="n">
        <v>46</v>
      </c>
      <c r="E547" s="25" t="n"/>
      <c r="F547" s="25" t="n"/>
      <c r="G547" s="24" t="n"/>
      <c r="H547" s="25" t="n"/>
      <c r="I547" s="24" t="n"/>
      <c r="J547" s="25" t="n"/>
      <c r="K547" s="25" t="n"/>
      <c r="L547" s="25" t="n"/>
      <c r="M547" s="25" t="n"/>
      <c r="N547" s="25" t="n"/>
      <c r="O547" s="25" t="n"/>
    </row>
    <row r="548">
      <c r="A548" s="16" t="n">
        <v>46344</v>
      </c>
      <c r="B548" s="9" t="inlineStr">
        <is>
          <t>Wednesday</t>
        </is>
      </c>
      <c r="C548" s="9" t="inlineStr">
        <is>
          <t>NOV</t>
        </is>
      </c>
      <c r="D548" s="9" t="n">
        <v>46</v>
      </c>
      <c r="E548" s="9" t="n"/>
      <c r="F548" s="9" t="n"/>
      <c r="G548" s="16" t="n"/>
      <c r="H548" s="9" t="n"/>
      <c r="I548" s="16" t="n"/>
      <c r="J548" s="9" t="n"/>
      <c r="K548" s="9" t="n"/>
      <c r="L548" s="9" t="n"/>
      <c r="M548" s="9" t="n"/>
      <c r="N548" s="9" t="n"/>
      <c r="O548" s="9" t="n"/>
    </row>
    <row r="549">
      <c r="A549" s="16" t="n">
        <v>46344</v>
      </c>
      <c r="B549" s="9" t="inlineStr">
        <is>
          <t>Wednesday</t>
        </is>
      </c>
      <c r="C549" s="9" t="inlineStr">
        <is>
          <t>NOV</t>
        </is>
      </c>
      <c r="D549" s="9" t="n">
        <v>46</v>
      </c>
      <c r="E549" s="9" t="n"/>
      <c r="F549" s="9" t="n"/>
      <c r="G549" s="16" t="n"/>
      <c r="H549" s="9" t="n"/>
      <c r="I549" s="16" t="n"/>
      <c r="J549" s="9" t="n"/>
      <c r="K549" s="9" t="n"/>
      <c r="L549" s="9" t="n"/>
      <c r="M549" s="9" t="n"/>
      <c r="N549" s="9" t="n"/>
      <c r="O549" s="9" t="n"/>
    </row>
    <row r="550">
      <c r="A550" s="16" t="n">
        <v>46344</v>
      </c>
      <c r="B550" s="9" t="inlineStr">
        <is>
          <t>Wednesday</t>
        </is>
      </c>
      <c r="C550" s="9" t="inlineStr">
        <is>
          <t>NOV</t>
        </is>
      </c>
      <c r="D550" s="9" t="n">
        <v>46</v>
      </c>
      <c r="E550" s="9" t="n"/>
      <c r="F550" s="9" t="n"/>
      <c r="G550" s="16" t="n"/>
      <c r="H550" s="9" t="n"/>
      <c r="I550" s="16" t="n"/>
      <c r="J550" s="9" t="n"/>
      <c r="K550" s="9" t="n"/>
      <c r="L550" s="9" t="n"/>
      <c r="M550" s="9" t="n"/>
      <c r="N550" s="9" t="n"/>
      <c r="O550" s="9" t="n"/>
    </row>
    <row r="551">
      <c r="A551" s="16" t="n">
        <v>46344</v>
      </c>
      <c r="B551" s="9" t="inlineStr">
        <is>
          <t>Wednesday</t>
        </is>
      </c>
      <c r="C551" s="9" t="inlineStr">
        <is>
          <t>NOV</t>
        </is>
      </c>
      <c r="D551" s="9" t="n">
        <v>46</v>
      </c>
      <c r="E551" s="9" t="n"/>
      <c r="F551" s="9" t="n"/>
      <c r="G551" s="16" t="n"/>
      <c r="H551" s="9" t="n"/>
      <c r="I551" s="16" t="n"/>
      <c r="J551" s="9" t="n"/>
      <c r="K551" s="9" t="n"/>
      <c r="L551" s="9" t="n"/>
      <c r="M551" s="9" t="n"/>
      <c r="N551" s="9" t="n"/>
      <c r="O551" s="9" t="n"/>
    </row>
    <row r="552">
      <c r="A552" s="24" t="n">
        <v>46345</v>
      </c>
      <c r="B552" s="25" t="inlineStr">
        <is>
          <t>Thursday</t>
        </is>
      </c>
      <c r="C552" s="25" t="inlineStr">
        <is>
          <t>NOV</t>
        </is>
      </c>
      <c r="D552" s="25" t="n">
        <v>46</v>
      </c>
      <c r="E552" s="25" t="n"/>
      <c r="F552" s="25" t="n"/>
      <c r="G552" s="24" t="n"/>
      <c r="H552" s="25" t="n"/>
      <c r="I552" s="24" t="n"/>
      <c r="J552" s="25" t="n"/>
      <c r="K552" s="25" t="n"/>
      <c r="L552" s="25" t="n"/>
      <c r="M552" s="25" t="n"/>
      <c r="N552" s="25" t="n"/>
      <c r="O552" s="25" t="n"/>
    </row>
    <row r="553">
      <c r="A553" s="16" t="n">
        <v>46345</v>
      </c>
      <c r="B553" s="9" t="inlineStr">
        <is>
          <t>Thursday</t>
        </is>
      </c>
      <c r="C553" s="9" t="inlineStr">
        <is>
          <t>NOV</t>
        </is>
      </c>
      <c r="D553" s="9" t="n">
        <v>46</v>
      </c>
      <c r="E553" s="9" t="n"/>
      <c r="F553" s="9" t="n"/>
      <c r="G553" s="16" t="n"/>
      <c r="H553" s="9" t="n"/>
      <c r="I553" s="16" t="n"/>
      <c r="J553" s="9" t="n"/>
      <c r="K553" s="9" t="n"/>
      <c r="L553" s="9" t="n"/>
      <c r="M553" s="9" t="n"/>
      <c r="N553" s="9" t="n"/>
      <c r="O553" s="9" t="n"/>
    </row>
    <row r="554">
      <c r="A554" s="16" t="n">
        <v>46345</v>
      </c>
      <c r="B554" s="9" t="inlineStr">
        <is>
          <t>Thursday</t>
        </is>
      </c>
      <c r="C554" s="9" t="inlineStr">
        <is>
          <t>NOV</t>
        </is>
      </c>
      <c r="D554" s="9" t="n">
        <v>46</v>
      </c>
      <c r="E554" s="9" t="n"/>
      <c r="F554" s="9" t="n"/>
      <c r="G554" s="16" t="n"/>
      <c r="H554" s="9" t="n"/>
      <c r="I554" s="16" t="n"/>
      <c r="J554" s="9" t="n"/>
      <c r="K554" s="9" t="n"/>
      <c r="L554" s="9" t="n"/>
      <c r="M554" s="9" t="n"/>
      <c r="N554" s="9" t="n"/>
      <c r="O554" s="9" t="n"/>
    </row>
    <row r="555">
      <c r="A555" s="16" t="n">
        <v>46345</v>
      </c>
      <c r="B555" s="9" t="inlineStr">
        <is>
          <t>Thursday</t>
        </is>
      </c>
      <c r="C555" s="9" t="inlineStr">
        <is>
          <t>NOV</t>
        </is>
      </c>
      <c r="D555" s="9" t="n">
        <v>46</v>
      </c>
      <c r="E555" s="9" t="n"/>
      <c r="F555" s="9" t="n"/>
      <c r="G555" s="16" t="n"/>
      <c r="H555" s="9" t="n"/>
      <c r="I555" s="16" t="n"/>
      <c r="J555" s="9" t="n"/>
      <c r="K555" s="9" t="n"/>
      <c r="L555" s="9" t="n"/>
      <c r="M555" s="9" t="n"/>
      <c r="N555" s="9" t="n"/>
      <c r="O555" s="9" t="n"/>
    </row>
    <row r="556">
      <c r="A556" s="16" t="n">
        <v>46345</v>
      </c>
      <c r="B556" s="9" t="inlineStr">
        <is>
          <t>Thursday</t>
        </is>
      </c>
      <c r="C556" s="9" t="inlineStr">
        <is>
          <t>NOV</t>
        </is>
      </c>
      <c r="D556" s="9" t="n">
        <v>46</v>
      </c>
      <c r="E556" s="9" t="n"/>
      <c r="F556" s="9" t="n"/>
      <c r="G556" s="16" t="n"/>
      <c r="H556" s="9" t="n"/>
      <c r="I556" s="16" t="n"/>
      <c r="J556" s="9" t="n"/>
      <c r="K556" s="9" t="n"/>
      <c r="L556" s="9" t="n"/>
      <c r="M556" s="9" t="n"/>
      <c r="N556" s="9" t="n"/>
      <c r="O556" s="9" t="n"/>
    </row>
    <row r="557">
      <c r="A557" s="24" t="n">
        <v>46346</v>
      </c>
      <c r="B557" s="25" t="inlineStr">
        <is>
          <t>Friday</t>
        </is>
      </c>
      <c r="C557" s="25" t="inlineStr">
        <is>
          <t>NOV</t>
        </is>
      </c>
      <c r="D557" s="25" t="n">
        <v>47</v>
      </c>
      <c r="E557" s="25" t="n"/>
      <c r="F557" s="25" t="n"/>
      <c r="G557" s="24" t="n"/>
      <c r="H557" s="25" t="n"/>
      <c r="I557" s="24" t="n"/>
      <c r="J557" s="25" t="n"/>
      <c r="K557" s="25" t="n"/>
      <c r="L557" s="25" t="n"/>
      <c r="M557" s="25" t="n"/>
      <c r="N557" s="25" t="n"/>
      <c r="O557" s="25" t="n"/>
    </row>
    <row r="558">
      <c r="A558" s="16" t="n">
        <v>46346</v>
      </c>
      <c r="B558" s="9" t="inlineStr">
        <is>
          <t>Friday</t>
        </is>
      </c>
      <c r="C558" s="9" t="inlineStr">
        <is>
          <t>NOV</t>
        </is>
      </c>
      <c r="D558" s="9" t="n">
        <v>47</v>
      </c>
      <c r="E558" s="9" t="n"/>
      <c r="F558" s="9" t="n"/>
      <c r="G558" s="16" t="n"/>
      <c r="H558" s="9" t="n"/>
      <c r="I558" s="16" t="n"/>
      <c r="J558" s="9" t="n"/>
      <c r="K558" s="9" t="n"/>
      <c r="L558" s="9" t="n"/>
      <c r="M558" s="9" t="n"/>
      <c r="N558" s="9" t="n"/>
      <c r="O558" s="9" t="n"/>
    </row>
    <row r="559">
      <c r="A559" s="16" t="n">
        <v>46346</v>
      </c>
      <c r="B559" s="9" t="inlineStr">
        <is>
          <t>Friday</t>
        </is>
      </c>
      <c r="C559" s="9" t="inlineStr">
        <is>
          <t>NOV</t>
        </is>
      </c>
      <c r="D559" s="9" t="n">
        <v>47</v>
      </c>
      <c r="E559" s="9" t="n"/>
      <c r="F559" s="9" t="n"/>
      <c r="G559" s="16" t="n"/>
      <c r="H559" s="9" t="n"/>
      <c r="I559" s="16" t="n"/>
      <c r="J559" s="9" t="n"/>
      <c r="K559" s="9" t="n"/>
      <c r="L559" s="9" t="n"/>
      <c r="M559" s="9" t="n"/>
      <c r="N559" s="9" t="n"/>
      <c r="O559" s="9" t="n"/>
    </row>
    <row r="560">
      <c r="A560" s="16" t="n">
        <v>46346</v>
      </c>
      <c r="B560" s="9" t="inlineStr">
        <is>
          <t>Friday</t>
        </is>
      </c>
      <c r="C560" s="9" t="inlineStr">
        <is>
          <t>NOV</t>
        </is>
      </c>
      <c r="D560" s="9" t="n">
        <v>47</v>
      </c>
      <c r="E560" s="9" t="n"/>
      <c r="F560" s="9" t="n"/>
      <c r="G560" s="16" t="n"/>
      <c r="H560" s="9" t="n"/>
      <c r="I560" s="16" t="n"/>
      <c r="J560" s="9" t="n"/>
      <c r="K560" s="9" t="n"/>
      <c r="L560" s="9" t="n"/>
      <c r="M560" s="9" t="n"/>
      <c r="N560" s="9" t="n"/>
      <c r="O560" s="9" t="n"/>
    </row>
    <row r="561">
      <c r="A561" s="16" t="n">
        <v>46346</v>
      </c>
      <c r="B561" s="9" t="inlineStr">
        <is>
          <t>Friday</t>
        </is>
      </c>
      <c r="C561" s="9" t="inlineStr">
        <is>
          <t>NOV</t>
        </is>
      </c>
      <c r="D561" s="9" t="n">
        <v>47</v>
      </c>
      <c r="E561" s="9" t="n"/>
      <c r="F561" s="9" t="n"/>
      <c r="G561" s="16" t="n"/>
      <c r="H561" s="9" t="n"/>
      <c r="I561" s="16" t="n"/>
      <c r="J561" s="9" t="n"/>
      <c r="K561" s="9" t="n"/>
      <c r="L561" s="9" t="n"/>
      <c r="M561" s="9" t="n"/>
      <c r="N561" s="9" t="n"/>
      <c r="O561" s="9" t="n"/>
    </row>
    <row r="562">
      <c r="A562" s="24" t="n">
        <v>46347</v>
      </c>
      <c r="B562" s="25" t="inlineStr">
        <is>
          <t>Saturday</t>
        </is>
      </c>
      <c r="C562" s="25" t="inlineStr">
        <is>
          <t>NOV</t>
        </is>
      </c>
      <c r="D562" s="25" t="n">
        <v>47</v>
      </c>
      <c r="E562" s="25" t="n"/>
      <c r="F562" s="25" t="n"/>
      <c r="G562" s="24" t="n"/>
      <c r="H562" s="25" t="n"/>
      <c r="I562" s="24" t="n"/>
      <c r="J562" s="25" t="n"/>
      <c r="K562" s="25" t="n"/>
      <c r="L562" s="25" t="n"/>
      <c r="M562" s="25" t="n"/>
      <c r="N562" s="25" t="n"/>
      <c r="O562" s="25" t="n"/>
    </row>
    <row r="563">
      <c r="A563" s="16" t="n">
        <v>46347</v>
      </c>
      <c r="B563" s="9" t="inlineStr">
        <is>
          <t>Saturday</t>
        </is>
      </c>
      <c r="C563" s="9" t="inlineStr">
        <is>
          <t>NOV</t>
        </is>
      </c>
      <c r="D563" s="9" t="n">
        <v>47</v>
      </c>
      <c r="E563" s="9" t="n"/>
      <c r="F563" s="9" t="n"/>
      <c r="G563" s="16" t="n"/>
      <c r="H563" s="9" t="n"/>
      <c r="I563" s="16" t="n"/>
      <c r="J563" s="9" t="n"/>
      <c r="K563" s="9" t="n"/>
      <c r="L563" s="9" t="n"/>
      <c r="M563" s="9" t="n"/>
      <c r="N563" s="9" t="n"/>
      <c r="O563" s="9" t="n"/>
    </row>
    <row r="564">
      <c r="A564" s="16" t="n">
        <v>46347</v>
      </c>
      <c r="B564" s="9" t="inlineStr">
        <is>
          <t>Saturday</t>
        </is>
      </c>
      <c r="C564" s="9" t="inlineStr">
        <is>
          <t>NOV</t>
        </is>
      </c>
      <c r="D564" s="9" t="n">
        <v>47</v>
      </c>
      <c r="E564" s="9" t="n"/>
      <c r="F564" s="9" t="n"/>
      <c r="G564" s="16" t="n"/>
      <c r="H564" s="9" t="n"/>
      <c r="I564" s="16" t="n"/>
      <c r="J564" s="9" t="n"/>
      <c r="K564" s="9" t="n"/>
      <c r="L564" s="9" t="n"/>
      <c r="M564" s="9" t="n"/>
      <c r="N564" s="9" t="n"/>
      <c r="O564" s="9" t="n"/>
    </row>
    <row r="565">
      <c r="A565" s="16" t="n">
        <v>46347</v>
      </c>
      <c r="B565" s="9" t="inlineStr">
        <is>
          <t>Saturday</t>
        </is>
      </c>
      <c r="C565" s="9" t="inlineStr">
        <is>
          <t>NOV</t>
        </is>
      </c>
      <c r="D565" s="9" t="n">
        <v>47</v>
      </c>
      <c r="E565" s="9" t="n"/>
      <c r="F565" s="9" t="n"/>
      <c r="G565" s="16" t="n"/>
      <c r="H565" s="9" t="n"/>
      <c r="I565" s="16" t="n"/>
      <c r="J565" s="9" t="n"/>
      <c r="K565" s="9" t="n"/>
      <c r="L565" s="9" t="n"/>
      <c r="M565" s="9" t="n"/>
      <c r="N565" s="9" t="n"/>
      <c r="O565" s="9" t="n"/>
    </row>
    <row r="566">
      <c r="A566" s="16" t="n">
        <v>46347</v>
      </c>
      <c r="B566" s="9" t="inlineStr">
        <is>
          <t>Saturday</t>
        </is>
      </c>
      <c r="C566" s="9" t="inlineStr">
        <is>
          <t>NOV</t>
        </is>
      </c>
      <c r="D566" s="9" t="n">
        <v>47</v>
      </c>
      <c r="E566" s="9" t="n"/>
      <c r="F566" s="9" t="n"/>
      <c r="G566" s="16" t="n"/>
      <c r="H566" s="9" t="n"/>
      <c r="I566" s="16" t="n"/>
      <c r="J566" s="9" t="n"/>
      <c r="K566" s="9" t="n"/>
      <c r="L566" s="9" t="n"/>
      <c r="M566" s="9" t="n"/>
      <c r="N566" s="9" t="n"/>
      <c r="O566" s="9" t="n"/>
    </row>
    <row r="567">
      <c r="A567" s="24" t="n">
        <v>46348</v>
      </c>
      <c r="B567" s="25" t="inlineStr">
        <is>
          <t>Sunday</t>
        </is>
      </c>
      <c r="C567" s="25" t="inlineStr">
        <is>
          <t>NOV</t>
        </is>
      </c>
      <c r="D567" s="25" t="n">
        <v>47</v>
      </c>
      <c r="E567" s="25" t="n"/>
      <c r="F567" s="25" t="n"/>
      <c r="G567" s="24" t="n"/>
      <c r="H567" s="25" t="n"/>
      <c r="I567" s="24" t="n"/>
      <c r="J567" s="25" t="n"/>
      <c r="K567" s="25" t="n"/>
      <c r="L567" s="25" t="n"/>
      <c r="M567" s="25" t="n"/>
      <c r="N567" s="25" t="n"/>
      <c r="O567" s="25" t="n"/>
    </row>
    <row r="568">
      <c r="A568" s="16" t="n">
        <v>46348</v>
      </c>
      <c r="B568" s="9" t="inlineStr">
        <is>
          <t>Sunday</t>
        </is>
      </c>
      <c r="C568" s="9" t="inlineStr">
        <is>
          <t>NOV</t>
        </is>
      </c>
      <c r="D568" s="9" t="n">
        <v>47</v>
      </c>
      <c r="E568" s="9" t="n"/>
      <c r="F568" s="9" t="n"/>
      <c r="G568" s="16" t="n"/>
      <c r="H568" s="9" t="n"/>
      <c r="I568" s="16" t="n"/>
      <c r="J568" s="9" t="n"/>
      <c r="K568" s="9" t="n"/>
      <c r="L568" s="9" t="n"/>
      <c r="M568" s="9" t="n"/>
      <c r="N568" s="9" t="n"/>
      <c r="O568" s="9" t="n"/>
    </row>
    <row r="569">
      <c r="A569" s="16" t="n">
        <v>46348</v>
      </c>
      <c r="B569" s="9" t="inlineStr">
        <is>
          <t>Sunday</t>
        </is>
      </c>
      <c r="C569" s="9" t="inlineStr">
        <is>
          <t>NOV</t>
        </is>
      </c>
      <c r="D569" s="9" t="n">
        <v>47</v>
      </c>
      <c r="E569" s="9" t="n"/>
      <c r="F569" s="9" t="n"/>
      <c r="G569" s="16" t="n"/>
      <c r="H569" s="9" t="n"/>
      <c r="I569" s="16" t="n"/>
      <c r="J569" s="9" t="n"/>
      <c r="K569" s="9" t="n"/>
      <c r="L569" s="9" t="n"/>
      <c r="M569" s="9" t="n"/>
      <c r="N569" s="9" t="n"/>
      <c r="O569" s="9" t="n"/>
    </row>
    <row r="570">
      <c r="A570" s="16" t="n">
        <v>46348</v>
      </c>
      <c r="B570" s="9" t="inlineStr">
        <is>
          <t>Sunday</t>
        </is>
      </c>
      <c r="C570" s="9" t="inlineStr">
        <is>
          <t>NOV</t>
        </is>
      </c>
      <c r="D570" s="9" t="n">
        <v>47</v>
      </c>
      <c r="E570" s="9" t="n"/>
      <c r="F570" s="9" t="n"/>
      <c r="G570" s="16" t="n"/>
      <c r="H570" s="9" t="n"/>
      <c r="I570" s="16" t="n"/>
      <c r="J570" s="9" t="n"/>
      <c r="K570" s="9" t="n"/>
      <c r="L570" s="9" t="n"/>
      <c r="M570" s="9" t="n"/>
      <c r="N570" s="9" t="n"/>
      <c r="O570" s="9" t="n"/>
    </row>
    <row r="571">
      <c r="A571" s="16" t="n">
        <v>46348</v>
      </c>
      <c r="B571" s="9" t="inlineStr">
        <is>
          <t>Sunday</t>
        </is>
      </c>
      <c r="C571" s="9" t="inlineStr">
        <is>
          <t>NOV</t>
        </is>
      </c>
      <c r="D571" s="9" t="n">
        <v>47</v>
      </c>
      <c r="E571" s="9" t="n"/>
      <c r="F571" s="9" t="n"/>
      <c r="G571" s="16" t="n"/>
      <c r="H571" s="9" t="n"/>
      <c r="I571" s="16" t="n"/>
      <c r="J571" s="9" t="n"/>
      <c r="K571" s="9" t="n"/>
      <c r="L571" s="9" t="n"/>
      <c r="M571" s="9" t="n"/>
      <c r="N571" s="9" t="n"/>
      <c r="O571" s="9" t="n"/>
    </row>
    <row r="572">
      <c r="A572" s="24" t="n">
        <v>46349</v>
      </c>
      <c r="B572" s="25" t="inlineStr">
        <is>
          <t>Monday</t>
        </is>
      </c>
      <c r="C572" s="25" t="inlineStr">
        <is>
          <t>NOV</t>
        </is>
      </c>
      <c r="D572" s="25" t="n">
        <v>47</v>
      </c>
      <c r="E572" s="25" t="n"/>
      <c r="F572" s="25" t="n"/>
      <c r="G572" s="24" t="n"/>
      <c r="H572" s="25" t="n"/>
      <c r="I572" s="24" t="n"/>
      <c r="J572" s="25" t="n"/>
      <c r="K572" s="25" t="n"/>
      <c r="L572" s="25" t="n"/>
      <c r="M572" s="25" t="n"/>
      <c r="N572" s="25" t="n"/>
      <c r="O572" s="25" t="n"/>
    </row>
    <row r="573">
      <c r="A573" s="16" t="n">
        <v>46349</v>
      </c>
      <c r="B573" s="9" t="inlineStr">
        <is>
          <t>Monday</t>
        </is>
      </c>
      <c r="C573" s="9" t="inlineStr">
        <is>
          <t>NOV</t>
        </is>
      </c>
      <c r="D573" s="9" t="n">
        <v>47</v>
      </c>
      <c r="E573" s="9" t="n"/>
      <c r="F573" s="9" t="n"/>
      <c r="G573" s="16" t="n"/>
      <c r="H573" s="9" t="n"/>
      <c r="I573" s="16" t="n"/>
      <c r="J573" s="9" t="n"/>
      <c r="K573" s="9" t="n"/>
      <c r="L573" s="9" t="n"/>
      <c r="M573" s="9" t="n"/>
      <c r="N573" s="9" t="n"/>
      <c r="O573" s="9" t="n"/>
    </row>
    <row r="574">
      <c r="A574" s="16" t="n">
        <v>46349</v>
      </c>
      <c r="B574" s="9" t="inlineStr">
        <is>
          <t>Monday</t>
        </is>
      </c>
      <c r="C574" s="9" t="inlineStr">
        <is>
          <t>NOV</t>
        </is>
      </c>
      <c r="D574" s="9" t="n">
        <v>47</v>
      </c>
      <c r="E574" s="9" t="n"/>
      <c r="F574" s="9" t="n"/>
      <c r="G574" s="16" t="n"/>
      <c r="H574" s="9" t="n"/>
      <c r="I574" s="16" t="n"/>
      <c r="J574" s="9" t="n"/>
      <c r="K574" s="9" t="n"/>
      <c r="L574" s="9" t="n"/>
      <c r="M574" s="9" t="n"/>
      <c r="N574" s="9" t="n"/>
      <c r="O574" s="9" t="n"/>
    </row>
    <row r="575">
      <c r="A575" s="16" t="n">
        <v>46349</v>
      </c>
      <c r="B575" s="9" t="inlineStr">
        <is>
          <t>Monday</t>
        </is>
      </c>
      <c r="C575" s="9" t="inlineStr">
        <is>
          <t>NOV</t>
        </is>
      </c>
      <c r="D575" s="9" t="n">
        <v>47</v>
      </c>
      <c r="E575" s="9" t="n"/>
      <c r="F575" s="9" t="n"/>
      <c r="G575" s="16" t="n"/>
      <c r="H575" s="9" t="n"/>
      <c r="I575" s="16" t="n"/>
      <c r="J575" s="9" t="n"/>
      <c r="K575" s="9" t="n"/>
      <c r="L575" s="9" t="n"/>
      <c r="M575" s="9" t="n"/>
      <c r="N575" s="9" t="n"/>
      <c r="O575" s="9" t="n"/>
    </row>
    <row r="576">
      <c r="A576" s="16" t="n">
        <v>46349</v>
      </c>
      <c r="B576" s="9" t="inlineStr">
        <is>
          <t>Monday</t>
        </is>
      </c>
      <c r="C576" s="9" t="inlineStr">
        <is>
          <t>NOV</t>
        </is>
      </c>
      <c r="D576" s="9" t="n">
        <v>47</v>
      </c>
      <c r="E576" s="9" t="n"/>
      <c r="F576" s="9" t="n"/>
      <c r="G576" s="16" t="n"/>
      <c r="H576" s="9" t="n"/>
      <c r="I576" s="16" t="n"/>
      <c r="J576" s="9" t="n"/>
      <c r="K576" s="9" t="n"/>
      <c r="L576" s="9" t="n"/>
      <c r="M576" s="9" t="n"/>
      <c r="N576" s="9" t="n"/>
      <c r="O576" s="9" t="n"/>
    </row>
    <row r="577">
      <c r="A577" s="24" t="n">
        <v>46350</v>
      </c>
      <c r="B577" s="25" t="inlineStr">
        <is>
          <t>Tuesday</t>
        </is>
      </c>
      <c r="C577" s="25" t="inlineStr">
        <is>
          <t>NOV</t>
        </is>
      </c>
      <c r="D577" s="25" t="n">
        <v>47</v>
      </c>
      <c r="E577" s="25" t="n"/>
      <c r="F577" s="25" t="n"/>
      <c r="G577" s="24" t="n"/>
      <c r="H577" s="25" t="n"/>
      <c r="I577" s="24" t="n"/>
      <c r="J577" s="25" t="n"/>
      <c r="K577" s="25" t="n"/>
      <c r="L577" s="25" t="n"/>
      <c r="M577" s="25" t="n"/>
      <c r="N577" s="25" t="n"/>
      <c r="O577" s="25" t="n"/>
    </row>
    <row r="578">
      <c r="A578" s="16" t="n">
        <v>46350</v>
      </c>
      <c r="B578" s="9" t="inlineStr">
        <is>
          <t>Tuesday</t>
        </is>
      </c>
      <c r="C578" s="9" t="inlineStr">
        <is>
          <t>NOV</t>
        </is>
      </c>
      <c r="D578" s="9" t="n">
        <v>47</v>
      </c>
      <c r="E578" s="9" t="n"/>
      <c r="F578" s="9" t="n"/>
      <c r="G578" s="16" t="n"/>
      <c r="H578" s="9" t="n"/>
      <c r="I578" s="16" t="n"/>
      <c r="J578" s="9" t="n"/>
      <c r="K578" s="9" t="n"/>
      <c r="L578" s="9" t="n"/>
      <c r="M578" s="9" t="n"/>
      <c r="N578" s="9" t="n"/>
      <c r="O578" s="9" t="n"/>
    </row>
    <row r="579">
      <c r="A579" s="16" t="n">
        <v>46350</v>
      </c>
      <c r="B579" s="9" t="inlineStr">
        <is>
          <t>Tuesday</t>
        </is>
      </c>
      <c r="C579" s="9" t="inlineStr">
        <is>
          <t>NOV</t>
        </is>
      </c>
      <c r="D579" s="9" t="n">
        <v>47</v>
      </c>
      <c r="E579" s="9" t="n"/>
      <c r="F579" s="9" t="n"/>
      <c r="G579" s="16" t="n"/>
      <c r="H579" s="9" t="n"/>
      <c r="I579" s="16" t="n"/>
      <c r="J579" s="9" t="n"/>
      <c r="K579" s="9" t="n"/>
      <c r="L579" s="9" t="n"/>
      <c r="M579" s="9" t="n"/>
      <c r="N579" s="9" t="n"/>
      <c r="O579" s="9" t="n"/>
    </row>
    <row r="580">
      <c r="A580" s="16" t="n">
        <v>46350</v>
      </c>
      <c r="B580" s="9" t="inlineStr">
        <is>
          <t>Tuesday</t>
        </is>
      </c>
      <c r="C580" s="9" t="inlineStr">
        <is>
          <t>NOV</t>
        </is>
      </c>
      <c r="D580" s="9" t="n">
        <v>47</v>
      </c>
      <c r="E580" s="9" t="n"/>
      <c r="F580" s="9" t="n"/>
      <c r="G580" s="16" t="n"/>
      <c r="H580" s="9" t="n"/>
      <c r="I580" s="16" t="n"/>
      <c r="J580" s="9" t="n"/>
      <c r="K580" s="9" t="n"/>
      <c r="L580" s="9" t="n"/>
      <c r="M580" s="9" t="n"/>
      <c r="N580" s="9" t="n"/>
      <c r="O580" s="9" t="n"/>
    </row>
    <row r="581">
      <c r="A581" s="16" t="n">
        <v>46350</v>
      </c>
      <c r="B581" s="9" t="inlineStr">
        <is>
          <t>Tuesday</t>
        </is>
      </c>
      <c r="C581" s="9" t="inlineStr">
        <is>
          <t>NOV</t>
        </is>
      </c>
      <c r="D581" s="9" t="n">
        <v>47</v>
      </c>
      <c r="E581" s="9" t="n"/>
      <c r="F581" s="9" t="n"/>
      <c r="G581" s="16" t="n"/>
      <c r="H581" s="9" t="n"/>
      <c r="I581" s="16" t="n"/>
      <c r="J581" s="9" t="n"/>
      <c r="K581" s="9" t="n"/>
      <c r="L581" s="9" t="n"/>
      <c r="M581" s="9" t="n"/>
      <c r="N581" s="9" t="n"/>
      <c r="O581" s="9" t="n"/>
    </row>
    <row r="582">
      <c r="A582" s="24" t="n">
        <v>46351</v>
      </c>
      <c r="B582" s="25" t="inlineStr">
        <is>
          <t>Wednesday</t>
        </is>
      </c>
      <c r="C582" s="25" t="inlineStr">
        <is>
          <t>NOV</t>
        </is>
      </c>
      <c r="D582" s="25" t="n">
        <v>47</v>
      </c>
      <c r="E582" s="25" t="n"/>
      <c r="F582" s="25" t="n"/>
      <c r="G582" s="24" t="n"/>
      <c r="H582" s="25" t="n"/>
      <c r="I582" s="24" t="n"/>
      <c r="J582" s="25" t="n"/>
      <c r="K582" s="25" t="n"/>
      <c r="L582" s="25" t="n"/>
      <c r="M582" s="25" t="n"/>
      <c r="N582" s="25" t="n"/>
      <c r="O582" s="25" t="n"/>
    </row>
    <row r="583">
      <c r="A583" s="16" t="n">
        <v>46351</v>
      </c>
      <c r="B583" s="9" t="inlineStr">
        <is>
          <t>Wednesday</t>
        </is>
      </c>
      <c r="C583" s="9" t="inlineStr">
        <is>
          <t>NOV</t>
        </is>
      </c>
      <c r="D583" s="9" t="n">
        <v>47</v>
      </c>
      <c r="E583" s="9" t="n"/>
      <c r="F583" s="9" t="n"/>
      <c r="G583" s="16" t="n"/>
      <c r="H583" s="9" t="n"/>
      <c r="I583" s="16" t="n"/>
      <c r="J583" s="9" t="n"/>
      <c r="K583" s="9" t="n"/>
      <c r="L583" s="9" t="n"/>
      <c r="M583" s="9" t="n"/>
      <c r="N583" s="9" t="n"/>
      <c r="O583" s="9" t="n"/>
    </row>
    <row r="584">
      <c r="A584" s="16" t="n">
        <v>46351</v>
      </c>
      <c r="B584" s="9" t="inlineStr">
        <is>
          <t>Wednesday</t>
        </is>
      </c>
      <c r="C584" s="9" t="inlineStr">
        <is>
          <t>NOV</t>
        </is>
      </c>
      <c r="D584" s="9" t="n">
        <v>47</v>
      </c>
      <c r="E584" s="9" t="n"/>
      <c r="F584" s="9" t="n"/>
      <c r="G584" s="16" t="n"/>
      <c r="H584" s="9" t="n"/>
      <c r="I584" s="16" t="n"/>
      <c r="J584" s="9" t="n"/>
      <c r="K584" s="9" t="n"/>
      <c r="L584" s="9" t="n"/>
      <c r="M584" s="9" t="n"/>
      <c r="N584" s="9" t="n"/>
      <c r="O584" s="9" t="n"/>
    </row>
    <row r="585">
      <c r="A585" s="16" t="n">
        <v>46351</v>
      </c>
      <c r="B585" s="9" t="inlineStr">
        <is>
          <t>Wednesday</t>
        </is>
      </c>
      <c r="C585" s="9" t="inlineStr">
        <is>
          <t>NOV</t>
        </is>
      </c>
      <c r="D585" s="9" t="n">
        <v>47</v>
      </c>
      <c r="E585" s="9" t="n"/>
      <c r="F585" s="9" t="n"/>
      <c r="G585" s="16" t="n"/>
      <c r="H585" s="9" t="n"/>
      <c r="I585" s="16" t="n"/>
      <c r="J585" s="9" t="n"/>
      <c r="K585" s="9" t="n"/>
      <c r="L585" s="9" t="n"/>
      <c r="M585" s="9" t="n"/>
      <c r="N585" s="9" t="n"/>
      <c r="O585" s="9" t="n"/>
    </row>
    <row r="586">
      <c r="A586" s="16" t="n">
        <v>46351</v>
      </c>
      <c r="B586" s="9" t="inlineStr">
        <is>
          <t>Wednesday</t>
        </is>
      </c>
      <c r="C586" s="9" t="inlineStr">
        <is>
          <t>NOV</t>
        </is>
      </c>
      <c r="D586" s="9" t="n">
        <v>47</v>
      </c>
      <c r="E586" s="9" t="n"/>
      <c r="F586" s="9" t="n"/>
      <c r="G586" s="16" t="n"/>
      <c r="H586" s="9" t="n"/>
      <c r="I586" s="16" t="n"/>
      <c r="J586" s="9" t="n"/>
      <c r="K586" s="9" t="n"/>
      <c r="L586" s="9" t="n"/>
      <c r="M586" s="9" t="n"/>
      <c r="N586" s="9" t="n"/>
      <c r="O586" s="9" t="n"/>
    </row>
    <row r="587">
      <c r="A587" s="24" t="n">
        <v>46352</v>
      </c>
      <c r="B587" s="25" t="inlineStr">
        <is>
          <t>Thursday</t>
        </is>
      </c>
      <c r="C587" s="25" t="inlineStr">
        <is>
          <t>NOV</t>
        </is>
      </c>
      <c r="D587" s="25" t="n">
        <v>47</v>
      </c>
      <c r="E587" s="25" t="n"/>
      <c r="F587" s="25" t="n"/>
      <c r="G587" s="24" t="n"/>
      <c r="H587" s="25" t="n"/>
      <c r="I587" s="24" t="n"/>
      <c r="J587" s="25" t="n"/>
      <c r="K587" s="25" t="n"/>
      <c r="L587" s="25" t="n"/>
      <c r="M587" s="25" t="n"/>
      <c r="N587" s="25" t="n"/>
      <c r="O587" s="25" t="n"/>
    </row>
    <row r="588">
      <c r="A588" s="16" t="n">
        <v>46352</v>
      </c>
      <c r="B588" s="9" t="inlineStr">
        <is>
          <t>Thursday</t>
        </is>
      </c>
      <c r="C588" s="9" t="inlineStr">
        <is>
          <t>NOV</t>
        </is>
      </c>
      <c r="D588" s="9" t="n">
        <v>47</v>
      </c>
      <c r="E588" s="9" t="n"/>
      <c r="F588" s="9" t="n"/>
      <c r="G588" s="16" t="n"/>
      <c r="H588" s="9" t="n"/>
      <c r="I588" s="16" t="n"/>
      <c r="J588" s="9" t="n"/>
      <c r="K588" s="9" t="n"/>
      <c r="L588" s="9" t="n"/>
      <c r="M588" s="9" t="n"/>
      <c r="N588" s="9" t="n"/>
      <c r="O588" s="9" t="n"/>
    </row>
    <row r="589">
      <c r="A589" s="16" t="n">
        <v>46352</v>
      </c>
      <c r="B589" s="9" t="inlineStr">
        <is>
          <t>Thursday</t>
        </is>
      </c>
      <c r="C589" s="9" t="inlineStr">
        <is>
          <t>NOV</t>
        </is>
      </c>
      <c r="D589" s="9" t="n">
        <v>47</v>
      </c>
      <c r="E589" s="9" t="n"/>
      <c r="F589" s="9" t="n"/>
      <c r="G589" s="16" t="n"/>
      <c r="H589" s="9" t="n"/>
      <c r="I589" s="16" t="n"/>
      <c r="J589" s="9" t="n"/>
      <c r="K589" s="9" t="n"/>
      <c r="L589" s="9" t="n"/>
      <c r="M589" s="9" t="n"/>
      <c r="N589" s="9" t="n"/>
      <c r="O589" s="9" t="n"/>
    </row>
    <row r="590">
      <c r="A590" s="16" t="n">
        <v>46352</v>
      </c>
      <c r="B590" s="9" t="inlineStr">
        <is>
          <t>Thursday</t>
        </is>
      </c>
      <c r="C590" s="9" t="inlineStr">
        <is>
          <t>NOV</t>
        </is>
      </c>
      <c r="D590" s="9" t="n">
        <v>47</v>
      </c>
      <c r="E590" s="9" t="n"/>
      <c r="F590" s="9" t="n"/>
      <c r="G590" s="16" t="n"/>
      <c r="H590" s="9" t="n"/>
      <c r="I590" s="16" t="n"/>
      <c r="J590" s="9" t="n"/>
      <c r="K590" s="9" t="n"/>
      <c r="L590" s="9" t="n"/>
      <c r="M590" s="9" t="n"/>
      <c r="N590" s="9" t="n"/>
      <c r="O590" s="9" t="n"/>
    </row>
    <row r="591">
      <c r="A591" s="16" t="n">
        <v>46352</v>
      </c>
      <c r="B591" s="9" t="inlineStr">
        <is>
          <t>Thursday</t>
        </is>
      </c>
      <c r="C591" s="9" t="inlineStr">
        <is>
          <t>NOV</t>
        </is>
      </c>
      <c r="D591" s="9" t="n">
        <v>47</v>
      </c>
      <c r="E591" s="9" t="n"/>
      <c r="F591" s="9" t="n"/>
      <c r="G591" s="16" t="n"/>
      <c r="H591" s="9" t="n"/>
      <c r="I591" s="16" t="n"/>
      <c r="J591" s="9" t="n"/>
      <c r="K591" s="9" t="n"/>
      <c r="L591" s="9" t="n"/>
      <c r="M591" s="9" t="n"/>
      <c r="N591" s="9" t="n"/>
      <c r="O591" s="9" t="n"/>
    </row>
    <row r="592">
      <c r="A592" s="24" t="n">
        <v>46353</v>
      </c>
      <c r="B592" s="25" t="inlineStr">
        <is>
          <t>Friday</t>
        </is>
      </c>
      <c r="C592" s="25" t="inlineStr">
        <is>
          <t>NOV</t>
        </is>
      </c>
      <c r="D592" s="25" t="n">
        <v>48</v>
      </c>
      <c r="E592" s="25" t="n"/>
      <c r="F592" s="25" t="n"/>
      <c r="G592" s="24" t="n"/>
      <c r="H592" s="25" t="n"/>
      <c r="I592" s="24" t="n"/>
      <c r="J592" s="25" t="n"/>
      <c r="K592" s="25" t="n"/>
      <c r="L592" s="25" t="n"/>
      <c r="M592" s="25" t="n"/>
      <c r="N592" s="25" t="n"/>
      <c r="O592" s="25" t="n"/>
    </row>
    <row r="593">
      <c r="A593" s="16" t="n">
        <v>46353</v>
      </c>
      <c r="B593" s="9" t="inlineStr">
        <is>
          <t>Friday</t>
        </is>
      </c>
      <c r="C593" s="9" t="inlineStr">
        <is>
          <t>NOV</t>
        </is>
      </c>
      <c r="D593" s="9" t="n">
        <v>48</v>
      </c>
      <c r="E593" s="9" t="n"/>
      <c r="F593" s="9" t="n"/>
      <c r="G593" s="16" t="n"/>
      <c r="H593" s="9" t="n"/>
      <c r="I593" s="16" t="n"/>
      <c r="J593" s="9" t="n"/>
      <c r="K593" s="9" t="n"/>
      <c r="L593" s="9" t="n"/>
      <c r="M593" s="9" t="n"/>
      <c r="N593" s="9" t="n"/>
      <c r="O593" s="9" t="n"/>
    </row>
    <row r="594">
      <c r="A594" s="16" t="n">
        <v>46353</v>
      </c>
      <c r="B594" s="9" t="inlineStr">
        <is>
          <t>Friday</t>
        </is>
      </c>
      <c r="C594" s="9" t="inlineStr">
        <is>
          <t>NOV</t>
        </is>
      </c>
      <c r="D594" s="9" t="n">
        <v>48</v>
      </c>
      <c r="E594" s="9" t="n"/>
      <c r="F594" s="9" t="n"/>
      <c r="G594" s="16" t="n"/>
      <c r="H594" s="9" t="n"/>
      <c r="I594" s="16" t="n"/>
      <c r="J594" s="9" t="n"/>
      <c r="K594" s="9" t="n"/>
      <c r="L594" s="9" t="n"/>
      <c r="M594" s="9" t="n"/>
      <c r="N594" s="9" t="n"/>
      <c r="O594" s="9" t="n"/>
    </row>
    <row r="595">
      <c r="A595" s="16" t="n">
        <v>46353</v>
      </c>
      <c r="B595" s="9" t="inlineStr">
        <is>
          <t>Friday</t>
        </is>
      </c>
      <c r="C595" s="9" t="inlineStr">
        <is>
          <t>NOV</t>
        </is>
      </c>
      <c r="D595" s="9" t="n">
        <v>48</v>
      </c>
      <c r="E595" s="9" t="n"/>
      <c r="F595" s="9" t="n"/>
      <c r="G595" s="16" t="n"/>
      <c r="H595" s="9" t="n"/>
      <c r="I595" s="16" t="n"/>
      <c r="J595" s="9" t="n"/>
      <c r="K595" s="9" t="n"/>
      <c r="L595" s="9" t="n"/>
      <c r="M595" s="9" t="n"/>
      <c r="N595" s="9" t="n"/>
      <c r="O595" s="9" t="n"/>
    </row>
    <row r="596">
      <c r="A596" s="16" t="n">
        <v>46353</v>
      </c>
      <c r="B596" s="9" t="inlineStr">
        <is>
          <t>Friday</t>
        </is>
      </c>
      <c r="C596" s="9" t="inlineStr">
        <is>
          <t>NOV</t>
        </is>
      </c>
      <c r="D596" s="9" t="n">
        <v>48</v>
      </c>
      <c r="E596" s="9" t="n"/>
      <c r="F596" s="9" t="n"/>
      <c r="G596" s="16" t="n"/>
      <c r="H596" s="9" t="n"/>
      <c r="I596" s="16" t="n"/>
      <c r="J596" s="9" t="n"/>
      <c r="K596" s="9" t="n"/>
      <c r="L596" s="9" t="n"/>
      <c r="M596" s="9" t="n"/>
      <c r="N596" s="9" t="n"/>
      <c r="O596" s="9" t="n"/>
    </row>
    <row r="597">
      <c r="A597" s="24" t="n">
        <v>46354</v>
      </c>
      <c r="B597" s="25" t="inlineStr">
        <is>
          <t>Saturday</t>
        </is>
      </c>
      <c r="C597" s="25" t="inlineStr">
        <is>
          <t>NOV</t>
        </is>
      </c>
      <c r="D597" s="25" t="n">
        <v>48</v>
      </c>
      <c r="E597" s="25" t="n"/>
      <c r="F597" s="25" t="n"/>
      <c r="G597" s="24" t="n"/>
      <c r="H597" s="25" t="n"/>
      <c r="I597" s="24" t="n"/>
      <c r="J597" s="25" t="n"/>
      <c r="K597" s="25" t="n"/>
      <c r="L597" s="25" t="n"/>
      <c r="M597" s="25" t="n"/>
      <c r="N597" s="25" t="n"/>
      <c r="O597" s="25" t="n"/>
    </row>
    <row r="598">
      <c r="A598" s="16" t="n">
        <v>46354</v>
      </c>
      <c r="B598" s="9" t="inlineStr">
        <is>
          <t>Saturday</t>
        </is>
      </c>
      <c r="C598" s="9" t="inlineStr">
        <is>
          <t>NOV</t>
        </is>
      </c>
      <c r="D598" s="9" t="n">
        <v>48</v>
      </c>
      <c r="E598" s="9" t="n"/>
      <c r="F598" s="9" t="n"/>
      <c r="G598" s="16" t="n"/>
      <c r="H598" s="9" t="n"/>
      <c r="I598" s="16" t="n"/>
      <c r="J598" s="9" t="n"/>
      <c r="K598" s="9" t="n"/>
      <c r="L598" s="9" t="n"/>
      <c r="M598" s="9" t="n"/>
      <c r="N598" s="9" t="n"/>
      <c r="O598" s="9" t="n"/>
    </row>
    <row r="599">
      <c r="A599" s="16" t="n">
        <v>46354</v>
      </c>
      <c r="B599" s="9" t="inlineStr">
        <is>
          <t>Saturday</t>
        </is>
      </c>
      <c r="C599" s="9" t="inlineStr">
        <is>
          <t>NOV</t>
        </is>
      </c>
      <c r="D599" s="9" t="n">
        <v>48</v>
      </c>
      <c r="E599" s="9" t="n"/>
      <c r="F599" s="9" t="n"/>
      <c r="G599" s="16" t="n"/>
      <c r="H599" s="9" t="n"/>
      <c r="I599" s="16" t="n"/>
      <c r="J599" s="9" t="n"/>
      <c r="K599" s="9" t="n"/>
      <c r="L599" s="9" t="n"/>
      <c r="M599" s="9" t="n"/>
      <c r="N599" s="9" t="n"/>
      <c r="O599" s="9" t="n"/>
    </row>
    <row r="600">
      <c r="A600" s="16" t="n">
        <v>46354</v>
      </c>
      <c r="B600" s="9" t="inlineStr">
        <is>
          <t>Saturday</t>
        </is>
      </c>
      <c r="C600" s="9" t="inlineStr">
        <is>
          <t>NOV</t>
        </is>
      </c>
      <c r="D600" s="9" t="n">
        <v>48</v>
      </c>
      <c r="E600" s="9" t="n"/>
      <c r="F600" s="9" t="n"/>
      <c r="G600" s="16" t="n"/>
      <c r="H600" s="9" t="n"/>
      <c r="I600" s="16" t="n"/>
      <c r="J600" s="9" t="n"/>
      <c r="K600" s="9" t="n"/>
      <c r="L600" s="9" t="n"/>
      <c r="M600" s="9" t="n"/>
      <c r="N600" s="9" t="n"/>
      <c r="O600" s="9" t="n"/>
    </row>
    <row r="601">
      <c r="A601" s="16" t="n">
        <v>46354</v>
      </c>
      <c r="B601" s="9" t="inlineStr">
        <is>
          <t>Saturday</t>
        </is>
      </c>
      <c r="C601" s="9" t="inlineStr">
        <is>
          <t>NOV</t>
        </is>
      </c>
      <c r="D601" s="9" t="n">
        <v>48</v>
      </c>
      <c r="E601" s="9" t="n"/>
      <c r="F601" s="9" t="n"/>
      <c r="G601" s="16" t="n"/>
      <c r="H601" s="9" t="n"/>
      <c r="I601" s="16" t="n"/>
      <c r="J601" s="9" t="n"/>
      <c r="K601" s="9" t="n"/>
      <c r="L601" s="9" t="n"/>
      <c r="M601" s="9" t="n"/>
      <c r="N601" s="9" t="n"/>
      <c r="O601" s="9" t="n"/>
    </row>
    <row r="602">
      <c r="A602" s="24" t="n">
        <v>46355</v>
      </c>
      <c r="B602" s="25" t="inlineStr">
        <is>
          <t>Sunday</t>
        </is>
      </c>
      <c r="C602" s="25" t="inlineStr">
        <is>
          <t>NOV</t>
        </is>
      </c>
      <c r="D602" s="25" t="n">
        <v>48</v>
      </c>
      <c r="E602" s="25" t="n"/>
      <c r="F602" s="25" t="n"/>
      <c r="G602" s="24" t="n"/>
      <c r="H602" s="25" t="n"/>
      <c r="I602" s="24" t="n"/>
      <c r="J602" s="25" t="n"/>
      <c r="K602" s="25" t="n"/>
      <c r="L602" s="25" t="n"/>
      <c r="M602" s="25" t="n"/>
      <c r="N602" s="25" t="n"/>
      <c r="O602" s="25" t="n"/>
    </row>
    <row r="603">
      <c r="A603" s="16" t="n">
        <v>46355</v>
      </c>
      <c r="B603" s="9" t="inlineStr">
        <is>
          <t>Sunday</t>
        </is>
      </c>
      <c r="C603" s="9" t="inlineStr">
        <is>
          <t>NOV</t>
        </is>
      </c>
      <c r="D603" s="9" t="n">
        <v>48</v>
      </c>
      <c r="E603" s="9" t="n"/>
      <c r="F603" s="9" t="n"/>
      <c r="G603" s="16" t="n"/>
      <c r="H603" s="9" t="n"/>
      <c r="I603" s="16" t="n"/>
      <c r="J603" s="9" t="n"/>
      <c r="K603" s="9" t="n"/>
      <c r="L603" s="9" t="n"/>
      <c r="M603" s="9" t="n"/>
      <c r="N603" s="9" t="n"/>
      <c r="O603" s="9" t="n"/>
    </row>
    <row r="604">
      <c r="A604" s="16" t="n">
        <v>46355</v>
      </c>
      <c r="B604" s="9" t="inlineStr">
        <is>
          <t>Sunday</t>
        </is>
      </c>
      <c r="C604" s="9" t="inlineStr">
        <is>
          <t>NOV</t>
        </is>
      </c>
      <c r="D604" s="9" t="n">
        <v>48</v>
      </c>
      <c r="E604" s="9" t="n"/>
      <c r="F604" s="9" t="n"/>
      <c r="G604" s="16" t="n"/>
      <c r="H604" s="9" t="n"/>
      <c r="I604" s="16" t="n"/>
      <c r="J604" s="9" t="n"/>
      <c r="K604" s="9" t="n"/>
      <c r="L604" s="9" t="n"/>
      <c r="M604" s="9" t="n"/>
      <c r="N604" s="9" t="n"/>
      <c r="O604" s="9" t="n"/>
    </row>
    <row r="605">
      <c r="A605" s="16" t="n">
        <v>46355</v>
      </c>
      <c r="B605" s="9" t="inlineStr">
        <is>
          <t>Sunday</t>
        </is>
      </c>
      <c r="C605" s="9" t="inlineStr">
        <is>
          <t>NOV</t>
        </is>
      </c>
      <c r="D605" s="9" t="n">
        <v>48</v>
      </c>
      <c r="E605" s="9" t="n"/>
      <c r="F605" s="9" t="n"/>
      <c r="G605" s="16" t="n"/>
      <c r="H605" s="9" t="n"/>
      <c r="I605" s="16" t="n"/>
      <c r="J605" s="9" t="n"/>
      <c r="K605" s="9" t="n"/>
      <c r="L605" s="9" t="n"/>
      <c r="M605" s="9" t="n"/>
      <c r="N605" s="9" t="n"/>
      <c r="O605" s="9" t="n"/>
    </row>
    <row r="606">
      <c r="A606" s="16" t="n">
        <v>46355</v>
      </c>
      <c r="B606" s="9" t="inlineStr">
        <is>
          <t>Sunday</t>
        </is>
      </c>
      <c r="C606" s="9" t="inlineStr">
        <is>
          <t>NOV</t>
        </is>
      </c>
      <c r="D606" s="9" t="n">
        <v>48</v>
      </c>
      <c r="E606" s="9" t="n"/>
      <c r="F606" s="9" t="n"/>
      <c r="G606" s="16" t="n"/>
      <c r="H606" s="9" t="n"/>
      <c r="I606" s="16" t="n"/>
      <c r="J606" s="9" t="n"/>
      <c r="K606" s="9" t="n"/>
      <c r="L606" s="9" t="n"/>
      <c r="M606" s="9" t="n"/>
      <c r="N606" s="9" t="n"/>
      <c r="O606" s="9" t="n"/>
    </row>
    <row r="607">
      <c r="A607" s="24" t="n">
        <v>46356</v>
      </c>
      <c r="B607" s="25" t="inlineStr">
        <is>
          <t>Monday</t>
        </is>
      </c>
      <c r="C607" s="25" t="inlineStr">
        <is>
          <t>NOV</t>
        </is>
      </c>
      <c r="D607" s="25" t="n">
        <v>48</v>
      </c>
      <c r="E607" s="25" t="n"/>
      <c r="F607" s="25" t="n"/>
      <c r="G607" s="24" t="n"/>
      <c r="H607" s="25" t="n"/>
      <c r="I607" s="24" t="n"/>
      <c r="J607" s="25" t="n"/>
      <c r="K607" s="25" t="n"/>
      <c r="L607" s="25" t="n"/>
      <c r="M607" s="25" t="n"/>
      <c r="N607" s="25" t="n"/>
      <c r="O607" s="25" t="n"/>
    </row>
    <row r="608">
      <c r="A608" s="16" t="n">
        <v>46356</v>
      </c>
      <c r="B608" s="9" t="inlineStr">
        <is>
          <t>Monday</t>
        </is>
      </c>
      <c r="C608" s="9" t="inlineStr">
        <is>
          <t>NOV</t>
        </is>
      </c>
      <c r="D608" s="9" t="n">
        <v>48</v>
      </c>
      <c r="E608" s="9" t="n"/>
      <c r="F608" s="9" t="n"/>
      <c r="G608" s="16" t="n"/>
      <c r="H608" s="9" t="n"/>
      <c r="I608" s="16" t="n"/>
      <c r="J608" s="9" t="n"/>
      <c r="K608" s="9" t="n"/>
      <c r="L608" s="9" t="n"/>
      <c r="M608" s="9" t="n"/>
      <c r="N608" s="9" t="n"/>
      <c r="O608" s="9" t="n"/>
    </row>
    <row r="609">
      <c r="A609" s="16" t="n">
        <v>46356</v>
      </c>
      <c r="B609" s="9" t="inlineStr">
        <is>
          <t>Monday</t>
        </is>
      </c>
      <c r="C609" s="9" t="inlineStr">
        <is>
          <t>NOV</t>
        </is>
      </c>
      <c r="D609" s="9" t="n">
        <v>48</v>
      </c>
      <c r="E609" s="9" t="n"/>
      <c r="F609" s="9" t="n"/>
      <c r="G609" s="16" t="n"/>
      <c r="H609" s="9" t="n"/>
      <c r="I609" s="16" t="n"/>
      <c r="J609" s="9" t="n"/>
      <c r="K609" s="9" t="n"/>
      <c r="L609" s="9" t="n"/>
      <c r="M609" s="9" t="n"/>
      <c r="N609" s="9" t="n"/>
      <c r="O609" s="9" t="n"/>
    </row>
    <row r="610">
      <c r="A610" s="16" t="n">
        <v>46356</v>
      </c>
      <c r="B610" s="9" t="inlineStr">
        <is>
          <t>Monday</t>
        </is>
      </c>
      <c r="C610" s="9" t="inlineStr">
        <is>
          <t>NOV</t>
        </is>
      </c>
      <c r="D610" s="9" t="n">
        <v>48</v>
      </c>
      <c r="E610" s="9" t="n"/>
      <c r="F610" s="9" t="n"/>
      <c r="G610" s="16" t="n"/>
      <c r="H610" s="9" t="n"/>
      <c r="I610" s="16" t="n"/>
      <c r="J610" s="9" t="n"/>
      <c r="K610" s="9" t="n"/>
      <c r="L610" s="9" t="n"/>
      <c r="M610" s="9" t="n"/>
      <c r="N610" s="9" t="n"/>
      <c r="O610" s="9" t="n"/>
    </row>
    <row r="611">
      <c r="A611" s="16" t="n">
        <v>46356</v>
      </c>
      <c r="B611" s="9" t="inlineStr">
        <is>
          <t>Monday</t>
        </is>
      </c>
      <c r="C611" s="9" t="inlineStr">
        <is>
          <t>NOV</t>
        </is>
      </c>
      <c r="D611" s="9" t="n">
        <v>48</v>
      </c>
      <c r="E611" s="9" t="n"/>
      <c r="F611" s="9" t="n"/>
      <c r="G611" s="16" t="n"/>
      <c r="H611" s="9" t="n"/>
      <c r="I611" s="16" t="n"/>
      <c r="J611" s="9" t="n"/>
      <c r="K611" s="9" t="n"/>
      <c r="L611" s="9" t="n"/>
      <c r="M611" s="9" t="n"/>
      <c r="N611" s="9" t="n"/>
      <c r="O611" s="9" t="n"/>
    </row>
    <row r="612">
      <c r="A612" s="24" t="n">
        <v>46357</v>
      </c>
      <c r="B612" s="25" t="inlineStr">
        <is>
          <t>Tuesday</t>
        </is>
      </c>
      <c r="C612" s="25" t="inlineStr">
        <is>
          <t>DEC</t>
        </is>
      </c>
      <c r="D612" s="25" t="n">
        <v>48</v>
      </c>
      <c r="E612" s="25" t="n"/>
      <c r="F612" s="25" t="n"/>
      <c r="G612" s="24" t="n"/>
      <c r="H612" s="25" t="n"/>
      <c r="I612" s="24" t="n"/>
      <c r="J612" s="25" t="n"/>
      <c r="K612" s="25" t="n"/>
      <c r="L612" s="25" t="n"/>
      <c r="M612" s="25" t="n"/>
      <c r="N612" s="25" t="n"/>
      <c r="O612" s="25" t="n"/>
    </row>
    <row r="613">
      <c r="A613" s="16" t="n">
        <v>46357</v>
      </c>
      <c r="B613" s="9" t="inlineStr">
        <is>
          <t>Tuesday</t>
        </is>
      </c>
      <c r="C613" s="9" t="inlineStr">
        <is>
          <t>DEC</t>
        </is>
      </c>
      <c r="D613" s="9" t="n">
        <v>48</v>
      </c>
      <c r="E613" s="9" t="n"/>
      <c r="F613" s="9" t="n"/>
      <c r="G613" s="16" t="n"/>
      <c r="H613" s="9" t="n"/>
      <c r="I613" s="16" t="n"/>
      <c r="J613" s="9" t="n"/>
      <c r="K613" s="9" t="n"/>
      <c r="L613" s="9" t="n"/>
      <c r="M613" s="9" t="n"/>
      <c r="N613" s="9" t="n"/>
      <c r="O613" s="9" t="n"/>
    </row>
    <row r="614">
      <c r="A614" s="16" t="n">
        <v>46357</v>
      </c>
      <c r="B614" s="9" t="inlineStr">
        <is>
          <t>Tuesday</t>
        </is>
      </c>
      <c r="C614" s="9" t="inlineStr">
        <is>
          <t>DEC</t>
        </is>
      </c>
      <c r="D614" s="9" t="n">
        <v>48</v>
      </c>
      <c r="E614" s="9" t="n"/>
      <c r="F614" s="9" t="n"/>
      <c r="G614" s="16" t="n"/>
      <c r="H614" s="9" t="n"/>
      <c r="I614" s="16" t="n"/>
      <c r="J614" s="9" t="n"/>
      <c r="K614" s="9" t="n"/>
      <c r="L614" s="9" t="n"/>
      <c r="M614" s="9" t="n"/>
      <c r="N614" s="9" t="n"/>
      <c r="O614" s="9" t="n"/>
    </row>
    <row r="615">
      <c r="A615" s="16" t="n">
        <v>46357</v>
      </c>
      <c r="B615" s="9" t="inlineStr">
        <is>
          <t>Tuesday</t>
        </is>
      </c>
      <c r="C615" s="9" t="inlineStr">
        <is>
          <t>DEC</t>
        </is>
      </c>
      <c r="D615" s="9" t="n">
        <v>48</v>
      </c>
      <c r="E615" s="9" t="n"/>
      <c r="F615" s="9" t="n"/>
      <c r="G615" s="16" t="n"/>
      <c r="H615" s="9" t="n"/>
      <c r="I615" s="16" t="n"/>
      <c r="J615" s="9" t="n"/>
      <c r="K615" s="9" t="n"/>
      <c r="L615" s="9" t="n"/>
      <c r="M615" s="9" t="n"/>
      <c r="N615" s="9" t="n"/>
      <c r="O615" s="9" t="n"/>
    </row>
    <row r="616">
      <c r="A616" s="16" t="n">
        <v>46357</v>
      </c>
      <c r="B616" s="9" t="inlineStr">
        <is>
          <t>Tuesday</t>
        </is>
      </c>
      <c r="C616" s="9" t="inlineStr">
        <is>
          <t>DEC</t>
        </is>
      </c>
      <c r="D616" s="9" t="n">
        <v>48</v>
      </c>
      <c r="E616" s="9" t="n"/>
      <c r="F616" s="9" t="n"/>
      <c r="G616" s="16" t="n"/>
      <c r="H616" s="9" t="n"/>
      <c r="I616" s="16" t="n"/>
      <c r="J616" s="9" t="n"/>
      <c r="K616" s="9" t="n"/>
      <c r="L616" s="9" t="n"/>
      <c r="M616" s="9" t="n"/>
      <c r="N616" s="9" t="n"/>
      <c r="O616" s="9" t="n"/>
    </row>
    <row r="617">
      <c r="A617" s="24" t="n">
        <v>46358</v>
      </c>
      <c r="B617" s="25" t="inlineStr">
        <is>
          <t>Wednesday</t>
        </is>
      </c>
      <c r="C617" s="25" t="inlineStr">
        <is>
          <t>DEC</t>
        </is>
      </c>
      <c r="D617" s="25" t="n">
        <v>48</v>
      </c>
      <c r="E617" s="25" t="n"/>
      <c r="F617" s="25" t="n"/>
      <c r="G617" s="24" t="n"/>
      <c r="H617" s="25" t="n"/>
      <c r="I617" s="24" t="n"/>
      <c r="J617" s="25" t="n"/>
      <c r="K617" s="25" t="n"/>
      <c r="L617" s="25" t="n"/>
      <c r="M617" s="25" t="n"/>
      <c r="N617" s="25" t="n"/>
      <c r="O617" s="25" t="n"/>
    </row>
    <row r="618">
      <c r="A618" s="16" t="n">
        <v>46358</v>
      </c>
      <c r="B618" s="9" t="inlineStr">
        <is>
          <t>Wednesday</t>
        </is>
      </c>
      <c r="C618" s="9" t="inlineStr">
        <is>
          <t>DEC</t>
        </is>
      </c>
      <c r="D618" s="9" t="n">
        <v>48</v>
      </c>
      <c r="E618" s="9" t="n"/>
      <c r="F618" s="9" t="n"/>
      <c r="G618" s="16" t="n"/>
      <c r="H618" s="9" t="n"/>
      <c r="I618" s="16" t="n"/>
      <c r="J618" s="9" t="n"/>
      <c r="K618" s="9" t="n"/>
      <c r="L618" s="9" t="n"/>
      <c r="M618" s="9" t="n"/>
      <c r="N618" s="9" t="n"/>
      <c r="O618" s="9" t="n"/>
    </row>
    <row r="619">
      <c r="A619" s="16" t="n">
        <v>46358</v>
      </c>
      <c r="B619" s="9" t="inlineStr">
        <is>
          <t>Wednesday</t>
        </is>
      </c>
      <c r="C619" s="9" t="inlineStr">
        <is>
          <t>DEC</t>
        </is>
      </c>
      <c r="D619" s="9" t="n">
        <v>48</v>
      </c>
      <c r="E619" s="9" t="n"/>
      <c r="F619" s="9" t="n"/>
      <c r="G619" s="16" t="n"/>
      <c r="H619" s="9" t="n"/>
      <c r="I619" s="16" t="n"/>
      <c r="J619" s="9" t="n"/>
      <c r="K619" s="9" t="n"/>
      <c r="L619" s="9" t="n"/>
      <c r="M619" s="9" t="n"/>
      <c r="N619" s="9" t="n"/>
      <c r="O619" s="9" t="n"/>
    </row>
    <row r="620">
      <c r="A620" s="16" t="n">
        <v>46358</v>
      </c>
      <c r="B620" s="9" t="inlineStr">
        <is>
          <t>Wednesday</t>
        </is>
      </c>
      <c r="C620" s="9" t="inlineStr">
        <is>
          <t>DEC</t>
        </is>
      </c>
      <c r="D620" s="9" t="n">
        <v>48</v>
      </c>
      <c r="E620" s="9" t="n"/>
      <c r="F620" s="9" t="n"/>
      <c r="G620" s="16" t="n"/>
      <c r="H620" s="9" t="n"/>
      <c r="I620" s="16" t="n"/>
      <c r="J620" s="9" t="n"/>
      <c r="K620" s="9" t="n"/>
      <c r="L620" s="9" t="n"/>
      <c r="M620" s="9" t="n"/>
      <c r="N620" s="9" t="n"/>
      <c r="O620" s="9" t="n"/>
    </row>
    <row r="621">
      <c r="A621" s="16" t="n">
        <v>46358</v>
      </c>
      <c r="B621" s="9" t="inlineStr">
        <is>
          <t>Wednesday</t>
        </is>
      </c>
      <c r="C621" s="9" t="inlineStr">
        <is>
          <t>DEC</t>
        </is>
      </c>
      <c r="D621" s="9" t="n">
        <v>48</v>
      </c>
      <c r="E621" s="9" t="n"/>
      <c r="F621" s="9" t="n"/>
      <c r="G621" s="16" t="n"/>
      <c r="H621" s="9" t="n"/>
      <c r="I621" s="16" t="n"/>
      <c r="J621" s="9" t="n"/>
      <c r="K621" s="9" t="n"/>
      <c r="L621" s="9" t="n"/>
      <c r="M621" s="9" t="n"/>
      <c r="N621" s="9" t="n"/>
      <c r="O621" s="9" t="n"/>
    </row>
    <row r="622">
      <c r="A622" s="24" t="n">
        <v>46359</v>
      </c>
      <c r="B622" s="25" t="inlineStr">
        <is>
          <t>Thursday</t>
        </is>
      </c>
      <c r="C622" s="25" t="inlineStr">
        <is>
          <t>DEC</t>
        </is>
      </c>
      <c r="D622" s="25" t="n">
        <v>48</v>
      </c>
      <c r="E622" s="25" t="n"/>
      <c r="F622" s="25" t="n"/>
      <c r="G622" s="24" t="n"/>
      <c r="H622" s="25" t="n"/>
      <c r="I622" s="24" t="n"/>
      <c r="J622" s="25" t="n"/>
      <c r="K622" s="25" t="n"/>
      <c r="L622" s="25" t="n"/>
      <c r="M622" s="25" t="n"/>
      <c r="N622" s="25" t="n"/>
      <c r="O622" s="25" t="n"/>
    </row>
    <row r="623">
      <c r="A623" s="16" t="n">
        <v>46359</v>
      </c>
      <c r="B623" s="9" t="inlineStr">
        <is>
          <t>Thursday</t>
        </is>
      </c>
      <c r="C623" s="9" t="inlineStr">
        <is>
          <t>DEC</t>
        </is>
      </c>
      <c r="D623" s="9" t="n">
        <v>48</v>
      </c>
      <c r="E623" s="9" t="n"/>
      <c r="F623" s="9" t="n"/>
      <c r="G623" s="16" t="n"/>
      <c r="H623" s="9" t="n"/>
      <c r="I623" s="16" t="n"/>
      <c r="J623" s="9" t="n"/>
      <c r="K623" s="9" t="n"/>
      <c r="L623" s="9" t="n"/>
      <c r="M623" s="9" t="n"/>
      <c r="N623" s="9" t="n"/>
      <c r="O623" s="9" t="n"/>
    </row>
    <row r="624">
      <c r="A624" s="16" t="n">
        <v>46359</v>
      </c>
      <c r="B624" s="9" t="inlineStr">
        <is>
          <t>Thursday</t>
        </is>
      </c>
      <c r="C624" s="9" t="inlineStr">
        <is>
          <t>DEC</t>
        </is>
      </c>
      <c r="D624" s="9" t="n">
        <v>48</v>
      </c>
      <c r="E624" s="9" t="n"/>
      <c r="F624" s="9" t="n"/>
      <c r="G624" s="16" t="n"/>
      <c r="H624" s="9" t="n"/>
      <c r="I624" s="16" t="n"/>
      <c r="J624" s="9" t="n"/>
      <c r="K624" s="9" t="n"/>
      <c r="L624" s="9" t="n"/>
      <c r="M624" s="9" t="n"/>
      <c r="N624" s="9" t="n"/>
      <c r="O624" s="9" t="n"/>
    </row>
    <row r="625">
      <c r="A625" s="16" t="n">
        <v>46359</v>
      </c>
      <c r="B625" s="9" t="inlineStr">
        <is>
          <t>Thursday</t>
        </is>
      </c>
      <c r="C625" s="9" t="inlineStr">
        <is>
          <t>DEC</t>
        </is>
      </c>
      <c r="D625" s="9" t="n">
        <v>48</v>
      </c>
      <c r="E625" s="9" t="n"/>
      <c r="F625" s="9" t="n"/>
      <c r="G625" s="16" t="n"/>
      <c r="H625" s="9" t="n"/>
      <c r="I625" s="16" t="n"/>
      <c r="J625" s="9" t="n"/>
      <c r="K625" s="9" t="n"/>
      <c r="L625" s="9" t="n"/>
      <c r="M625" s="9" t="n"/>
      <c r="N625" s="9" t="n"/>
      <c r="O625" s="9" t="n"/>
    </row>
    <row r="626">
      <c r="A626" s="16" t="n">
        <v>46359</v>
      </c>
      <c r="B626" s="9" t="inlineStr">
        <is>
          <t>Thursday</t>
        </is>
      </c>
      <c r="C626" s="9" t="inlineStr">
        <is>
          <t>DEC</t>
        </is>
      </c>
      <c r="D626" s="9" t="n">
        <v>48</v>
      </c>
      <c r="E626" s="9" t="n"/>
      <c r="F626" s="9" t="n"/>
      <c r="G626" s="16" t="n"/>
      <c r="H626" s="9" t="n"/>
      <c r="I626" s="16" t="n"/>
      <c r="J626" s="9" t="n"/>
      <c r="K626" s="9" t="n"/>
      <c r="L626" s="9" t="n"/>
      <c r="M626" s="9" t="n"/>
      <c r="N626" s="9" t="n"/>
      <c r="O626" s="9" t="n"/>
    </row>
    <row r="627">
      <c r="A627" s="24" t="n">
        <v>46360</v>
      </c>
      <c r="B627" s="25" t="inlineStr">
        <is>
          <t>Friday</t>
        </is>
      </c>
      <c r="C627" s="25" t="inlineStr">
        <is>
          <t>DEC</t>
        </is>
      </c>
      <c r="D627" s="25" t="n">
        <v>49</v>
      </c>
      <c r="E627" s="25" t="n"/>
      <c r="F627" s="25" t="n"/>
      <c r="G627" s="24" t="n"/>
      <c r="H627" s="25" t="n"/>
      <c r="I627" s="24" t="n"/>
      <c r="J627" s="25" t="n"/>
      <c r="K627" s="25" t="n"/>
      <c r="L627" s="25" t="n"/>
      <c r="M627" s="25" t="n"/>
      <c r="N627" s="25" t="n"/>
      <c r="O627" s="25" t="n"/>
    </row>
    <row r="628">
      <c r="A628" s="16" t="n">
        <v>46360</v>
      </c>
      <c r="B628" s="9" t="inlineStr">
        <is>
          <t>Friday</t>
        </is>
      </c>
      <c r="C628" s="9" t="inlineStr">
        <is>
          <t>DEC</t>
        </is>
      </c>
      <c r="D628" s="9" t="n">
        <v>49</v>
      </c>
      <c r="E628" s="9" t="n"/>
      <c r="F628" s="9" t="n"/>
      <c r="G628" s="16" t="n"/>
      <c r="H628" s="9" t="n"/>
      <c r="I628" s="16" t="n"/>
      <c r="J628" s="9" t="n"/>
      <c r="K628" s="9" t="n"/>
      <c r="L628" s="9" t="n"/>
      <c r="M628" s="9" t="n"/>
      <c r="N628" s="9" t="n"/>
      <c r="O628" s="9" t="n"/>
    </row>
    <row r="629">
      <c r="A629" s="16" t="n">
        <v>46360</v>
      </c>
      <c r="B629" s="9" t="inlineStr">
        <is>
          <t>Friday</t>
        </is>
      </c>
      <c r="C629" s="9" t="inlineStr">
        <is>
          <t>DEC</t>
        </is>
      </c>
      <c r="D629" s="9" t="n">
        <v>49</v>
      </c>
      <c r="E629" s="9" t="n"/>
      <c r="F629" s="9" t="n"/>
      <c r="G629" s="16" t="n"/>
      <c r="H629" s="9" t="n"/>
      <c r="I629" s="16" t="n"/>
      <c r="J629" s="9" t="n"/>
      <c r="K629" s="9" t="n"/>
      <c r="L629" s="9" t="n"/>
      <c r="M629" s="9" t="n"/>
      <c r="N629" s="9" t="n"/>
      <c r="O629" s="9" t="n"/>
    </row>
    <row r="630">
      <c r="A630" s="16" t="n">
        <v>46360</v>
      </c>
      <c r="B630" s="9" t="inlineStr">
        <is>
          <t>Friday</t>
        </is>
      </c>
      <c r="C630" s="9" t="inlineStr">
        <is>
          <t>DEC</t>
        </is>
      </c>
      <c r="D630" s="9" t="n">
        <v>49</v>
      </c>
      <c r="E630" s="9" t="n"/>
      <c r="F630" s="9" t="n"/>
      <c r="G630" s="16" t="n"/>
      <c r="H630" s="9" t="n"/>
      <c r="I630" s="16" t="n"/>
      <c r="J630" s="9" t="n"/>
      <c r="K630" s="9" t="n"/>
      <c r="L630" s="9" t="n"/>
      <c r="M630" s="9" t="n"/>
      <c r="N630" s="9" t="n"/>
      <c r="O630" s="9" t="n"/>
    </row>
    <row r="631">
      <c r="A631" s="16" t="n">
        <v>46360</v>
      </c>
      <c r="B631" s="9" t="inlineStr">
        <is>
          <t>Friday</t>
        </is>
      </c>
      <c r="C631" s="9" t="inlineStr">
        <is>
          <t>DEC</t>
        </is>
      </c>
      <c r="D631" s="9" t="n">
        <v>49</v>
      </c>
      <c r="E631" s="9" t="n"/>
      <c r="F631" s="9" t="n"/>
      <c r="G631" s="16" t="n"/>
      <c r="H631" s="9" t="n"/>
      <c r="I631" s="16" t="n"/>
      <c r="J631" s="9" t="n"/>
      <c r="K631" s="9" t="n"/>
      <c r="L631" s="9" t="n"/>
      <c r="M631" s="9" t="n"/>
      <c r="N631" s="9" t="n"/>
      <c r="O631" s="9" t="n"/>
    </row>
    <row r="632">
      <c r="A632" s="24" t="n">
        <v>46361</v>
      </c>
      <c r="B632" s="25" t="inlineStr">
        <is>
          <t>Saturday</t>
        </is>
      </c>
      <c r="C632" s="25" t="inlineStr">
        <is>
          <t>DEC</t>
        </is>
      </c>
      <c r="D632" s="25" t="n">
        <v>49</v>
      </c>
      <c r="E632" s="25" t="n"/>
      <c r="F632" s="25" t="n"/>
      <c r="G632" s="24" t="n"/>
      <c r="H632" s="25" t="n"/>
      <c r="I632" s="24" t="n"/>
      <c r="J632" s="25" t="n"/>
      <c r="K632" s="25" t="n"/>
      <c r="L632" s="25" t="n"/>
      <c r="M632" s="25" t="n"/>
      <c r="N632" s="25" t="n"/>
      <c r="O632" s="25" t="n"/>
    </row>
    <row r="633">
      <c r="A633" s="16" t="n">
        <v>46361</v>
      </c>
      <c r="B633" s="9" t="inlineStr">
        <is>
          <t>Saturday</t>
        </is>
      </c>
      <c r="C633" s="9" t="inlineStr">
        <is>
          <t>DEC</t>
        </is>
      </c>
      <c r="D633" s="9" t="n">
        <v>49</v>
      </c>
      <c r="E633" s="9" t="n"/>
      <c r="F633" s="9" t="n"/>
      <c r="G633" s="16" t="n"/>
      <c r="H633" s="9" t="n"/>
      <c r="I633" s="16" t="n"/>
      <c r="J633" s="9" t="n"/>
      <c r="K633" s="9" t="n"/>
      <c r="L633" s="9" t="n"/>
      <c r="M633" s="9" t="n"/>
      <c r="N633" s="9" t="n"/>
      <c r="O633" s="9" t="n"/>
    </row>
    <row r="634">
      <c r="A634" s="16" t="n">
        <v>46361</v>
      </c>
      <c r="B634" s="9" t="inlineStr">
        <is>
          <t>Saturday</t>
        </is>
      </c>
      <c r="C634" s="9" t="inlineStr">
        <is>
          <t>DEC</t>
        </is>
      </c>
      <c r="D634" s="9" t="n">
        <v>49</v>
      </c>
      <c r="E634" s="9" t="n"/>
      <c r="F634" s="9" t="n"/>
      <c r="G634" s="16" t="n"/>
      <c r="H634" s="9" t="n"/>
      <c r="I634" s="16" t="n"/>
      <c r="J634" s="9" t="n"/>
      <c r="K634" s="9" t="n"/>
      <c r="L634" s="9" t="n"/>
      <c r="M634" s="9" t="n"/>
      <c r="N634" s="9" t="n"/>
      <c r="O634" s="9" t="n"/>
    </row>
    <row r="635">
      <c r="A635" s="16" t="n">
        <v>46361</v>
      </c>
      <c r="B635" s="9" t="inlineStr">
        <is>
          <t>Saturday</t>
        </is>
      </c>
      <c r="C635" s="9" t="inlineStr">
        <is>
          <t>DEC</t>
        </is>
      </c>
      <c r="D635" s="9" t="n">
        <v>49</v>
      </c>
      <c r="E635" s="9" t="n"/>
      <c r="F635" s="9" t="n"/>
      <c r="G635" s="16" t="n"/>
      <c r="H635" s="9" t="n"/>
      <c r="I635" s="16" t="n"/>
      <c r="J635" s="9" t="n"/>
      <c r="K635" s="9" t="n"/>
      <c r="L635" s="9" t="n"/>
      <c r="M635" s="9" t="n"/>
      <c r="N635" s="9" t="n"/>
      <c r="O635" s="9" t="n"/>
    </row>
    <row r="636">
      <c r="A636" s="16" t="n">
        <v>46361</v>
      </c>
      <c r="B636" s="9" t="inlineStr">
        <is>
          <t>Saturday</t>
        </is>
      </c>
      <c r="C636" s="9" t="inlineStr">
        <is>
          <t>DEC</t>
        </is>
      </c>
      <c r="D636" s="9" t="n">
        <v>49</v>
      </c>
      <c r="E636" s="9" t="n"/>
      <c r="F636" s="9" t="n"/>
      <c r="G636" s="16" t="n"/>
      <c r="H636" s="9" t="n"/>
      <c r="I636" s="16" t="n"/>
      <c r="J636" s="9" t="n"/>
      <c r="K636" s="9" t="n"/>
      <c r="L636" s="9" t="n"/>
      <c r="M636" s="9" t="n"/>
      <c r="N636" s="9" t="n"/>
      <c r="O636" s="9" t="n"/>
    </row>
    <row r="637">
      <c r="A637" s="24" t="n">
        <v>46362</v>
      </c>
      <c r="B637" s="25" t="inlineStr">
        <is>
          <t>Sunday</t>
        </is>
      </c>
      <c r="C637" s="25" t="inlineStr">
        <is>
          <t>DEC</t>
        </is>
      </c>
      <c r="D637" s="25" t="n">
        <v>49</v>
      </c>
      <c r="E637" s="25" t="n"/>
      <c r="F637" s="25" t="n"/>
      <c r="G637" s="24" t="n"/>
      <c r="H637" s="25" t="n"/>
      <c r="I637" s="24" t="n"/>
      <c r="J637" s="25" t="n"/>
      <c r="K637" s="25" t="n"/>
      <c r="L637" s="25" t="n"/>
      <c r="M637" s="25" t="n"/>
      <c r="N637" s="25" t="n"/>
      <c r="O637" s="25" t="n"/>
    </row>
    <row r="638">
      <c r="A638" s="16" t="n">
        <v>46362</v>
      </c>
      <c r="B638" s="9" t="inlineStr">
        <is>
          <t>Sunday</t>
        </is>
      </c>
      <c r="C638" s="9" t="inlineStr">
        <is>
          <t>DEC</t>
        </is>
      </c>
      <c r="D638" s="9" t="n">
        <v>49</v>
      </c>
      <c r="E638" s="9" t="n"/>
      <c r="F638" s="9" t="n"/>
      <c r="G638" s="16" t="n"/>
      <c r="H638" s="9" t="n"/>
      <c r="I638" s="16" t="n"/>
      <c r="J638" s="9" t="n"/>
      <c r="K638" s="9" t="n"/>
      <c r="L638" s="9" t="n"/>
      <c r="M638" s="9" t="n"/>
      <c r="N638" s="9" t="n"/>
      <c r="O638" s="9" t="n"/>
    </row>
    <row r="639">
      <c r="A639" s="16" t="n">
        <v>46362</v>
      </c>
      <c r="B639" s="9" t="inlineStr">
        <is>
          <t>Sunday</t>
        </is>
      </c>
      <c r="C639" s="9" t="inlineStr">
        <is>
          <t>DEC</t>
        </is>
      </c>
      <c r="D639" s="9" t="n">
        <v>49</v>
      </c>
      <c r="E639" s="9" t="n"/>
      <c r="F639" s="9" t="n"/>
      <c r="G639" s="16" t="n"/>
      <c r="H639" s="9" t="n"/>
      <c r="I639" s="16" t="n"/>
      <c r="J639" s="9" t="n"/>
      <c r="K639" s="9" t="n"/>
      <c r="L639" s="9" t="n"/>
      <c r="M639" s="9" t="n"/>
      <c r="N639" s="9" t="n"/>
      <c r="O639" s="9" t="n"/>
    </row>
    <row r="640">
      <c r="A640" s="16" t="n">
        <v>46362</v>
      </c>
      <c r="B640" s="9" t="inlineStr">
        <is>
          <t>Sunday</t>
        </is>
      </c>
      <c r="C640" s="9" t="inlineStr">
        <is>
          <t>DEC</t>
        </is>
      </c>
      <c r="D640" s="9" t="n">
        <v>49</v>
      </c>
      <c r="E640" s="9" t="n"/>
      <c r="F640" s="9" t="n"/>
      <c r="G640" s="16" t="n"/>
      <c r="H640" s="9" t="n"/>
      <c r="I640" s="16" t="n"/>
      <c r="J640" s="9" t="n"/>
      <c r="K640" s="9" t="n"/>
      <c r="L640" s="9" t="n"/>
      <c r="M640" s="9" t="n"/>
      <c r="N640" s="9" t="n"/>
      <c r="O640" s="9" t="n"/>
    </row>
    <row r="641">
      <c r="A641" s="16" t="n">
        <v>46362</v>
      </c>
      <c r="B641" s="9" t="inlineStr">
        <is>
          <t>Sunday</t>
        </is>
      </c>
      <c r="C641" s="9" t="inlineStr">
        <is>
          <t>DEC</t>
        </is>
      </c>
      <c r="D641" s="9" t="n">
        <v>49</v>
      </c>
      <c r="E641" s="9" t="n"/>
      <c r="F641" s="9" t="n"/>
      <c r="G641" s="16" t="n"/>
      <c r="H641" s="9" t="n"/>
      <c r="I641" s="16" t="n"/>
      <c r="J641" s="9" t="n"/>
      <c r="K641" s="9" t="n"/>
      <c r="L641" s="9" t="n"/>
      <c r="M641" s="9" t="n"/>
      <c r="N641" s="9" t="n"/>
      <c r="O641" s="9" t="n"/>
    </row>
    <row r="642">
      <c r="A642" s="24" t="n">
        <v>46363</v>
      </c>
      <c r="B642" s="25" t="inlineStr">
        <is>
          <t>Monday</t>
        </is>
      </c>
      <c r="C642" s="25" t="inlineStr">
        <is>
          <t>DEC</t>
        </is>
      </c>
      <c r="D642" s="25" t="n">
        <v>49</v>
      </c>
      <c r="E642" s="25" t="n"/>
      <c r="F642" s="25" t="n"/>
      <c r="G642" s="24" t="n"/>
      <c r="H642" s="25" t="n"/>
      <c r="I642" s="24" t="n"/>
      <c r="J642" s="25" t="n"/>
      <c r="K642" s="25" t="n"/>
      <c r="L642" s="25" t="n"/>
      <c r="M642" s="25" t="n"/>
      <c r="N642" s="25" t="n"/>
      <c r="O642" s="25" t="n"/>
    </row>
    <row r="643">
      <c r="A643" s="16" t="n">
        <v>46363</v>
      </c>
      <c r="B643" s="9" t="inlineStr">
        <is>
          <t>Monday</t>
        </is>
      </c>
      <c r="C643" s="9" t="inlineStr">
        <is>
          <t>DEC</t>
        </is>
      </c>
      <c r="D643" s="9" t="n">
        <v>49</v>
      </c>
      <c r="E643" s="9" t="n"/>
      <c r="F643" s="9" t="n"/>
      <c r="G643" s="16" t="n"/>
      <c r="H643" s="9" t="n"/>
      <c r="I643" s="16" t="n"/>
      <c r="J643" s="9" t="n"/>
      <c r="K643" s="9" t="n"/>
      <c r="L643" s="9" t="n"/>
      <c r="M643" s="9" t="n"/>
      <c r="N643" s="9" t="n"/>
      <c r="O643" s="9" t="n"/>
    </row>
    <row r="644">
      <c r="A644" s="16" t="n">
        <v>46363</v>
      </c>
      <c r="B644" s="9" t="inlineStr">
        <is>
          <t>Monday</t>
        </is>
      </c>
      <c r="C644" s="9" t="inlineStr">
        <is>
          <t>DEC</t>
        </is>
      </c>
      <c r="D644" s="9" t="n">
        <v>49</v>
      </c>
      <c r="E644" s="9" t="n"/>
      <c r="F644" s="9" t="n"/>
      <c r="G644" s="16" t="n"/>
      <c r="H644" s="9" t="n"/>
      <c r="I644" s="16" t="n"/>
      <c r="J644" s="9" t="n"/>
      <c r="K644" s="9" t="n"/>
      <c r="L644" s="9" t="n"/>
      <c r="M644" s="9" t="n"/>
      <c r="N644" s="9" t="n"/>
      <c r="O644" s="9" t="n"/>
    </row>
    <row r="645">
      <c r="A645" s="16" t="n">
        <v>46363</v>
      </c>
      <c r="B645" s="9" t="inlineStr">
        <is>
          <t>Monday</t>
        </is>
      </c>
      <c r="C645" s="9" t="inlineStr">
        <is>
          <t>DEC</t>
        </is>
      </c>
      <c r="D645" s="9" t="n">
        <v>49</v>
      </c>
      <c r="E645" s="9" t="n"/>
      <c r="F645" s="9" t="n"/>
      <c r="G645" s="16" t="n"/>
      <c r="H645" s="9" t="n"/>
      <c r="I645" s="16" t="n"/>
      <c r="J645" s="9" t="n"/>
      <c r="K645" s="9" t="n"/>
      <c r="L645" s="9" t="n"/>
      <c r="M645" s="9" t="n"/>
      <c r="N645" s="9" t="n"/>
      <c r="O645" s="9" t="n"/>
    </row>
    <row r="646">
      <c r="A646" s="16" t="n">
        <v>46363</v>
      </c>
      <c r="B646" s="9" t="inlineStr">
        <is>
          <t>Monday</t>
        </is>
      </c>
      <c r="C646" s="9" t="inlineStr">
        <is>
          <t>DEC</t>
        </is>
      </c>
      <c r="D646" s="9" t="n">
        <v>49</v>
      </c>
      <c r="E646" s="9" t="n"/>
      <c r="F646" s="9" t="n"/>
      <c r="G646" s="16" t="n"/>
      <c r="H646" s="9" t="n"/>
      <c r="I646" s="16" t="n"/>
      <c r="J646" s="9" t="n"/>
      <c r="K646" s="9" t="n"/>
      <c r="L646" s="9" t="n"/>
      <c r="M646" s="9" t="n"/>
      <c r="N646" s="9" t="n"/>
      <c r="O646" s="9" t="n"/>
    </row>
    <row r="647">
      <c r="A647" s="24" t="n">
        <v>46364</v>
      </c>
      <c r="B647" s="25" t="inlineStr">
        <is>
          <t>Tuesday</t>
        </is>
      </c>
      <c r="C647" s="25" t="inlineStr">
        <is>
          <t>DEC</t>
        </is>
      </c>
      <c r="D647" s="25" t="n">
        <v>49</v>
      </c>
      <c r="E647" s="25" t="n"/>
      <c r="F647" s="25" t="n"/>
      <c r="G647" s="24" t="n"/>
      <c r="H647" s="25" t="n"/>
      <c r="I647" s="24" t="n"/>
      <c r="J647" s="25" t="n"/>
      <c r="K647" s="25" t="n"/>
      <c r="L647" s="25" t="n"/>
      <c r="M647" s="25" t="n"/>
      <c r="N647" s="25" t="n"/>
      <c r="O647" s="25" t="n"/>
    </row>
    <row r="648">
      <c r="A648" s="16" t="n">
        <v>46364</v>
      </c>
      <c r="B648" s="9" t="inlineStr">
        <is>
          <t>Tuesday</t>
        </is>
      </c>
      <c r="C648" s="9" t="inlineStr">
        <is>
          <t>DEC</t>
        </is>
      </c>
      <c r="D648" s="9" t="n">
        <v>49</v>
      </c>
      <c r="E648" s="9" t="n"/>
      <c r="F648" s="9" t="n"/>
      <c r="G648" s="16" t="n"/>
      <c r="H648" s="9" t="n"/>
      <c r="I648" s="16" t="n"/>
      <c r="J648" s="9" t="n"/>
      <c r="K648" s="9" t="n"/>
      <c r="L648" s="9" t="n"/>
      <c r="M648" s="9" t="n"/>
      <c r="N648" s="9" t="n"/>
      <c r="O648" s="9" t="n"/>
    </row>
    <row r="649">
      <c r="A649" s="16" t="n">
        <v>46364</v>
      </c>
      <c r="B649" s="9" t="inlineStr">
        <is>
          <t>Tuesday</t>
        </is>
      </c>
      <c r="C649" s="9" t="inlineStr">
        <is>
          <t>DEC</t>
        </is>
      </c>
      <c r="D649" s="9" t="n">
        <v>49</v>
      </c>
      <c r="E649" s="9" t="n"/>
      <c r="F649" s="9" t="n"/>
      <c r="G649" s="16" t="n"/>
      <c r="H649" s="9" t="n"/>
      <c r="I649" s="16" t="n"/>
      <c r="J649" s="9" t="n"/>
      <c r="K649" s="9" t="n"/>
      <c r="L649" s="9" t="n"/>
      <c r="M649" s="9" t="n"/>
      <c r="N649" s="9" t="n"/>
      <c r="O649" s="9" t="n"/>
    </row>
    <row r="650">
      <c r="A650" s="16" t="n">
        <v>46364</v>
      </c>
      <c r="B650" s="9" t="inlineStr">
        <is>
          <t>Tuesday</t>
        </is>
      </c>
      <c r="C650" s="9" t="inlineStr">
        <is>
          <t>DEC</t>
        </is>
      </c>
      <c r="D650" s="9" t="n">
        <v>49</v>
      </c>
      <c r="E650" s="9" t="n"/>
      <c r="F650" s="9" t="n"/>
      <c r="G650" s="16" t="n"/>
      <c r="H650" s="9" t="n"/>
      <c r="I650" s="16" t="n"/>
      <c r="J650" s="9" t="n"/>
      <c r="K650" s="9" t="n"/>
      <c r="L650" s="9" t="n"/>
      <c r="M650" s="9" t="n"/>
      <c r="N650" s="9" t="n"/>
      <c r="O650" s="9" t="n"/>
    </row>
    <row r="651">
      <c r="A651" s="16" t="n">
        <v>46364</v>
      </c>
      <c r="B651" s="9" t="inlineStr">
        <is>
          <t>Tuesday</t>
        </is>
      </c>
      <c r="C651" s="9" t="inlineStr">
        <is>
          <t>DEC</t>
        </is>
      </c>
      <c r="D651" s="9" t="n">
        <v>49</v>
      </c>
      <c r="E651" s="9" t="n"/>
      <c r="F651" s="9" t="n"/>
      <c r="G651" s="16" t="n"/>
      <c r="H651" s="9" t="n"/>
      <c r="I651" s="16" t="n"/>
      <c r="J651" s="9" t="n"/>
      <c r="K651" s="9" t="n"/>
      <c r="L651" s="9" t="n"/>
      <c r="M651" s="9" t="n"/>
      <c r="N651" s="9" t="n"/>
      <c r="O651" s="9" t="n"/>
    </row>
    <row r="652">
      <c r="A652" s="24" t="n">
        <v>46365</v>
      </c>
      <c r="B652" s="25" t="inlineStr">
        <is>
          <t>Wednesday</t>
        </is>
      </c>
      <c r="C652" s="25" t="inlineStr">
        <is>
          <t>DEC</t>
        </is>
      </c>
      <c r="D652" s="25" t="n">
        <v>49</v>
      </c>
      <c r="E652" s="25" t="n"/>
      <c r="F652" s="25" t="n"/>
      <c r="G652" s="24" t="n"/>
      <c r="H652" s="25" t="n"/>
      <c r="I652" s="24" t="n"/>
      <c r="J652" s="25" t="n"/>
      <c r="K652" s="25" t="n"/>
      <c r="L652" s="25" t="n"/>
      <c r="M652" s="25" t="n"/>
      <c r="N652" s="25" t="n"/>
      <c r="O652" s="25" t="n"/>
    </row>
    <row r="653">
      <c r="A653" s="16" t="n">
        <v>46365</v>
      </c>
      <c r="B653" s="9" t="inlineStr">
        <is>
          <t>Wednesday</t>
        </is>
      </c>
      <c r="C653" s="9" t="inlineStr">
        <is>
          <t>DEC</t>
        </is>
      </c>
      <c r="D653" s="9" t="n">
        <v>49</v>
      </c>
      <c r="E653" s="9" t="n"/>
      <c r="F653" s="9" t="n"/>
      <c r="G653" s="16" t="n"/>
      <c r="H653" s="9" t="n"/>
      <c r="I653" s="16" t="n"/>
      <c r="J653" s="9" t="n"/>
      <c r="K653" s="9" t="n"/>
      <c r="L653" s="9" t="n"/>
      <c r="M653" s="9" t="n"/>
      <c r="N653" s="9" t="n"/>
      <c r="O653" s="9" t="n"/>
    </row>
    <row r="654">
      <c r="A654" s="16" t="n">
        <v>46365</v>
      </c>
      <c r="B654" s="9" t="inlineStr">
        <is>
          <t>Wednesday</t>
        </is>
      </c>
      <c r="C654" s="9" t="inlineStr">
        <is>
          <t>DEC</t>
        </is>
      </c>
      <c r="D654" s="9" t="n">
        <v>49</v>
      </c>
      <c r="E654" s="9" t="n"/>
      <c r="F654" s="9" t="n"/>
      <c r="G654" s="16" t="n"/>
      <c r="H654" s="9" t="n"/>
      <c r="I654" s="16" t="n"/>
      <c r="J654" s="9" t="n"/>
      <c r="K654" s="9" t="n"/>
      <c r="L654" s="9" t="n"/>
      <c r="M654" s="9" t="n"/>
      <c r="N654" s="9" t="n"/>
      <c r="O654" s="9" t="n"/>
    </row>
    <row r="655">
      <c r="A655" s="16" t="n">
        <v>46365</v>
      </c>
      <c r="B655" s="9" t="inlineStr">
        <is>
          <t>Wednesday</t>
        </is>
      </c>
      <c r="C655" s="9" t="inlineStr">
        <is>
          <t>DEC</t>
        </is>
      </c>
      <c r="D655" s="9" t="n">
        <v>49</v>
      </c>
      <c r="E655" s="9" t="n"/>
      <c r="F655" s="9" t="n"/>
      <c r="G655" s="16" t="n"/>
      <c r="H655" s="9" t="n"/>
      <c r="I655" s="16" t="n"/>
      <c r="J655" s="9" t="n"/>
      <c r="K655" s="9" t="n"/>
      <c r="L655" s="9" t="n"/>
      <c r="M655" s="9" t="n"/>
      <c r="N655" s="9" t="n"/>
      <c r="O655" s="9" t="n"/>
    </row>
    <row r="656">
      <c r="A656" s="16" t="n">
        <v>46365</v>
      </c>
      <c r="B656" s="9" t="inlineStr">
        <is>
          <t>Wednesday</t>
        </is>
      </c>
      <c r="C656" s="9" t="inlineStr">
        <is>
          <t>DEC</t>
        </is>
      </c>
      <c r="D656" s="9" t="n">
        <v>49</v>
      </c>
      <c r="E656" s="9" t="n"/>
      <c r="F656" s="9" t="n"/>
      <c r="G656" s="16" t="n"/>
      <c r="H656" s="9" t="n"/>
      <c r="I656" s="16" t="n"/>
      <c r="J656" s="9" t="n"/>
      <c r="K656" s="9" t="n"/>
      <c r="L656" s="9" t="n"/>
      <c r="M656" s="9" t="n"/>
      <c r="N656" s="9" t="n"/>
      <c r="O656" s="9" t="n"/>
    </row>
    <row r="657">
      <c r="A657" s="24" t="n">
        <v>46366</v>
      </c>
      <c r="B657" s="25" t="inlineStr">
        <is>
          <t>Thursday</t>
        </is>
      </c>
      <c r="C657" s="25" t="inlineStr">
        <is>
          <t>DEC</t>
        </is>
      </c>
      <c r="D657" s="25" t="n">
        <v>49</v>
      </c>
      <c r="E657" s="25" t="n"/>
      <c r="F657" s="25" t="n"/>
      <c r="G657" s="24" t="n"/>
      <c r="H657" s="25" t="n"/>
      <c r="I657" s="24" t="n"/>
      <c r="J657" s="25" t="n"/>
      <c r="K657" s="25" t="n"/>
      <c r="L657" s="25" t="n"/>
      <c r="M657" s="25" t="n"/>
      <c r="N657" s="25" t="n"/>
      <c r="O657" s="25" t="n"/>
    </row>
    <row r="658">
      <c r="A658" s="16" t="n">
        <v>46366</v>
      </c>
      <c r="B658" s="9" t="inlineStr">
        <is>
          <t>Thursday</t>
        </is>
      </c>
      <c r="C658" s="9" t="inlineStr">
        <is>
          <t>DEC</t>
        </is>
      </c>
      <c r="D658" s="9" t="n">
        <v>49</v>
      </c>
      <c r="E658" s="9" t="n"/>
      <c r="F658" s="9" t="n"/>
      <c r="G658" s="16" t="n"/>
      <c r="H658" s="9" t="n"/>
      <c r="I658" s="16" t="n"/>
      <c r="J658" s="9" t="n"/>
      <c r="K658" s="9" t="n"/>
      <c r="L658" s="9" t="n"/>
      <c r="M658" s="9" t="n"/>
      <c r="N658" s="9" t="n"/>
      <c r="O658" s="9" t="n"/>
    </row>
    <row r="659">
      <c r="A659" s="16" t="n">
        <v>46366</v>
      </c>
      <c r="B659" s="9" t="inlineStr">
        <is>
          <t>Thursday</t>
        </is>
      </c>
      <c r="C659" s="9" t="inlineStr">
        <is>
          <t>DEC</t>
        </is>
      </c>
      <c r="D659" s="9" t="n">
        <v>49</v>
      </c>
      <c r="E659" s="9" t="n"/>
      <c r="F659" s="9" t="n"/>
      <c r="G659" s="16" t="n"/>
      <c r="H659" s="9" t="n"/>
      <c r="I659" s="16" t="n"/>
      <c r="J659" s="9" t="n"/>
      <c r="K659" s="9" t="n"/>
      <c r="L659" s="9" t="n"/>
      <c r="M659" s="9" t="n"/>
      <c r="N659" s="9" t="n"/>
      <c r="O659" s="9" t="n"/>
    </row>
    <row r="660">
      <c r="A660" s="16" t="n">
        <v>46366</v>
      </c>
      <c r="B660" s="9" t="inlineStr">
        <is>
          <t>Thursday</t>
        </is>
      </c>
      <c r="C660" s="9" t="inlineStr">
        <is>
          <t>DEC</t>
        </is>
      </c>
      <c r="D660" s="9" t="n">
        <v>49</v>
      </c>
      <c r="E660" s="9" t="n"/>
      <c r="F660" s="9" t="n"/>
      <c r="G660" s="16" t="n"/>
      <c r="H660" s="9" t="n"/>
      <c r="I660" s="16" t="n"/>
      <c r="J660" s="9" t="n"/>
      <c r="K660" s="9" t="n"/>
      <c r="L660" s="9" t="n"/>
      <c r="M660" s="9" t="n"/>
      <c r="N660" s="9" t="n"/>
      <c r="O660" s="9" t="n"/>
    </row>
    <row r="661">
      <c r="A661" s="16" t="n">
        <v>46366</v>
      </c>
      <c r="B661" s="9" t="inlineStr">
        <is>
          <t>Thursday</t>
        </is>
      </c>
      <c r="C661" s="9" t="inlineStr">
        <is>
          <t>DEC</t>
        </is>
      </c>
      <c r="D661" s="9" t="n">
        <v>49</v>
      </c>
      <c r="E661" s="9" t="n"/>
      <c r="F661" s="9" t="n"/>
      <c r="G661" s="16" t="n"/>
      <c r="H661" s="9" t="n"/>
      <c r="I661" s="16" t="n"/>
      <c r="J661" s="9" t="n"/>
      <c r="K661" s="9" t="n"/>
      <c r="L661" s="9" t="n"/>
      <c r="M661" s="9" t="n"/>
      <c r="N661" s="9" t="n"/>
      <c r="O661" s="9" t="n"/>
    </row>
    <row r="662">
      <c r="A662" s="24" t="n">
        <v>46367</v>
      </c>
      <c r="B662" s="25" t="inlineStr">
        <is>
          <t>Friday</t>
        </is>
      </c>
      <c r="C662" s="25" t="inlineStr">
        <is>
          <t>DEC</t>
        </is>
      </c>
      <c r="D662" s="25" t="n">
        <v>50</v>
      </c>
      <c r="E662" s="25" t="n"/>
      <c r="F662" s="25" t="n"/>
      <c r="G662" s="24" t="n"/>
      <c r="H662" s="25" t="n"/>
      <c r="I662" s="24" t="n"/>
      <c r="J662" s="25" t="n"/>
      <c r="K662" s="25" t="n"/>
      <c r="L662" s="25" t="n"/>
      <c r="M662" s="25" t="n"/>
      <c r="N662" s="25" t="n"/>
      <c r="O662" s="25" t="n"/>
    </row>
    <row r="663">
      <c r="A663" s="16" t="n">
        <v>46367</v>
      </c>
      <c r="B663" s="9" t="inlineStr">
        <is>
          <t>Friday</t>
        </is>
      </c>
      <c r="C663" s="9" t="inlineStr">
        <is>
          <t>DEC</t>
        </is>
      </c>
      <c r="D663" s="9" t="n">
        <v>50</v>
      </c>
      <c r="E663" s="9" t="n"/>
      <c r="F663" s="9" t="n"/>
      <c r="G663" s="16" t="n"/>
      <c r="H663" s="9" t="n"/>
      <c r="I663" s="16" t="n"/>
      <c r="J663" s="9" t="n"/>
      <c r="K663" s="9" t="n"/>
      <c r="L663" s="9" t="n"/>
      <c r="M663" s="9" t="n"/>
      <c r="N663" s="9" t="n"/>
      <c r="O663" s="9" t="n"/>
    </row>
    <row r="664">
      <c r="A664" s="16" t="n">
        <v>46367</v>
      </c>
      <c r="B664" s="9" t="inlineStr">
        <is>
          <t>Friday</t>
        </is>
      </c>
      <c r="C664" s="9" t="inlineStr">
        <is>
          <t>DEC</t>
        </is>
      </c>
      <c r="D664" s="9" t="n">
        <v>50</v>
      </c>
      <c r="E664" s="9" t="n"/>
      <c r="F664" s="9" t="n"/>
      <c r="G664" s="16" t="n"/>
      <c r="H664" s="9" t="n"/>
      <c r="I664" s="16" t="n"/>
      <c r="J664" s="9" t="n"/>
      <c r="K664" s="9" t="n"/>
      <c r="L664" s="9" t="n"/>
      <c r="M664" s="9" t="n"/>
      <c r="N664" s="9" t="n"/>
      <c r="O664" s="9" t="n"/>
    </row>
    <row r="665">
      <c r="A665" s="16" t="n">
        <v>46367</v>
      </c>
      <c r="B665" s="9" t="inlineStr">
        <is>
          <t>Friday</t>
        </is>
      </c>
      <c r="C665" s="9" t="inlineStr">
        <is>
          <t>DEC</t>
        </is>
      </c>
      <c r="D665" s="9" t="n">
        <v>50</v>
      </c>
      <c r="E665" s="9" t="n"/>
      <c r="F665" s="9" t="n"/>
      <c r="G665" s="16" t="n"/>
      <c r="H665" s="9" t="n"/>
      <c r="I665" s="16" t="n"/>
      <c r="J665" s="9" t="n"/>
      <c r="K665" s="9" t="n"/>
      <c r="L665" s="9" t="n"/>
      <c r="M665" s="9" t="n"/>
      <c r="N665" s="9" t="n"/>
      <c r="O665" s="9" t="n"/>
    </row>
    <row r="666">
      <c r="A666" s="16" t="n">
        <v>46367</v>
      </c>
      <c r="B666" s="9" t="inlineStr">
        <is>
          <t>Friday</t>
        </is>
      </c>
      <c r="C666" s="9" t="inlineStr">
        <is>
          <t>DEC</t>
        </is>
      </c>
      <c r="D666" s="9" t="n">
        <v>50</v>
      </c>
      <c r="E666" s="9" t="n"/>
      <c r="F666" s="9" t="n"/>
      <c r="G666" s="16" t="n"/>
      <c r="H666" s="9" t="n"/>
      <c r="I666" s="16" t="n"/>
      <c r="J666" s="9" t="n"/>
      <c r="K666" s="9" t="n"/>
      <c r="L666" s="9" t="n"/>
      <c r="M666" s="9" t="n"/>
      <c r="N666" s="9" t="n"/>
      <c r="O666" s="9" t="n"/>
    </row>
    <row r="667">
      <c r="A667" s="24" t="n">
        <v>46368</v>
      </c>
      <c r="B667" s="25" t="inlineStr">
        <is>
          <t>Saturday</t>
        </is>
      </c>
      <c r="C667" s="25" t="inlineStr">
        <is>
          <t>DEC</t>
        </is>
      </c>
      <c r="D667" s="25" t="n">
        <v>50</v>
      </c>
      <c r="E667" s="25" t="n"/>
      <c r="F667" s="25" t="n"/>
      <c r="G667" s="24" t="n"/>
      <c r="H667" s="25" t="n"/>
      <c r="I667" s="24" t="n"/>
      <c r="J667" s="25" t="n"/>
      <c r="K667" s="25" t="n"/>
      <c r="L667" s="25" t="n"/>
      <c r="M667" s="25" t="n"/>
      <c r="N667" s="25" t="n"/>
      <c r="O667" s="25" t="n"/>
    </row>
    <row r="668">
      <c r="A668" s="16" t="n">
        <v>46368</v>
      </c>
      <c r="B668" s="9" t="inlineStr">
        <is>
          <t>Saturday</t>
        </is>
      </c>
      <c r="C668" s="9" t="inlineStr">
        <is>
          <t>DEC</t>
        </is>
      </c>
      <c r="D668" s="9" t="n">
        <v>50</v>
      </c>
      <c r="E668" s="9" t="n"/>
      <c r="F668" s="9" t="n"/>
      <c r="G668" s="16" t="n"/>
      <c r="H668" s="9" t="n"/>
      <c r="I668" s="16" t="n"/>
      <c r="J668" s="9" t="n"/>
      <c r="K668" s="9" t="n"/>
      <c r="L668" s="9" t="n"/>
      <c r="M668" s="9" t="n"/>
      <c r="N668" s="9" t="n"/>
      <c r="O668" s="9" t="n"/>
    </row>
    <row r="669">
      <c r="A669" s="16" t="n">
        <v>46368</v>
      </c>
      <c r="B669" s="9" t="inlineStr">
        <is>
          <t>Saturday</t>
        </is>
      </c>
      <c r="C669" s="9" t="inlineStr">
        <is>
          <t>DEC</t>
        </is>
      </c>
      <c r="D669" s="9" t="n">
        <v>50</v>
      </c>
      <c r="E669" s="9" t="n"/>
      <c r="F669" s="9" t="n"/>
      <c r="G669" s="16" t="n"/>
      <c r="H669" s="9" t="n"/>
      <c r="I669" s="16" t="n"/>
      <c r="J669" s="9" t="n"/>
      <c r="K669" s="9" t="n"/>
      <c r="L669" s="9" t="n"/>
      <c r="M669" s="9" t="n"/>
      <c r="N669" s="9" t="n"/>
      <c r="O669" s="9" t="n"/>
    </row>
    <row r="670">
      <c r="A670" s="16" t="n">
        <v>46368</v>
      </c>
      <c r="B670" s="9" t="inlineStr">
        <is>
          <t>Saturday</t>
        </is>
      </c>
      <c r="C670" s="9" t="inlineStr">
        <is>
          <t>DEC</t>
        </is>
      </c>
      <c r="D670" s="9" t="n">
        <v>50</v>
      </c>
      <c r="E670" s="9" t="n"/>
      <c r="F670" s="9" t="n"/>
      <c r="G670" s="16" t="n"/>
      <c r="H670" s="9" t="n"/>
      <c r="I670" s="16" t="n"/>
      <c r="J670" s="9" t="n"/>
      <c r="K670" s="9" t="n"/>
      <c r="L670" s="9" t="n"/>
      <c r="M670" s="9" t="n"/>
      <c r="N670" s="9" t="n"/>
      <c r="O670" s="9" t="n"/>
    </row>
    <row r="671">
      <c r="A671" s="16" t="n">
        <v>46368</v>
      </c>
      <c r="B671" s="9" t="inlineStr">
        <is>
          <t>Saturday</t>
        </is>
      </c>
      <c r="C671" s="9" t="inlineStr">
        <is>
          <t>DEC</t>
        </is>
      </c>
      <c r="D671" s="9" t="n">
        <v>50</v>
      </c>
      <c r="E671" s="9" t="n"/>
      <c r="F671" s="9" t="n"/>
      <c r="G671" s="16" t="n"/>
      <c r="H671" s="9" t="n"/>
      <c r="I671" s="16" t="n"/>
      <c r="J671" s="9" t="n"/>
      <c r="K671" s="9" t="n"/>
      <c r="L671" s="9" t="n"/>
      <c r="M671" s="9" t="n"/>
      <c r="N671" s="9" t="n"/>
      <c r="O671" s="9" t="n"/>
    </row>
    <row r="672">
      <c r="A672" s="24" t="n">
        <v>46369</v>
      </c>
      <c r="B672" s="25" t="inlineStr">
        <is>
          <t>Sunday</t>
        </is>
      </c>
      <c r="C672" s="25" t="inlineStr">
        <is>
          <t>DEC</t>
        </is>
      </c>
      <c r="D672" s="25" t="n">
        <v>50</v>
      </c>
      <c r="E672" s="25" t="n"/>
      <c r="F672" s="25" t="n"/>
      <c r="G672" s="24" t="n"/>
      <c r="H672" s="25" t="n"/>
      <c r="I672" s="24" t="n"/>
      <c r="J672" s="25" t="n"/>
      <c r="K672" s="25" t="n"/>
      <c r="L672" s="25" t="n"/>
      <c r="M672" s="25" t="n"/>
      <c r="N672" s="25" t="n"/>
      <c r="O672" s="25" t="n"/>
    </row>
    <row r="673">
      <c r="A673" s="16" t="n">
        <v>46369</v>
      </c>
      <c r="B673" s="9" t="inlineStr">
        <is>
          <t>Sunday</t>
        </is>
      </c>
      <c r="C673" s="9" t="inlineStr">
        <is>
          <t>DEC</t>
        </is>
      </c>
      <c r="D673" s="9" t="n">
        <v>50</v>
      </c>
      <c r="E673" s="9" t="n"/>
      <c r="F673" s="9" t="n"/>
      <c r="G673" s="16" t="n"/>
      <c r="H673" s="9" t="n"/>
      <c r="I673" s="16" t="n"/>
      <c r="J673" s="9" t="n"/>
      <c r="K673" s="9" t="n"/>
      <c r="L673" s="9" t="n"/>
      <c r="M673" s="9" t="n"/>
      <c r="N673" s="9" t="n"/>
      <c r="O673" s="9" t="n"/>
    </row>
    <row r="674">
      <c r="A674" s="16" t="n">
        <v>46369</v>
      </c>
      <c r="B674" s="9" t="inlineStr">
        <is>
          <t>Sunday</t>
        </is>
      </c>
      <c r="C674" s="9" t="inlineStr">
        <is>
          <t>DEC</t>
        </is>
      </c>
      <c r="D674" s="9" t="n">
        <v>50</v>
      </c>
      <c r="E674" s="9" t="n"/>
      <c r="F674" s="9" t="n"/>
      <c r="G674" s="16" t="n"/>
      <c r="H674" s="9" t="n"/>
      <c r="I674" s="16" t="n"/>
      <c r="J674" s="9" t="n"/>
      <c r="K674" s="9" t="n"/>
      <c r="L674" s="9" t="n"/>
      <c r="M674" s="9" t="n"/>
      <c r="N674" s="9" t="n"/>
      <c r="O674" s="9" t="n"/>
    </row>
    <row r="675">
      <c r="A675" s="16" t="n">
        <v>46369</v>
      </c>
      <c r="B675" s="9" t="inlineStr">
        <is>
          <t>Sunday</t>
        </is>
      </c>
      <c r="C675" s="9" t="inlineStr">
        <is>
          <t>DEC</t>
        </is>
      </c>
      <c r="D675" s="9" t="n">
        <v>50</v>
      </c>
      <c r="E675" s="9" t="n"/>
      <c r="F675" s="9" t="n"/>
      <c r="G675" s="16" t="n"/>
      <c r="H675" s="9" t="n"/>
      <c r="I675" s="16" t="n"/>
      <c r="J675" s="9" t="n"/>
      <c r="K675" s="9" t="n"/>
      <c r="L675" s="9" t="n"/>
      <c r="M675" s="9" t="n"/>
      <c r="N675" s="9" t="n"/>
      <c r="O675" s="9" t="n"/>
    </row>
    <row r="676">
      <c r="A676" s="16" t="n">
        <v>46369</v>
      </c>
      <c r="B676" s="9" t="inlineStr">
        <is>
          <t>Sunday</t>
        </is>
      </c>
      <c r="C676" s="9" t="inlineStr">
        <is>
          <t>DEC</t>
        </is>
      </c>
      <c r="D676" s="9" t="n">
        <v>50</v>
      </c>
      <c r="E676" s="9" t="n"/>
      <c r="F676" s="9" t="n"/>
      <c r="G676" s="16" t="n"/>
      <c r="H676" s="9" t="n"/>
      <c r="I676" s="16" t="n"/>
      <c r="J676" s="9" t="n"/>
      <c r="K676" s="9" t="n"/>
      <c r="L676" s="9" t="n"/>
      <c r="M676" s="9" t="n"/>
      <c r="N676" s="9" t="n"/>
      <c r="O676" s="9" t="n"/>
    </row>
    <row r="677">
      <c r="A677" s="24" t="n">
        <v>46370</v>
      </c>
      <c r="B677" s="25" t="inlineStr">
        <is>
          <t>Monday</t>
        </is>
      </c>
      <c r="C677" s="25" t="inlineStr">
        <is>
          <t>DEC</t>
        </is>
      </c>
      <c r="D677" s="25" t="n">
        <v>50</v>
      </c>
      <c r="E677" s="25" t="n"/>
      <c r="F677" s="25" t="n"/>
      <c r="G677" s="24" t="n"/>
      <c r="H677" s="25" t="n"/>
      <c r="I677" s="24" t="n"/>
      <c r="J677" s="25" t="n"/>
      <c r="K677" s="25" t="n"/>
      <c r="L677" s="25" t="n"/>
      <c r="M677" s="25" t="n"/>
      <c r="N677" s="25" t="n"/>
      <c r="O677" s="25" t="n"/>
    </row>
    <row r="678">
      <c r="A678" s="16" t="n">
        <v>46370</v>
      </c>
      <c r="B678" s="9" t="inlineStr">
        <is>
          <t>Monday</t>
        </is>
      </c>
      <c r="C678" s="9" t="inlineStr">
        <is>
          <t>DEC</t>
        </is>
      </c>
      <c r="D678" s="9" t="n">
        <v>50</v>
      </c>
      <c r="E678" s="9" t="n"/>
      <c r="F678" s="9" t="n"/>
      <c r="G678" s="16" t="n"/>
      <c r="H678" s="9" t="n"/>
      <c r="I678" s="16" t="n"/>
      <c r="J678" s="9" t="n"/>
      <c r="K678" s="9" t="n"/>
      <c r="L678" s="9" t="n"/>
      <c r="M678" s="9" t="n"/>
      <c r="N678" s="9" t="n"/>
      <c r="O678" s="9" t="n"/>
    </row>
    <row r="679">
      <c r="A679" s="16" t="n">
        <v>46370</v>
      </c>
      <c r="B679" s="9" t="inlineStr">
        <is>
          <t>Monday</t>
        </is>
      </c>
      <c r="C679" s="9" t="inlineStr">
        <is>
          <t>DEC</t>
        </is>
      </c>
      <c r="D679" s="9" t="n">
        <v>50</v>
      </c>
      <c r="E679" s="9" t="n"/>
      <c r="F679" s="9" t="n"/>
      <c r="G679" s="16" t="n"/>
      <c r="H679" s="9" t="n"/>
      <c r="I679" s="16" t="n"/>
      <c r="J679" s="9" t="n"/>
      <c r="K679" s="9" t="n"/>
      <c r="L679" s="9" t="n"/>
      <c r="M679" s="9" t="n"/>
      <c r="N679" s="9" t="n"/>
      <c r="O679" s="9" t="n"/>
    </row>
    <row r="680">
      <c r="A680" s="16" t="n">
        <v>46370</v>
      </c>
      <c r="B680" s="9" t="inlineStr">
        <is>
          <t>Monday</t>
        </is>
      </c>
      <c r="C680" s="9" t="inlineStr">
        <is>
          <t>DEC</t>
        </is>
      </c>
      <c r="D680" s="9" t="n">
        <v>50</v>
      </c>
      <c r="E680" s="9" t="n"/>
      <c r="F680" s="9" t="n"/>
      <c r="G680" s="16" t="n"/>
      <c r="H680" s="9" t="n"/>
      <c r="I680" s="16" t="n"/>
      <c r="J680" s="9" t="n"/>
      <c r="K680" s="9" t="n"/>
      <c r="L680" s="9" t="n"/>
      <c r="M680" s="9" t="n"/>
      <c r="N680" s="9" t="n"/>
      <c r="O680" s="9" t="n"/>
    </row>
    <row r="681">
      <c r="A681" s="16" t="n">
        <v>46370</v>
      </c>
      <c r="B681" s="9" t="inlineStr">
        <is>
          <t>Monday</t>
        </is>
      </c>
      <c r="C681" s="9" t="inlineStr">
        <is>
          <t>DEC</t>
        </is>
      </c>
      <c r="D681" s="9" t="n">
        <v>50</v>
      </c>
      <c r="E681" s="9" t="n"/>
      <c r="F681" s="9" t="n"/>
      <c r="G681" s="16" t="n"/>
      <c r="H681" s="9" t="n"/>
      <c r="I681" s="16" t="n"/>
      <c r="J681" s="9" t="n"/>
      <c r="K681" s="9" t="n"/>
      <c r="L681" s="9" t="n"/>
      <c r="M681" s="9" t="n"/>
      <c r="N681" s="9" t="n"/>
      <c r="O681" s="9" t="n"/>
    </row>
    <row r="682">
      <c r="A682" s="24" t="n">
        <v>46371</v>
      </c>
      <c r="B682" s="25" t="inlineStr">
        <is>
          <t>Tuesday</t>
        </is>
      </c>
      <c r="C682" s="25" t="inlineStr">
        <is>
          <t>DEC</t>
        </is>
      </c>
      <c r="D682" s="25" t="n">
        <v>50</v>
      </c>
      <c r="E682" s="25" t="n"/>
      <c r="F682" s="25" t="n"/>
      <c r="G682" s="24" t="n"/>
      <c r="H682" s="25" t="n"/>
      <c r="I682" s="24" t="n"/>
      <c r="J682" s="25" t="n"/>
      <c r="K682" s="25" t="n"/>
      <c r="L682" s="25" t="n"/>
      <c r="M682" s="25" t="n"/>
      <c r="N682" s="25" t="n"/>
      <c r="O682" s="25" t="n"/>
    </row>
    <row r="683">
      <c r="A683" s="16" t="n">
        <v>46371</v>
      </c>
      <c r="B683" s="9" t="inlineStr">
        <is>
          <t>Tuesday</t>
        </is>
      </c>
      <c r="C683" s="9" t="inlineStr">
        <is>
          <t>DEC</t>
        </is>
      </c>
      <c r="D683" s="9" t="n">
        <v>50</v>
      </c>
      <c r="E683" s="9" t="n"/>
      <c r="F683" s="9" t="n"/>
      <c r="G683" s="16" t="n"/>
      <c r="H683" s="9" t="n"/>
      <c r="I683" s="16" t="n"/>
      <c r="J683" s="9" t="n"/>
      <c r="K683" s="9" t="n"/>
      <c r="L683" s="9" t="n"/>
      <c r="M683" s="9" t="n"/>
      <c r="N683" s="9" t="n"/>
      <c r="O683" s="9" t="n"/>
    </row>
    <row r="684">
      <c r="A684" s="16" t="n">
        <v>46371</v>
      </c>
      <c r="B684" s="9" t="inlineStr">
        <is>
          <t>Tuesday</t>
        </is>
      </c>
      <c r="C684" s="9" t="inlineStr">
        <is>
          <t>DEC</t>
        </is>
      </c>
      <c r="D684" s="9" t="n">
        <v>50</v>
      </c>
      <c r="E684" s="9" t="n"/>
      <c r="F684" s="9" t="n"/>
      <c r="G684" s="16" t="n"/>
      <c r="H684" s="9" t="n"/>
      <c r="I684" s="16" t="n"/>
      <c r="J684" s="9" t="n"/>
      <c r="K684" s="9" t="n"/>
      <c r="L684" s="9" t="n"/>
      <c r="M684" s="9" t="n"/>
      <c r="N684" s="9" t="n"/>
      <c r="O684" s="9" t="n"/>
    </row>
    <row r="685">
      <c r="A685" s="16" t="n">
        <v>46371</v>
      </c>
      <c r="B685" s="9" t="inlineStr">
        <is>
          <t>Tuesday</t>
        </is>
      </c>
      <c r="C685" s="9" t="inlineStr">
        <is>
          <t>DEC</t>
        </is>
      </c>
      <c r="D685" s="9" t="n">
        <v>50</v>
      </c>
      <c r="E685" s="9" t="n"/>
      <c r="F685" s="9" t="n"/>
      <c r="G685" s="16" t="n"/>
      <c r="H685" s="9" t="n"/>
      <c r="I685" s="16" t="n"/>
      <c r="J685" s="9" t="n"/>
      <c r="K685" s="9" t="n"/>
      <c r="L685" s="9" t="n"/>
      <c r="M685" s="9" t="n"/>
      <c r="N685" s="9" t="n"/>
      <c r="O685" s="9" t="n"/>
    </row>
    <row r="686">
      <c r="A686" s="16" t="n">
        <v>46371</v>
      </c>
      <c r="B686" s="9" t="inlineStr">
        <is>
          <t>Tuesday</t>
        </is>
      </c>
      <c r="C686" s="9" t="inlineStr">
        <is>
          <t>DEC</t>
        </is>
      </c>
      <c r="D686" s="9" t="n">
        <v>50</v>
      </c>
      <c r="E686" s="9" t="n"/>
      <c r="F686" s="9" t="n"/>
      <c r="G686" s="16" t="n"/>
      <c r="H686" s="9" t="n"/>
      <c r="I686" s="16" t="n"/>
      <c r="J686" s="9" t="n"/>
      <c r="K686" s="9" t="n"/>
      <c r="L686" s="9" t="n"/>
      <c r="M686" s="9" t="n"/>
      <c r="N686" s="9" t="n"/>
      <c r="O686" s="9" t="n"/>
    </row>
    <row r="687">
      <c r="A687" s="24" t="n">
        <v>46372</v>
      </c>
      <c r="B687" s="25" t="inlineStr">
        <is>
          <t>Wednesday</t>
        </is>
      </c>
      <c r="C687" s="25" t="inlineStr">
        <is>
          <t>DEC</t>
        </is>
      </c>
      <c r="D687" s="25" t="n">
        <v>50</v>
      </c>
      <c r="E687" s="25" t="n"/>
      <c r="F687" s="25" t="n"/>
      <c r="G687" s="24" t="n"/>
      <c r="H687" s="25" t="n"/>
      <c r="I687" s="24" t="n"/>
      <c r="J687" s="25" t="n"/>
      <c r="K687" s="25" t="n"/>
      <c r="L687" s="25" t="n"/>
      <c r="M687" s="25" t="n"/>
      <c r="N687" s="25" t="n"/>
      <c r="O687" s="25" t="n"/>
    </row>
    <row r="688">
      <c r="A688" s="16" t="n">
        <v>46372</v>
      </c>
      <c r="B688" s="9" t="inlineStr">
        <is>
          <t>Wednesday</t>
        </is>
      </c>
      <c r="C688" s="9" t="inlineStr">
        <is>
          <t>DEC</t>
        </is>
      </c>
      <c r="D688" s="9" t="n">
        <v>50</v>
      </c>
      <c r="E688" s="9" t="n"/>
      <c r="F688" s="9" t="n"/>
      <c r="G688" s="16" t="n"/>
      <c r="H688" s="9" t="n"/>
      <c r="I688" s="16" t="n"/>
      <c r="J688" s="9" t="n"/>
      <c r="K688" s="9" t="n"/>
      <c r="L688" s="9" t="n"/>
      <c r="M688" s="9" t="n"/>
      <c r="N688" s="9" t="n"/>
      <c r="O688" s="9" t="n"/>
    </row>
    <row r="689">
      <c r="A689" s="16" t="n">
        <v>46372</v>
      </c>
      <c r="B689" s="9" t="inlineStr">
        <is>
          <t>Wednesday</t>
        </is>
      </c>
      <c r="C689" s="9" t="inlineStr">
        <is>
          <t>DEC</t>
        </is>
      </c>
      <c r="D689" s="9" t="n">
        <v>50</v>
      </c>
      <c r="E689" s="9" t="n"/>
      <c r="F689" s="9" t="n"/>
      <c r="G689" s="16" t="n"/>
      <c r="H689" s="9" t="n"/>
      <c r="I689" s="16" t="n"/>
      <c r="J689" s="9" t="n"/>
      <c r="K689" s="9" t="n"/>
      <c r="L689" s="9" t="n"/>
      <c r="M689" s="9" t="n"/>
      <c r="N689" s="9" t="n"/>
      <c r="O689" s="9" t="n"/>
    </row>
    <row r="690">
      <c r="A690" s="16" t="n">
        <v>46372</v>
      </c>
      <c r="B690" s="9" t="inlineStr">
        <is>
          <t>Wednesday</t>
        </is>
      </c>
      <c r="C690" s="9" t="inlineStr">
        <is>
          <t>DEC</t>
        </is>
      </c>
      <c r="D690" s="9" t="n">
        <v>50</v>
      </c>
      <c r="E690" s="9" t="n"/>
      <c r="F690" s="9" t="n"/>
      <c r="G690" s="16" t="n"/>
      <c r="H690" s="9" t="n"/>
      <c r="I690" s="16" t="n"/>
      <c r="J690" s="9" t="n"/>
      <c r="K690" s="9" t="n"/>
      <c r="L690" s="9" t="n"/>
      <c r="M690" s="9" t="n"/>
      <c r="N690" s="9" t="n"/>
      <c r="O690" s="9" t="n"/>
    </row>
    <row r="691">
      <c r="A691" s="16" t="n">
        <v>46372</v>
      </c>
      <c r="B691" s="9" t="inlineStr">
        <is>
          <t>Wednesday</t>
        </is>
      </c>
      <c r="C691" s="9" t="inlineStr">
        <is>
          <t>DEC</t>
        </is>
      </c>
      <c r="D691" s="9" t="n">
        <v>50</v>
      </c>
      <c r="E691" s="9" t="n"/>
      <c r="F691" s="9" t="n"/>
      <c r="G691" s="16" t="n"/>
      <c r="H691" s="9" t="n"/>
      <c r="I691" s="16" t="n"/>
      <c r="J691" s="9" t="n"/>
      <c r="K691" s="9" t="n"/>
      <c r="L691" s="9" t="n"/>
      <c r="M691" s="9" t="n"/>
      <c r="N691" s="9" t="n"/>
      <c r="O691" s="9" t="n"/>
    </row>
    <row r="692">
      <c r="A692" s="24" t="n">
        <v>46373</v>
      </c>
      <c r="B692" s="25" t="inlineStr">
        <is>
          <t>Thursday</t>
        </is>
      </c>
      <c r="C692" s="25" t="inlineStr">
        <is>
          <t>DEC</t>
        </is>
      </c>
      <c r="D692" s="25" t="n">
        <v>50</v>
      </c>
      <c r="E692" s="25" t="n"/>
      <c r="F692" s="25" t="n"/>
      <c r="G692" s="24" t="n"/>
      <c r="H692" s="25" t="n"/>
      <c r="I692" s="24" t="n"/>
      <c r="J692" s="25" t="n"/>
      <c r="K692" s="25" t="n"/>
      <c r="L692" s="25" t="n"/>
      <c r="M692" s="25" t="n"/>
      <c r="N692" s="25" t="n"/>
      <c r="O692" s="25" t="n"/>
    </row>
    <row r="693">
      <c r="A693" s="16" t="n">
        <v>46373</v>
      </c>
      <c r="B693" s="9" t="inlineStr">
        <is>
          <t>Thursday</t>
        </is>
      </c>
      <c r="C693" s="9" t="inlineStr">
        <is>
          <t>DEC</t>
        </is>
      </c>
      <c r="D693" s="9" t="n">
        <v>50</v>
      </c>
      <c r="E693" s="9" t="n"/>
      <c r="F693" s="9" t="n"/>
      <c r="G693" s="16" t="n"/>
      <c r="H693" s="9" t="n"/>
      <c r="I693" s="16" t="n"/>
      <c r="J693" s="9" t="n"/>
      <c r="K693" s="9" t="n"/>
      <c r="L693" s="9" t="n"/>
      <c r="M693" s="9" t="n"/>
      <c r="N693" s="9" t="n"/>
      <c r="O693" s="9" t="n"/>
    </row>
    <row r="694">
      <c r="A694" s="16" t="n">
        <v>46373</v>
      </c>
      <c r="B694" s="9" t="inlineStr">
        <is>
          <t>Thursday</t>
        </is>
      </c>
      <c r="C694" s="9" t="inlineStr">
        <is>
          <t>DEC</t>
        </is>
      </c>
      <c r="D694" s="9" t="n">
        <v>50</v>
      </c>
      <c r="E694" s="9" t="n"/>
      <c r="F694" s="9" t="n"/>
      <c r="G694" s="16" t="n"/>
      <c r="H694" s="9" t="n"/>
      <c r="I694" s="16" t="n"/>
      <c r="J694" s="9" t="n"/>
      <c r="K694" s="9" t="n"/>
      <c r="L694" s="9" t="n"/>
      <c r="M694" s="9" t="n"/>
      <c r="N694" s="9" t="n"/>
      <c r="O694" s="9" t="n"/>
    </row>
    <row r="695">
      <c r="A695" s="16" t="n">
        <v>46373</v>
      </c>
      <c r="B695" s="9" t="inlineStr">
        <is>
          <t>Thursday</t>
        </is>
      </c>
      <c r="C695" s="9" t="inlineStr">
        <is>
          <t>DEC</t>
        </is>
      </c>
      <c r="D695" s="9" t="n">
        <v>50</v>
      </c>
      <c r="E695" s="9" t="n"/>
      <c r="F695" s="9" t="n"/>
      <c r="G695" s="16" t="n"/>
      <c r="H695" s="9" t="n"/>
      <c r="I695" s="16" t="n"/>
      <c r="J695" s="9" t="n"/>
      <c r="K695" s="9" t="n"/>
      <c r="L695" s="9" t="n"/>
      <c r="M695" s="9" t="n"/>
      <c r="N695" s="9" t="n"/>
      <c r="O695" s="9" t="n"/>
    </row>
    <row r="696">
      <c r="A696" s="16" t="n">
        <v>46373</v>
      </c>
      <c r="B696" s="9" t="inlineStr">
        <is>
          <t>Thursday</t>
        </is>
      </c>
      <c r="C696" s="9" t="inlineStr">
        <is>
          <t>DEC</t>
        </is>
      </c>
      <c r="D696" s="9" t="n">
        <v>50</v>
      </c>
      <c r="E696" s="9" t="n"/>
      <c r="F696" s="9" t="n"/>
      <c r="G696" s="16" t="n"/>
      <c r="H696" s="9" t="n"/>
      <c r="I696" s="16" t="n"/>
      <c r="J696" s="9" t="n"/>
      <c r="K696" s="9" t="n"/>
      <c r="L696" s="9" t="n"/>
      <c r="M696" s="9" t="n"/>
      <c r="N696" s="9" t="n"/>
      <c r="O696" s="9" t="n"/>
    </row>
    <row r="697">
      <c r="A697" s="24" t="n">
        <v>46374</v>
      </c>
      <c r="B697" s="25" t="inlineStr">
        <is>
          <t>Friday</t>
        </is>
      </c>
      <c r="C697" s="25" t="inlineStr">
        <is>
          <t>DEC</t>
        </is>
      </c>
      <c r="D697" s="25" t="n">
        <v>51</v>
      </c>
      <c r="E697" s="25" t="n"/>
      <c r="F697" s="25" t="n"/>
      <c r="G697" s="24" t="n"/>
      <c r="H697" s="25" t="n"/>
      <c r="I697" s="24" t="n"/>
      <c r="J697" s="25" t="n"/>
      <c r="K697" s="25" t="n"/>
      <c r="L697" s="25" t="n"/>
      <c r="M697" s="25" t="n"/>
      <c r="N697" s="25" t="n"/>
      <c r="O697" s="25" t="n"/>
    </row>
    <row r="698">
      <c r="A698" s="16" t="n">
        <v>46374</v>
      </c>
      <c r="B698" s="9" t="inlineStr">
        <is>
          <t>Friday</t>
        </is>
      </c>
      <c r="C698" s="9" t="inlineStr">
        <is>
          <t>DEC</t>
        </is>
      </c>
      <c r="D698" s="9" t="n">
        <v>51</v>
      </c>
      <c r="E698" s="9" t="n"/>
      <c r="F698" s="9" t="n"/>
      <c r="G698" s="16" t="n"/>
      <c r="H698" s="9" t="n"/>
      <c r="I698" s="16" t="n"/>
      <c r="J698" s="9" t="n"/>
      <c r="K698" s="9" t="n"/>
      <c r="L698" s="9" t="n"/>
      <c r="M698" s="9" t="n"/>
      <c r="N698" s="9" t="n"/>
      <c r="O698" s="9" t="n"/>
    </row>
    <row r="699">
      <c r="A699" s="16" t="n">
        <v>46374</v>
      </c>
      <c r="B699" s="9" t="inlineStr">
        <is>
          <t>Friday</t>
        </is>
      </c>
      <c r="C699" s="9" t="inlineStr">
        <is>
          <t>DEC</t>
        </is>
      </c>
      <c r="D699" s="9" t="n">
        <v>51</v>
      </c>
      <c r="E699" s="9" t="n"/>
      <c r="F699" s="9" t="n"/>
      <c r="G699" s="16" t="n"/>
      <c r="H699" s="9" t="n"/>
      <c r="I699" s="16" t="n"/>
      <c r="J699" s="9" t="n"/>
      <c r="K699" s="9" t="n"/>
      <c r="L699" s="9" t="n"/>
      <c r="M699" s="9" t="n"/>
      <c r="N699" s="9" t="n"/>
      <c r="O699" s="9" t="n"/>
    </row>
    <row r="700">
      <c r="A700" s="16" t="n">
        <v>46374</v>
      </c>
      <c r="B700" s="9" t="inlineStr">
        <is>
          <t>Friday</t>
        </is>
      </c>
      <c r="C700" s="9" t="inlineStr">
        <is>
          <t>DEC</t>
        </is>
      </c>
      <c r="D700" s="9" t="n">
        <v>51</v>
      </c>
      <c r="E700" s="9" t="n"/>
      <c r="F700" s="9" t="n"/>
      <c r="G700" s="16" t="n"/>
      <c r="H700" s="9" t="n"/>
      <c r="I700" s="16" t="n"/>
      <c r="J700" s="9" t="n"/>
      <c r="K700" s="9" t="n"/>
      <c r="L700" s="9" t="n"/>
      <c r="M700" s="9" t="n"/>
      <c r="N700" s="9" t="n"/>
      <c r="O700" s="9" t="n"/>
    </row>
    <row r="701">
      <c r="A701" s="16" t="n">
        <v>46374</v>
      </c>
      <c r="B701" s="9" t="inlineStr">
        <is>
          <t>Friday</t>
        </is>
      </c>
      <c r="C701" s="9" t="inlineStr">
        <is>
          <t>DEC</t>
        </is>
      </c>
      <c r="D701" s="9" t="n">
        <v>51</v>
      </c>
      <c r="E701" s="9" t="n"/>
      <c r="F701" s="9" t="n"/>
      <c r="G701" s="16" t="n"/>
      <c r="H701" s="9" t="n"/>
      <c r="I701" s="16" t="n"/>
      <c r="J701" s="9" t="n"/>
      <c r="K701" s="9" t="n"/>
      <c r="L701" s="9" t="n"/>
      <c r="M701" s="9" t="n"/>
      <c r="N701" s="9" t="n"/>
      <c r="O701" s="9" t="n"/>
    </row>
    <row r="702">
      <c r="A702" s="24" t="n">
        <v>46375</v>
      </c>
      <c r="B702" s="25" t="inlineStr">
        <is>
          <t>Saturday</t>
        </is>
      </c>
      <c r="C702" s="25" t="inlineStr">
        <is>
          <t>DEC</t>
        </is>
      </c>
      <c r="D702" s="25" t="n">
        <v>51</v>
      </c>
      <c r="E702" s="25" t="n"/>
      <c r="F702" s="25" t="n"/>
      <c r="G702" s="24" t="n"/>
      <c r="H702" s="25" t="n"/>
      <c r="I702" s="24" t="n"/>
      <c r="J702" s="25" t="n"/>
      <c r="K702" s="25" t="n"/>
      <c r="L702" s="25" t="n"/>
      <c r="M702" s="25" t="n"/>
      <c r="N702" s="25" t="n"/>
      <c r="O702" s="25" t="n"/>
    </row>
    <row r="703">
      <c r="A703" s="16" t="n">
        <v>46375</v>
      </c>
      <c r="B703" s="9" t="inlineStr">
        <is>
          <t>Saturday</t>
        </is>
      </c>
      <c r="C703" s="9" t="inlineStr">
        <is>
          <t>DEC</t>
        </is>
      </c>
      <c r="D703" s="9" t="n">
        <v>51</v>
      </c>
      <c r="E703" s="9" t="n"/>
      <c r="F703" s="9" t="n"/>
      <c r="G703" s="16" t="n"/>
      <c r="H703" s="9" t="n"/>
      <c r="I703" s="16" t="n"/>
      <c r="J703" s="9" t="n"/>
      <c r="K703" s="9" t="n"/>
      <c r="L703" s="9" t="n"/>
      <c r="M703" s="9" t="n"/>
      <c r="N703" s="9" t="n"/>
      <c r="O703" s="9" t="n"/>
    </row>
    <row r="704">
      <c r="A704" s="16" t="n">
        <v>46375</v>
      </c>
      <c r="B704" s="9" t="inlineStr">
        <is>
          <t>Saturday</t>
        </is>
      </c>
      <c r="C704" s="9" t="inlineStr">
        <is>
          <t>DEC</t>
        </is>
      </c>
      <c r="D704" s="9" t="n">
        <v>51</v>
      </c>
      <c r="E704" s="9" t="n"/>
      <c r="F704" s="9" t="n"/>
      <c r="G704" s="16" t="n"/>
      <c r="H704" s="9" t="n"/>
      <c r="I704" s="16" t="n"/>
      <c r="J704" s="9" t="n"/>
      <c r="K704" s="9" t="n"/>
      <c r="L704" s="9" t="n"/>
      <c r="M704" s="9" t="n"/>
      <c r="N704" s="9" t="n"/>
      <c r="O704" s="9" t="n"/>
    </row>
    <row r="705">
      <c r="A705" s="16" t="n">
        <v>46375</v>
      </c>
      <c r="B705" s="9" t="inlineStr">
        <is>
          <t>Saturday</t>
        </is>
      </c>
      <c r="C705" s="9" t="inlineStr">
        <is>
          <t>DEC</t>
        </is>
      </c>
      <c r="D705" s="9" t="n">
        <v>51</v>
      </c>
      <c r="E705" s="9" t="n"/>
      <c r="F705" s="9" t="n"/>
      <c r="G705" s="16" t="n"/>
      <c r="H705" s="9" t="n"/>
      <c r="I705" s="16" t="n"/>
      <c r="J705" s="9" t="n"/>
      <c r="K705" s="9" t="n"/>
      <c r="L705" s="9" t="n"/>
      <c r="M705" s="9" t="n"/>
      <c r="N705" s="9" t="n"/>
      <c r="O705" s="9" t="n"/>
    </row>
    <row r="706">
      <c r="A706" s="16" t="n">
        <v>46375</v>
      </c>
      <c r="B706" s="9" t="inlineStr">
        <is>
          <t>Saturday</t>
        </is>
      </c>
      <c r="C706" s="9" t="inlineStr">
        <is>
          <t>DEC</t>
        </is>
      </c>
      <c r="D706" s="9" t="n">
        <v>51</v>
      </c>
      <c r="E706" s="9" t="n"/>
      <c r="F706" s="9" t="n"/>
      <c r="G706" s="16" t="n"/>
      <c r="H706" s="9" t="n"/>
      <c r="I706" s="16" t="n"/>
      <c r="J706" s="9" t="n"/>
      <c r="K706" s="9" t="n"/>
      <c r="L706" s="9" t="n"/>
      <c r="M706" s="9" t="n"/>
      <c r="N706" s="9" t="n"/>
      <c r="O706" s="9" t="n"/>
    </row>
    <row r="707">
      <c r="A707" s="24" t="n">
        <v>46376</v>
      </c>
      <c r="B707" s="25" t="inlineStr">
        <is>
          <t>Sunday</t>
        </is>
      </c>
      <c r="C707" s="25" t="inlineStr">
        <is>
          <t>DEC</t>
        </is>
      </c>
      <c r="D707" s="25" t="n">
        <v>51</v>
      </c>
      <c r="E707" s="25" t="n"/>
      <c r="F707" s="25" t="n"/>
      <c r="G707" s="24" t="n"/>
      <c r="H707" s="25" t="n"/>
      <c r="I707" s="24" t="n"/>
      <c r="J707" s="25" t="n"/>
      <c r="K707" s="25" t="n"/>
      <c r="L707" s="25" t="n"/>
      <c r="M707" s="25" t="n"/>
      <c r="N707" s="25" t="n"/>
      <c r="O707" s="25" t="n"/>
    </row>
    <row r="708">
      <c r="A708" s="16" t="n">
        <v>46376</v>
      </c>
      <c r="B708" s="9" t="inlineStr">
        <is>
          <t>Sunday</t>
        </is>
      </c>
      <c r="C708" s="9" t="inlineStr">
        <is>
          <t>DEC</t>
        </is>
      </c>
      <c r="D708" s="9" t="n">
        <v>51</v>
      </c>
      <c r="E708" s="9" t="n"/>
      <c r="F708" s="9" t="n"/>
      <c r="G708" s="16" t="n"/>
      <c r="H708" s="9" t="n"/>
      <c r="I708" s="16" t="n"/>
      <c r="J708" s="9" t="n"/>
      <c r="K708" s="9" t="n"/>
      <c r="L708" s="9" t="n"/>
      <c r="M708" s="9" t="n"/>
      <c r="N708" s="9" t="n"/>
      <c r="O708" s="9" t="n"/>
    </row>
    <row r="709">
      <c r="A709" s="16" t="n">
        <v>46376</v>
      </c>
      <c r="B709" s="9" t="inlineStr">
        <is>
          <t>Sunday</t>
        </is>
      </c>
      <c r="C709" s="9" t="inlineStr">
        <is>
          <t>DEC</t>
        </is>
      </c>
      <c r="D709" s="9" t="n">
        <v>51</v>
      </c>
      <c r="E709" s="9" t="n"/>
      <c r="F709" s="9" t="n"/>
      <c r="G709" s="16" t="n"/>
      <c r="H709" s="9" t="n"/>
      <c r="I709" s="16" t="n"/>
      <c r="J709" s="9" t="n"/>
      <c r="K709" s="9" t="n"/>
      <c r="L709" s="9" t="n"/>
      <c r="M709" s="9" t="n"/>
      <c r="N709" s="9" t="n"/>
      <c r="O709" s="9" t="n"/>
    </row>
    <row r="710">
      <c r="A710" s="16" t="n">
        <v>46376</v>
      </c>
      <c r="B710" s="9" t="inlineStr">
        <is>
          <t>Sunday</t>
        </is>
      </c>
      <c r="C710" s="9" t="inlineStr">
        <is>
          <t>DEC</t>
        </is>
      </c>
      <c r="D710" s="9" t="n">
        <v>51</v>
      </c>
      <c r="E710" s="9" t="n"/>
      <c r="F710" s="9" t="n"/>
      <c r="G710" s="16" t="n"/>
      <c r="H710" s="9" t="n"/>
      <c r="I710" s="16" t="n"/>
      <c r="J710" s="9" t="n"/>
      <c r="K710" s="9" t="n"/>
      <c r="L710" s="9" t="n"/>
      <c r="M710" s="9" t="n"/>
      <c r="N710" s="9" t="n"/>
      <c r="O710" s="9" t="n"/>
    </row>
    <row r="711">
      <c r="A711" s="16" t="n">
        <v>46376</v>
      </c>
      <c r="B711" s="9" t="inlineStr">
        <is>
          <t>Sunday</t>
        </is>
      </c>
      <c r="C711" s="9" t="inlineStr">
        <is>
          <t>DEC</t>
        </is>
      </c>
      <c r="D711" s="9" t="n">
        <v>51</v>
      </c>
      <c r="E711" s="9" t="n"/>
      <c r="F711" s="9" t="n"/>
      <c r="G711" s="16" t="n"/>
      <c r="H711" s="9" t="n"/>
      <c r="I711" s="16" t="n"/>
      <c r="J711" s="9" t="n"/>
      <c r="K711" s="9" t="n"/>
      <c r="L711" s="9" t="n"/>
      <c r="M711" s="9" t="n"/>
      <c r="N711" s="9" t="n"/>
      <c r="O711" s="9" t="n"/>
    </row>
    <row r="712">
      <c r="A712" s="24" t="n">
        <v>46377</v>
      </c>
      <c r="B712" s="25" t="inlineStr">
        <is>
          <t>Monday</t>
        </is>
      </c>
      <c r="C712" s="25" t="inlineStr">
        <is>
          <t>DEC</t>
        </is>
      </c>
      <c r="D712" s="25" t="n">
        <v>51</v>
      </c>
      <c r="E712" s="25" t="n"/>
      <c r="F712" s="25" t="n"/>
      <c r="G712" s="24" t="n"/>
      <c r="H712" s="25" t="n"/>
      <c r="I712" s="24" t="n"/>
      <c r="J712" s="25" t="n"/>
      <c r="K712" s="25" t="n"/>
      <c r="L712" s="25" t="n"/>
      <c r="M712" s="25" t="n"/>
      <c r="N712" s="25" t="n"/>
      <c r="O712" s="25" t="n"/>
    </row>
    <row r="713">
      <c r="A713" s="16" t="n">
        <v>46377</v>
      </c>
      <c r="B713" s="9" t="inlineStr">
        <is>
          <t>Monday</t>
        </is>
      </c>
      <c r="C713" s="9" t="inlineStr">
        <is>
          <t>DEC</t>
        </is>
      </c>
      <c r="D713" s="9" t="n">
        <v>51</v>
      </c>
      <c r="E713" s="9" t="n"/>
      <c r="F713" s="9" t="n"/>
      <c r="G713" s="16" t="n"/>
      <c r="H713" s="9" t="n"/>
      <c r="I713" s="16" t="n"/>
      <c r="J713" s="9" t="n"/>
      <c r="K713" s="9" t="n"/>
      <c r="L713" s="9" t="n"/>
      <c r="M713" s="9" t="n"/>
      <c r="N713" s="9" t="n"/>
      <c r="O713" s="9" t="n"/>
    </row>
    <row r="714">
      <c r="A714" s="16" t="n">
        <v>46377</v>
      </c>
      <c r="B714" s="9" t="inlineStr">
        <is>
          <t>Monday</t>
        </is>
      </c>
      <c r="C714" s="9" t="inlineStr">
        <is>
          <t>DEC</t>
        </is>
      </c>
      <c r="D714" s="9" t="n">
        <v>51</v>
      </c>
      <c r="E714" s="9" t="n"/>
      <c r="F714" s="9" t="n"/>
      <c r="G714" s="16" t="n"/>
      <c r="H714" s="9" t="n"/>
      <c r="I714" s="16" t="n"/>
      <c r="J714" s="9" t="n"/>
      <c r="K714" s="9" t="n"/>
      <c r="L714" s="9" t="n"/>
      <c r="M714" s="9" t="n"/>
      <c r="N714" s="9" t="n"/>
      <c r="O714" s="9" t="n"/>
    </row>
    <row r="715">
      <c r="A715" s="16" t="n">
        <v>46377</v>
      </c>
      <c r="B715" s="9" t="inlineStr">
        <is>
          <t>Monday</t>
        </is>
      </c>
      <c r="C715" s="9" t="inlineStr">
        <is>
          <t>DEC</t>
        </is>
      </c>
      <c r="D715" s="9" t="n">
        <v>51</v>
      </c>
      <c r="E715" s="9" t="n"/>
      <c r="F715" s="9" t="n"/>
      <c r="G715" s="16" t="n"/>
      <c r="H715" s="9" t="n"/>
      <c r="I715" s="16" t="n"/>
      <c r="J715" s="9" t="n"/>
      <c r="K715" s="9" t="n"/>
      <c r="L715" s="9" t="n"/>
      <c r="M715" s="9" t="n"/>
      <c r="N715" s="9" t="n"/>
      <c r="O715" s="9" t="n"/>
    </row>
    <row r="716">
      <c r="A716" s="16" t="n">
        <v>46377</v>
      </c>
      <c r="B716" s="9" t="inlineStr">
        <is>
          <t>Monday</t>
        </is>
      </c>
      <c r="C716" s="9" t="inlineStr">
        <is>
          <t>DEC</t>
        </is>
      </c>
      <c r="D716" s="9" t="n">
        <v>51</v>
      </c>
      <c r="E716" s="9" t="n"/>
      <c r="F716" s="9" t="n"/>
      <c r="G716" s="16" t="n"/>
      <c r="H716" s="9" t="n"/>
      <c r="I716" s="16" t="n"/>
      <c r="J716" s="9" t="n"/>
      <c r="K716" s="9" t="n"/>
      <c r="L716" s="9" t="n"/>
      <c r="M716" s="9" t="n"/>
      <c r="N716" s="9" t="n"/>
      <c r="O716" s="9" t="n"/>
    </row>
    <row r="717">
      <c r="A717" s="24" t="n">
        <v>46378</v>
      </c>
      <c r="B717" s="25" t="inlineStr">
        <is>
          <t>Tuesday</t>
        </is>
      </c>
      <c r="C717" s="25" t="inlineStr">
        <is>
          <t>DEC</t>
        </is>
      </c>
      <c r="D717" s="25" t="n">
        <v>51</v>
      </c>
      <c r="E717" s="25" t="n"/>
      <c r="F717" s="25" t="n"/>
      <c r="G717" s="24" t="n"/>
      <c r="H717" s="25" t="n"/>
      <c r="I717" s="24" t="n"/>
      <c r="J717" s="25" t="n"/>
      <c r="K717" s="25" t="n"/>
      <c r="L717" s="25" t="n"/>
      <c r="M717" s="25" t="n"/>
      <c r="N717" s="25" t="n"/>
      <c r="O717" s="25" t="n"/>
    </row>
    <row r="718">
      <c r="A718" s="16" t="n">
        <v>46378</v>
      </c>
      <c r="B718" s="9" t="inlineStr">
        <is>
          <t>Tuesday</t>
        </is>
      </c>
      <c r="C718" s="9" t="inlineStr">
        <is>
          <t>DEC</t>
        </is>
      </c>
      <c r="D718" s="9" t="n">
        <v>51</v>
      </c>
      <c r="E718" s="9" t="n"/>
      <c r="F718" s="9" t="n"/>
      <c r="G718" s="16" t="n"/>
      <c r="H718" s="9" t="n"/>
      <c r="I718" s="16" t="n"/>
      <c r="J718" s="9" t="n"/>
      <c r="K718" s="9" t="n"/>
      <c r="L718" s="9" t="n"/>
      <c r="M718" s="9" t="n"/>
      <c r="N718" s="9" t="n"/>
      <c r="O718" s="9" t="n"/>
    </row>
    <row r="719">
      <c r="A719" s="16" t="n">
        <v>46378</v>
      </c>
      <c r="B719" s="9" t="inlineStr">
        <is>
          <t>Tuesday</t>
        </is>
      </c>
      <c r="C719" s="9" t="inlineStr">
        <is>
          <t>DEC</t>
        </is>
      </c>
      <c r="D719" s="9" t="n">
        <v>51</v>
      </c>
      <c r="E719" s="9" t="n"/>
      <c r="F719" s="9" t="n"/>
      <c r="G719" s="16" t="n"/>
      <c r="H719" s="9" t="n"/>
      <c r="I719" s="16" t="n"/>
      <c r="J719" s="9" t="n"/>
      <c r="K719" s="9" t="n"/>
      <c r="L719" s="9" t="n"/>
      <c r="M719" s="9" t="n"/>
      <c r="N719" s="9" t="n"/>
      <c r="O719" s="9" t="n"/>
    </row>
    <row r="720">
      <c r="A720" s="16" t="n">
        <v>46378</v>
      </c>
      <c r="B720" s="9" t="inlineStr">
        <is>
          <t>Tuesday</t>
        </is>
      </c>
      <c r="C720" s="9" t="inlineStr">
        <is>
          <t>DEC</t>
        </is>
      </c>
      <c r="D720" s="9" t="n">
        <v>51</v>
      </c>
      <c r="E720" s="9" t="n"/>
      <c r="F720" s="9" t="n"/>
      <c r="G720" s="16" t="n"/>
      <c r="H720" s="9" t="n"/>
      <c r="I720" s="16" t="n"/>
      <c r="J720" s="9" t="n"/>
      <c r="K720" s="9" t="n"/>
      <c r="L720" s="9" t="n"/>
      <c r="M720" s="9" t="n"/>
      <c r="N720" s="9" t="n"/>
      <c r="O720" s="9" t="n"/>
    </row>
    <row r="721">
      <c r="A721" s="16" t="n">
        <v>46378</v>
      </c>
      <c r="B721" s="9" t="inlineStr">
        <is>
          <t>Tuesday</t>
        </is>
      </c>
      <c r="C721" s="9" t="inlineStr">
        <is>
          <t>DEC</t>
        </is>
      </c>
      <c r="D721" s="9" t="n">
        <v>51</v>
      </c>
      <c r="E721" s="9" t="n"/>
      <c r="F721" s="9" t="n"/>
      <c r="G721" s="16" t="n"/>
      <c r="H721" s="9" t="n"/>
      <c r="I721" s="16" t="n"/>
      <c r="J721" s="9" t="n"/>
      <c r="K721" s="9" t="n"/>
      <c r="L721" s="9" t="n"/>
      <c r="M721" s="9" t="n"/>
      <c r="N721" s="9" t="n"/>
      <c r="O721" s="9" t="n"/>
    </row>
    <row r="722">
      <c r="A722" s="24" t="n">
        <v>46379</v>
      </c>
      <c r="B722" s="25" t="inlineStr">
        <is>
          <t>Wednesday</t>
        </is>
      </c>
      <c r="C722" s="25" t="inlineStr">
        <is>
          <t>DEC</t>
        </is>
      </c>
      <c r="D722" s="25" t="n">
        <v>51</v>
      </c>
      <c r="E722" s="25" t="n"/>
      <c r="F722" s="25" t="n"/>
      <c r="G722" s="24" t="n"/>
      <c r="H722" s="25" t="n"/>
      <c r="I722" s="24" t="n"/>
      <c r="J722" s="25" t="n"/>
      <c r="K722" s="25" t="n"/>
      <c r="L722" s="25" t="n"/>
      <c r="M722" s="25" t="n"/>
      <c r="N722" s="25" t="n"/>
      <c r="O722" s="25" t="n"/>
    </row>
    <row r="723">
      <c r="A723" s="16" t="n">
        <v>46379</v>
      </c>
      <c r="B723" s="9" t="inlineStr">
        <is>
          <t>Wednesday</t>
        </is>
      </c>
      <c r="C723" s="9" t="inlineStr">
        <is>
          <t>DEC</t>
        </is>
      </c>
      <c r="D723" s="9" t="n">
        <v>51</v>
      </c>
      <c r="E723" s="9" t="n"/>
      <c r="F723" s="9" t="n"/>
      <c r="G723" s="16" t="n"/>
      <c r="H723" s="9" t="n"/>
      <c r="I723" s="16" t="n"/>
      <c r="J723" s="9" t="n"/>
      <c r="K723" s="9" t="n"/>
      <c r="L723" s="9" t="n"/>
      <c r="M723" s="9" t="n"/>
      <c r="N723" s="9" t="n"/>
      <c r="O723" s="9" t="n"/>
    </row>
    <row r="724">
      <c r="A724" s="16" t="n">
        <v>46379</v>
      </c>
      <c r="B724" s="9" t="inlineStr">
        <is>
          <t>Wednesday</t>
        </is>
      </c>
      <c r="C724" s="9" t="inlineStr">
        <is>
          <t>DEC</t>
        </is>
      </c>
      <c r="D724" s="9" t="n">
        <v>51</v>
      </c>
      <c r="E724" s="9" t="n"/>
      <c r="F724" s="9" t="n"/>
      <c r="G724" s="16" t="n"/>
      <c r="H724" s="9" t="n"/>
      <c r="I724" s="16" t="n"/>
      <c r="J724" s="9" t="n"/>
      <c r="K724" s="9" t="n"/>
      <c r="L724" s="9" t="n"/>
      <c r="M724" s="9" t="n"/>
      <c r="N724" s="9" t="n"/>
      <c r="O724" s="9" t="n"/>
    </row>
    <row r="725">
      <c r="A725" s="16" t="n">
        <v>46379</v>
      </c>
      <c r="B725" s="9" t="inlineStr">
        <is>
          <t>Wednesday</t>
        </is>
      </c>
      <c r="C725" s="9" t="inlineStr">
        <is>
          <t>DEC</t>
        </is>
      </c>
      <c r="D725" s="9" t="n">
        <v>51</v>
      </c>
      <c r="E725" s="9" t="n"/>
      <c r="F725" s="9" t="n"/>
      <c r="G725" s="16" t="n"/>
      <c r="H725" s="9" t="n"/>
      <c r="I725" s="16" t="n"/>
      <c r="J725" s="9" t="n"/>
      <c r="K725" s="9" t="n"/>
      <c r="L725" s="9" t="n"/>
      <c r="M725" s="9" t="n"/>
      <c r="N725" s="9" t="n"/>
      <c r="O725" s="9" t="n"/>
    </row>
    <row r="726">
      <c r="A726" s="16" t="n">
        <v>46379</v>
      </c>
      <c r="B726" s="9" t="inlineStr">
        <is>
          <t>Wednesday</t>
        </is>
      </c>
      <c r="C726" s="9" t="inlineStr">
        <is>
          <t>DEC</t>
        </is>
      </c>
      <c r="D726" s="9" t="n">
        <v>51</v>
      </c>
      <c r="E726" s="9" t="n"/>
      <c r="F726" s="9" t="n"/>
      <c r="G726" s="16" t="n"/>
      <c r="H726" s="9" t="n"/>
      <c r="I726" s="16" t="n"/>
      <c r="J726" s="9" t="n"/>
      <c r="K726" s="9" t="n"/>
      <c r="L726" s="9" t="n"/>
      <c r="M726" s="9" t="n"/>
      <c r="N726" s="9" t="n"/>
      <c r="O726" s="9" t="n"/>
    </row>
    <row r="727">
      <c r="A727" s="24" t="n">
        <v>46380</v>
      </c>
      <c r="B727" s="25" t="inlineStr">
        <is>
          <t>Thursday</t>
        </is>
      </c>
      <c r="C727" s="25" t="inlineStr">
        <is>
          <t>DEC</t>
        </is>
      </c>
      <c r="D727" s="25" t="n">
        <v>51</v>
      </c>
      <c r="E727" s="25" t="n"/>
      <c r="F727" s="25" t="n"/>
      <c r="G727" s="24" t="n"/>
      <c r="H727" s="25" t="n"/>
      <c r="I727" s="24" t="n"/>
      <c r="J727" s="25" t="n"/>
      <c r="K727" s="25" t="n"/>
      <c r="L727" s="25" t="n"/>
      <c r="M727" s="25" t="n"/>
      <c r="N727" s="25" t="n"/>
      <c r="O727" s="25" t="n"/>
    </row>
    <row r="728">
      <c r="A728" s="16" t="n">
        <v>46380</v>
      </c>
      <c r="B728" s="9" t="inlineStr">
        <is>
          <t>Thursday</t>
        </is>
      </c>
      <c r="C728" s="9" t="inlineStr">
        <is>
          <t>DEC</t>
        </is>
      </c>
      <c r="D728" s="9" t="n">
        <v>51</v>
      </c>
      <c r="E728" s="9" t="n"/>
      <c r="F728" s="9" t="n"/>
      <c r="G728" s="16" t="n"/>
      <c r="H728" s="9" t="n"/>
      <c r="I728" s="16" t="n"/>
      <c r="J728" s="9" t="n"/>
      <c r="K728" s="9" t="n"/>
      <c r="L728" s="9" t="n"/>
      <c r="M728" s="9" t="n"/>
      <c r="N728" s="9" t="n"/>
      <c r="O728" s="9" t="n"/>
    </row>
    <row r="729">
      <c r="A729" s="16" t="n">
        <v>46380</v>
      </c>
      <c r="B729" s="9" t="inlineStr">
        <is>
          <t>Thursday</t>
        </is>
      </c>
      <c r="C729" s="9" t="inlineStr">
        <is>
          <t>DEC</t>
        </is>
      </c>
      <c r="D729" s="9" t="n">
        <v>51</v>
      </c>
      <c r="E729" s="9" t="n"/>
      <c r="F729" s="9" t="n"/>
      <c r="G729" s="16" t="n"/>
      <c r="H729" s="9" t="n"/>
      <c r="I729" s="16" t="n"/>
      <c r="J729" s="9" t="n"/>
      <c r="K729" s="9" t="n"/>
      <c r="L729" s="9" t="n"/>
      <c r="M729" s="9" t="n"/>
      <c r="N729" s="9" t="n"/>
      <c r="O729" s="9" t="n"/>
    </row>
    <row r="730">
      <c r="A730" s="16" t="n">
        <v>46380</v>
      </c>
      <c r="B730" s="9" t="inlineStr">
        <is>
          <t>Thursday</t>
        </is>
      </c>
      <c r="C730" s="9" t="inlineStr">
        <is>
          <t>DEC</t>
        </is>
      </c>
      <c r="D730" s="9" t="n">
        <v>51</v>
      </c>
      <c r="E730" s="9" t="n"/>
      <c r="F730" s="9" t="n"/>
      <c r="G730" s="16" t="n"/>
      <c r="H730" s="9" t="n"/>
      <c r="I730" s="16" t="n"/>
      <c r="J730" s="9" t="n"/>
      <c r="K730" s="9" t="n"/>
      <c r="L730" s="9" t="n"/>
      <c r="M730" s="9" t="n"/>
      <c r="N730" s="9" t="n"/>
      <c r="O730" s="9" t="n"/>
    </row>
    <row r="731">
      <c r="A731" s="16" t="n">
        <v>46380</v>
      </c>
      <c r="B731" s="9" t="inlineStr">
        <is>
          <t>Thursday</t>
        </is>
      </c>
      <c r="C731" s="9" t="inlineStr">
        <is>
          <t>DEC</t>
        </is>
      </c>
      <c r="D731" s="9" t="n">
        <v>51</v>
      </c>
      <c r="E731" s="9" t="n"/>
      <c r="F731" s="9" t="n"/>
      <c r="G731" s="16" t="n"/>
      <c r="H731" s="9" t="n"/>
      <c r="I731" s="16" t="n"/>
      <c r="J731" s="9" t="n"/>
      <c r="K731" s="9" t="n"/>
      <c r="L731" s="9" t="n"/>
      <c r="M731" s="9" t="n"/>
      <c r="N731" s="9" t="n"/>
      <c r="O731" s="9" t="n"/>
    </row>
    <row r="732">
      <c r="A732" s="24" t="n">
        <v>46381</v>
      </c>
      <c r="B732" s="25" t="inlineStr">
        <is>
          <t>Friday</t>
        </is>
      </c>
      <c r="C732" s="25" t="inlineStr">
        <is>
          <t>DEC</t>
        </is>
      </c>
      <c r="D732" s="25" t="n">
        <v>52</v>
      </c>
      <c r="E732" s="25" t="n"/>
      <c r="F732" s="25" t="n"/>
      <c r="G732" s="24" t="n"/>
      <c r="H732" s="25" t="n"/>
      <c r="I732" s="24" t="n"/>
      <c r="J732" s="25" t="n"/>
      <c r="K732" s="25" t="n"/>
      <c r="L732" s="25" t="n"/>
      <c r="M732" s="25" t="n"/>
      <c r="N732" s="25" t="n"/>
      <c r="O732" s="25" t="n"/>
    </row>
    <row r="733">
      <c r="A733" s="16" t="n">
        <v>46381</v>
      </c>
      <c r="B733" s="9" t="inlineStr">
        <is>
          <t>Friday</t>
        </is>
      </c>
      <c r="C733" s="9" t="inlineStr">
        <is>
          <t>DEC</t>
        </is>
      </c>
      <c r="D733" s="9" t="n">
        <v>52</v>
      </c>
      <c r="E733" s="9" t="n"/>
      <c r="F733" s="9" t="n"/>
      <c r="G733" s="16" t="n"/>
      <c r="H733" s="9" t="n"/>
      <c r="I733" s="16" t="n"/>
      <c r="J733" s="9" t="n"/>
      <c r="K733" s="9" t="n"/>
      <c r="L733" s="9" t="n"/>
      <c r="M733" s="9" t="n"/>
      <c r="N733" s="9" t="n"/>
      <c r="O733" s="9" t="n"/>
    </row>
    <row r="734">
      <c r="A734" s="16" t="n">
        <v>46381</v>
      </c>
      <c r="B734" s="9" t="inlineStr">
        <is>
          <t>Friday</t>
        </is>
      </c>
      <c r="C734" s="9" t="inlineStr">
        <is>
          <t>DEC</t>
        </is>
      </c>
      <c r="D734" s="9" t="n">
        <v>52</v>
      </c>
      <c r="E734" s="9" t="n"/>
      <c r="F734" s="9" t="n"/>
      <c r="G734" s="16" t="n"/>
      <c r="H734" s="9" t="n"/>
      <c r="I734" s="16" t="n"/>
      <c r="J734" s="9" t="n"/>
      <c r="K734" s="9" t="n"/>
      <c r="L734" s="9" t="n"/>
      <c r="M734" s="9" t="n"/>
      <c r="N734" s="9" t="n"/>
      <c r="O734" s="9" t="n"/>
    </row>
    <row r="735">
      <c r="A735" s="16" t="n">
        <v>46381</v>
      </c>
      <c r="B735" s="9" t="inlineStr">
        <is>
          <t>Friday</t>
        </is>
      </c>
      <c r="C735" s="9" t="inlineStr">
        <is>
          <t>DEC</t>
        </is>
      </c>
      <c r="D735" s="9" t="n">
        <v>52</v>
      </c>
      <c r="E735" s="9" t="n"/>
      <c r="F735" s="9" t="n"/>
      <c r="G735" s="16" t="n"/>
      <c r="H735" s="9" t="n"/>
      <c r="I735" s="16" t="n"/>
      <c r="J735" s="9" t="n"/>
      <c r="K735" s="9" t="n"/>
      <c r="L735" s="9" t="n"/>
      <c r="M735" s="9" t="n"/>
      <c r="N735" s="9" t="n"/>
      <c r="O735" s="9" t="n"/>
    </row>
    <row r="736">
      <c r="A736" s="16" t="n">
        <v>46381</v>
      </c>
      <c r="B736" s="9" t="inlineStr">
        <is>
          <t>Friday</t>
        </is>
      </c>
      <c r="C736" s="9" t="inlineStr">
        <is>
          <t>DEC</t>
        </is>
      </c>
      <c r="D736" s="9" t="n">
        <v>52</v>
      </c>
      <c r="E736" s="9" t="n"/>
      <c r="F736" s="9" t="n"/>
      <c r="G736" s="16" t="n"/>
      <c r="H736" s="9" t="n"/>
      <c r="I736" s="16" t="n"/>
      <c r="J736" s="9" t="n"/>
      <c r="K736" s="9" t="n"/>
      <c r="L736" s="9" t="n"/>
      <c r="M736" s="9" t="n"/>
      <c r="N736" s="9" t="n"/>
      <c r="O736" s="9" t="n"/>
    </row>
    <row r="737">
      <c r="A737" s="24" t="n">
        <v>46382</v>
      </c>
      <c r="B737" s="25" t="inlineStr">
        <is>
          <t>Saturday</t>
        </is>
      </c>
      <c r="C737" s="25" t="inlineStr">
        <is>
          <t>DEC</t>
        </is>
      </c>
      <c r="D737" s="25" t="n">
        <v>52</v>
      </c>
      <c r="E737" s="25" t="n"/>
      <c r="F737" s="25" t="n"/>
      <c r="G737" s="24" t="n"/>
      <c r="H737" s="25" t="n"/>
      <c r="I737" s="24" t="n"/>
      <c r="J737" s="25" t="n"/>
      <c r="K737" s="25" t="n"/>
      <c r="L737" s="25" t="n"/>
      <c r="M737" s="25" t="n"/>
      <c r="N737" s="25" t="n"/>
      <c r="O737" s="25" t="n"/>
    </row>
    <row r="738">
      <c r="A738" s="16" t="n">
        <v>46382</v>
      </c>
      <c r="B738" s="9" t="inlineStr">
        <is>
          <t>Saturday</t>
        </is>
      </c>
      <c r="C738" s="9" t="inlineStr">
        <is>
          <t>DEC</t>
        </is>
      </c>
      <c r="D738" s="9" t="n">
        <v>52</v>
      </c>
      <c r="E738" s="9" t="n"/>
      <c r="F738" s="9" t="n"/>
      <c r="G738" s="16" t="n"/>
      <c r="H738" s="9" t="n"/>
      <c r="I738" s="16" t="n"/>
      <c r="J738" s="9" t="n"/>
      <c r="K738" s="9" t="n"/>
      <c r="L738" s="9" t="n"/>
      <c r="M738" s="9" t="n"/>
      <c r="N738" s="9" t="n"/>
      <c r="O738" s="9" t="n"/>
    </row>
    <row r="739">
      <c r="A739" s="16" t="n">
        <v>46382</v>
      </c>
      <c r="B739" s="9" t="inlineStr">
        <is>
          <t>Saturday</t>
        </is>
      </c>
      <c r="C739" s="9" t="inlineStr">
        <is>
          <t>DEC</t>
        </is>
      </c>
      <c r="D739" s="9" t="n">
        <v>52</v>
      </c>
      <c r="E739" s="9" t="n"/>
      <c r="F739" s="9" t="n"/>
      <c r="G739" s="16" t="n"/>
      <c r="H739" s="9" t="n"/>
      <c r="I739" s="16" t="n"/>
      <c r="J739" s="9" t="n"/>
      <c r="K739" s="9" t="n"/>
      <c r="L739" s="9" t="n"/>
      <c r="M739" s="9" t="n"/>
      <c r="N739" s="9" t="n"/>
      <c r="O739" s="9" t="n"/>
    </row>
    <row r="740">
      <c r="A740" s="16" t="n">
        <v>46382</v>
      </c>
      <c r="B740" s="9" t="inlineStr">
        <is>
          <t>Saturday</t>
        </is>
      </c>
      <c r="C740" s="9" t="inlineStr">
        <is>
          <t>DEC</t>
        </is>
      </c>
      <c r="D740" s="9" t="n">
        <v>52</v>
      </c>
      <c r="E740" s="9" t="n"/>
      <c r="F740" s="9" t="n"/>
      <c r="G740" s="16" t="n"/>
      <c r="H740" s="9" t="n"/>
      <c r="I740" s="16" t="n"/>
      <c r="J740" s="9" t="n"/>
      <c r="K740" s="9" t="n"/>
      <c r="L740" s="9" t="n"/>
      <c r="M740" s="9" t="n"/>
      <c r="N740" s="9" t="n"/>
      <c r="O740" s="9" t="n"/>
    </row>
    <row r="741">
      <c r="A741" s="16" t="n">
        <v>46382</v>
      </c>
      <c r="B741" s="9" t="inlineStr">
        <is>
          <t>Saturday</t>
        </is>
      </c>
      <c r="C741" s="9" t="inlineStr">
        <is>
          <t>DEC</t>
        </is>
      </c>
      <c r="D741" s="9" t="n">
        <v>52</v>
      </c>
      <c r="E741" s="9" t="n"/>
      <c r="F741" s="9" t="n"/>
      <c r="G741" s="16" t="n"/>
      <c r="H741" s="9" t="n"/>
      <c r="I741" s="16" t="n"/>
      <c r="J741" s="9" t="n"/>
      <c r="K741" s="9" t="n"/>
      <c r="L741" s="9" t="n"/>
      <c r="M741" s="9" t="n"/>
      <c r="N741" s="9" t="n"/>
      <c r="O741" s="9" t="n"/>
    </row>
    <row r="742">
      <c r="A742" s="24" t="n">
        <v>46383</v>
      </c>
      <c r="B742" s="25" t="inlineStr">
        <is>
          <t>Sunday</t>
        </is>
      </c>
      <c r="C742" s="25" t="inlineStr">
        <is>
          <t>DEC</t>
        </is>
      </c>
      <c r="D742" s="25" t="n">
        <v>52</v>
      </c>
      <c r="E742" s="25" t="n"/>
      <c r="F742" s="25" t="n"/>
      <c r="G742" s="24" t="n"/>
      <c r="H742" s="25" t="n"/>
      <c r="I742" s="24" t="n"/>
      <c r="J742" s="25" t="n"/>
      <c r="K742" s="25" t="n"/>
      <c r="L742" s="25" t="n"/>
      <c r="M742" s="25" t="n"/>
      <c r="N742" s="25" t="n"/>
      <c r="O742" s="25" t="n"/>
    </row>
    <row r="743">
      <c r="A743" s="16" t="n">
        <v>46383</v>
      </c>
      <c r="B743" s="9" t="inlineStr">
        <is>
          <t>Sunday</t>
        </is>
      </c>
      <c r="C743" s="9" t="inlineStr">
        <is>
          <t>DEC</t>
        </is>
      </c>
      <c r="D743" s="9" t="n">
        <v>52</v>
      </c>
      <c r="E743" s="9" t="n"/>
      <c r="F743" s="9" t="n"/>
      <c r="G743" s="16" t="n"/>
      <c r="H743" s="9" t="n"/>
      <c r="I743" s="16" t="n"/>
      <c r="J743" s="9" t="n"/>
      <c r="K743" s="9" t="n"/>
      <c r="L743" s="9" t="n"/>
      <c r="M743" s="9" t="n"/>
      <c r="N743" s="9" t="n"/>
      <c r="O743" s="9" t="n"/>
    </row>
    <row r="744">
      <c r="A744" s="16" t="n">
        <v>46383</v>
      </c>
      <c r="B744" s="9" t="inlineStr">
        <is>
          <t>Sunday</t>
        </is>
      </c>
      <c r="C744" s="9" t="inlineStr">
        <is>
          <t>DEC</t>
        </is>
      </c>
      <c r="D744" s="9" t="n">
        <v>52</v>
      </c>
      <c r="E744" s="9" t="n"/>
      <c r="F744" s="9" t="n"/>
      <c r="G744" s="16" t="n"/>
      <c r="H744" s="9" t="n"/>
      <c r="I744" s="16" t="n"/>
      <c r="J744" s="9" t="n"/>
      <c r="K744" s="9" t="n"/>
      <c r="L744" s="9" t="n"/>
      <c r="M744" s="9" t="n"/>
      <c r="N744" s="9" t="n"/>
      <c r="O744" s="9" t="n"/>
    </row>
    <row r="745">
      <c r="A745" s="16" t="n">
        <v>46383</v>
      </c>
      <c r="B745" s="9" t="inlineStr">
        <is>
          <t>Sunday</t>
        </is>
      </c>
      <c r="C745" s="9" t="inlineStr">
        <is>
          <t>DEC</t>
        </is>
      </c>
      <c r="D745" s="9" t="n">
        <v>52</v>
      </c>
      <c r="E745" s="9" t="n"/>
      <c r="F745" s="9" t="n"/>
      <c r="G745" s="16" t="n"/>
      <c r="H745" s="9" t="n"/>
      <c r="I745" s="16" t="n"/>
      <c r="J745" s="9" t="n"/>
      <c r="K745" s="9" t="n"/>
      <c r="L745" s="9" t="n"/>
      <c r="M745" s="9" t="n"/>
      <c r="N745" s="9" t="n"/>
      <c r="O745" s="9" t="n"/>
    </row>
    <row r="746">
      <c r="A746" s="16" t="n">
        <v>46383</v>
      </c>
      <c r="B746" s="9" t="inlineStr">
        <is>
          <t>Sunday</t>
        </is>
      </c>
      <c r="C746" s="9" t="inlineStr">
        <is>
          <t>DEC</t>
        </is>
      </c>
      <c r="D746" s="9" t="n">
        <v>52</v>
      </c>
      <c r="E746" s="9" t="n"/>
      <c r="F746" s="9" t="n"/>
      <c r="G746" s="16" t="n"/>
      <c r="H746" s="9" t="n"/>
      <c r="I746" s="16" t="n"/>
      <c r="J746" s="9" t="n"/>
      <c r="K746" s="9" t="n"/>
      <c r="L746" s="9" t="n"/>
      <c r="M746" s="9" t="n"/>
      <c r="N746" s="9" t="n"/>
      <c r="O746" s="9" t="n"/>
    </row>
    <row r="747">
      <c r="A747" s="24" t="n">
        <v>46384</v>
      </c>
      <c r="B747" s="25" t="inlineStr">
        <is>
          <t>Monday</t>
        </is>
      </c>
      <c r="C747" s="25" t="inlineStr">
        <is>
          <t>DEC</t>
        </is>
      </c>
      <c r="D747" s="25" t="n">
        <v>52</v>
      </c>
      <c r="E747" s="25" t="n"/>
      <c r="F747" s="25" t="n"/>
      <c r="G747" s="24" t="n"/>
      <c r="H747" s="25" t="n"/>
      <c r="I747" s="24" t="n"/>
      <c r="J747" s="25" t="n"/>
      <c r="K747" s="25" t="n"/>
      <c r="L747" s="25" t="n"/>
      <c r="M747" s="25" t="n"/>
      <c r="N747" s="25" t="n"/>
      <c r="O747" s="25" t="n"/>
    </row>
    <row r="748">
      <c r="A748" s="16" t="n">
        <v>46384</v>
      </c>
      <c r="B748" s="9" t="inlineStr">
        <is>
          <t>Monday</t>
        </is>
      </c>
      <c r="C748" s="9" t="inlineStr">
        <is>
          <t>DEC</t>
        </is>
      </c>
      <c r="D748" s="9" t="n">
        <v>52</v>
      </c>
      <c r="E748" s="9" t="n"/>
      <c r="F748" s="9" t="n"/>
      <c r="G748" s="16" t="n"/>
      <c r="H748" s="9" t="n"/>
      <c r="I748" s="16" t="n"/>
      <c r="J748" s="9" t="n"/>
      <c r="K748" s="9" t="n"/>
      <c r="L748" s="9" t="n"/>
      <c r="M748" s="9" t="n"/>
      <c r="N748" s="9" t="n"/>
      <c r="O748" s="9" t="n"/>
    </row>
    <row r="749">
      <c r="A749" s="16" t="n">
        <v>46384</v>
      </c>
      <c r="B749" s="9" t="inlineStr">
        <is>
          <t>Monday</t>
        </is>
      </c>
      <c r="C749" s="9" t="inlineStr">
        <is>
          <t>DEC</t>
        </is>
      </c>
      <c r="D749" s="9" t="n">
        <v>52</v>
      </c>
      <c r="E749" s="9" t="n"/>
      <c r="F749" s="9" t="n"/>
      <c r="G749" s="16" t="n"/>
      <c r="H749" s="9" t="n"/>
      <c r="I749" s="16" t="n"/>
      <c r="J749" s="9" t="n"/>
      <c r="K749" s="9" t="n"/>
      <c r="L749" s="9" t="n"/>
      <c r="M749" s="9" t="n"/>
      <c r="N749" s="9" t="n"/>
      <c r="O749" s="9" t="n"/>
    </row>
    <row r="750">
      <c r="A750" s="16" t="n">
        <v>46384</v>
      </c>
      <c r="B750" s="9" t="inlineStr">
        <is>
          <t>Monday</t>
        </is>
      </c>
      <c r="C750" s="9" t="inlineStr">
        <is>
          <t>DEC</t>
        </is>
      </c>
      <c r="D750" s="9" t="n">
        <v>52</v>
      </c>
      <c r="E750" s="9" t="n"/>
      <c r="F750" s="9" t="n"/>
      <c r="G750" s="16" t="n"/>
      <c r="H750" s="9" t="n"/>
      <c r="I750" s="16" t="n"/>
      <c r="J750" s="9" t="n"/>
      <c r="K750" s="9" t="n"/>
      <c r="L750" s="9" t="n"/>
      <c r="M750" s="9" t="n"/>
      <c r="N750" s="9" t="n"/>
      <c r="O750" s="9" t="n"/>
    </row>
    <row r="751">
      <c r="A751" s="16" t="n">
        <v>46384</v>
      </c>
      <c r="B751" s="9" t="inlineStr">
        <is>
          <t>Monday</t>
        </is>
      </c>
      <c r="C751" s="9" t="inlineStr">
        <is>
          <t>DEC</t>
        </is>
      </c>
      <c r="D751" s="9" t="n">
        <v>52</v>
      </c>
      <c r="E751" s="9" t="n"/>
      <c r="F751" s="9" t="n"/>
      <c r="G751" s="16" t="n"/>
      <c r="H751" s="9" t="n"/>
      <c r="I751" s="16" t="n"/>
      <c r="J751" s="9" t="n"/>
      <c r="K751" s="9" t="n"/>
      <c r="L751" s="9" t="n"/>
      <c r="M751" s="9" t="n"/>
      <c r="N751" s="9" t="n"/>
      <c r="O751" s="9" t="n"/>
    </row>
    <row r="752">
      <c r="A752" s="24" t="n">
        <v>46385</v>
      </c>
      <c r="B752" s="25" t="inlineStr">
        <is>
          <t>Tuesday</t>
        </is>
      </c>
      <c r="C752" s="25" t="inlineStr">
        <is>
          <t>DEC</t>
        </is>
      </c>
      <c r="D752" s="25" t="n">
        <v>52</v>
      </c>
      <c r="E752" s="25" t="n"/>
      <c r="F752" s="25" t="n"/>
      <c r="G752" s="24" t="n"/>
      <c r="H752" s="25" t="n"/>
      <c r="I752" s="24" t="n"/>
      <c r="J752" s="25" t="n"/>
      <c r="K752" s="25" t="n"/>
      <c r="L752" s="25" t="n"/>
      <c r="M752" s="25" t="n"/>
      <c r="N752" s="25" t="n"/>
      <c r="O752" s="25" t="n"/>
    </row>
    <row r="753">
      <c r="A753" s="16" t="n">
        <v>46385</v>
      </c>
      <c r="B753" s="9" t="inlineStr">
        <is>
          <t>Tuesday</t>
        </is>
      </c>
      <c r="C753" s="9" t="inlineStr">
        <is>
          <t>DEC</t>
        </is>
      </c>
      <c r="D753" s="9" t="n">
        <v>52</v>
      </c>
      <c r="E753" s="9" t="n"/>
      <c r="F753" s="9" t="n"/>
      <c r="G753" s="16" t="n"/>
      <c r="H753" s="9" t="n"/>
      <c r="I753" s="16" t="n"/>
      <c r="J753" s="9" t="n"/>
      <c r="K753" s="9" t="n"/>
      <c r="L753" s="9" t="n"/>
      <c r="M753" s="9" t="n"/>
      <c r="N753" s="9" t="n"/>
      <c r="O753" s="9" t="n"/>
    </row>
    <row r="754">
      <c r="A754" s="16" t="n">
        <v>46385</v>
      </c>
      <c r="B754" s="9" t="inlineStr">
        <is>
          <t>Tuesday</t>
        </is>
      </c>
      <c r="C754" s="9" t="inlineStr">
        <is>
          <t>DEC</t>
        </is>
      </c>
      <c r="D754" s="9" t="n">
        <v>52</v>
      </c>
      <c r="E754" s="9" t="n"/>
      <c r="F754" s="9" t="n"/>
      <c r="G754" s="16" t="n"/>
      <c r="H754" s="9" t="n"/>
      <c r="I754" s="16" t="n"/>
      <c r="J754" s="9" t="n"/>
      <c r="K754" s="9" t="n"/>
      <c r="L754" s="9" t="n"/>
      <c r="M754" s="9" t="n"/>
      <c r="N754" s="9" t="n"/>
      <c r="O754" s="9" t="n"/>
    </row>
    <row r="755">
      <c r="A755" s="16" t="n">
        <v>46385</v>
      </c>
      <c r="B755" s="9" t="inlineStr">
        <is>
          <t>Tuesday</t>
        </is>
      </c>
      <c r="C755" s="9" t="inlineStr">
        <is>
          <t>DEC</t>
        </is>
      </c>
      <c r="D755" s="9" t="n">
        <v>52</v>
      </c>
      <c r="E755" s="9" t="n"/>
      <c r="F755" s="9" t="n"/>
      <c r="G755" s="16" t="n"/>
      <c r="H755" s="9" t="n"/>
      <c r="I755" s="16" t="n"/>
      <c r="J755" s="9" t="n"/>
      <c r="K755" s="9" t="n"/>
      <c r="L755" s="9" t="n"/>
      <c r="M755" s="9" t="n"/>
      <c r="N755" s="9" t="n"/>
      <c r="O755" s="9" t="n"/>
    </row>
    <row r="756">
      <c r="A756" s="16" t="n">
        <v>46385</v>
      </c>
      <c r="B756" s="9" t="inlineStr">
        <is>
          <t>Tuesday</t>
        </is>
      </c>
      <c r="C756" s="9" t="inlineStr">
        <is>
          <t>DEC</t>
        </is>
      </c>
      <c r="D756" s="9" t="n">
        <v>52</v>
      </c>
      <c r="E756" s="9" t="n"/>
      <c r="F756" s="9" t="n"/>
      <c r="G756" s="16" t="n"/>
      <c r="H756" s="9" t="n"/>
      <c r="I756" s="16" t="n"/>
      <c r="J756" s="9" t="n"/>
      <c r="K756" s="9" t="n"/>
      <c r="L756" s="9" t="n"/>
      <c r="M756" s="9" t="n"/>
      <c r="N756" s="9" t="n"/>
      <c r="O756" s="9" t="n"/>
    </row>
    <row r="757">
      <c r="A757" s="24" t="n">
        <v>46386</v>
      </c>
      <c r="B757" s="25" t="inlineStr">
        <is>
          <t>Wednesday</t>
        </is>
      </c>
      <c r="C757" s="25" t="inlineStr">
        <is>
          <t>DEC</t>
        </is>
      </c>
      <c r="D757" s="25" t="n">
        <v>52</v>
      </c>
      <c r="E757" s="25" t="n"/>
      <c r="F757" s="25" t="n"/>
      <c r="G757" s="24" t="n"/>
      <c r="H757" s="25" t="n"/>
      <c r="I757" s="24" t="n"/>
      <c r="J757" s="25" t="n"/>
      <c r="K757" s="25" t="n"/>
      <c r="L757" s="25" t="n"/>
      <c r="M757" s="25" t="n"/>
      <c r="N757" s="25" t="n"/>
      <c r="O757" s="25" t="n"/>
    </row>
    <row r="758">
      <c r="A758" s="16" t="n">
        <v>46386</v>
      </c>
      <c r="B758" s="9" t="inlineStr">
        <is>
          <t>Wednesday</t>
        </is>
      </c>
      <c r="C758" s="9" t="inlineStr">
        <is>
          <t>DEC</t>
        </is>
      </c>
      <c r="D758" s="9" t="n">
        <v>52</v>
      </c>
      <c r="E758" s="9" t="n"/>
      <c r="F758" s="9" t="n"/>
      <c r="G758" s="16" t="n"/>
      <c r="H758" s="9" t="n"/>
      <c r="I758" s="16" t="n"/>
      <c r="J758" s="9" t="n"/>
      <c r="K758" s="9" t="n"/>
      <c r="L758" s="9" t="n"/>
      <c r="M758" s="9" t="n"/>
      <c r="N758" s="9" t="n"/>
      <c r="O758" s="9" t="n"/>
    </row>
    <row r="759">
      <c r="A759" s="16" t="n">
        <v>46386</v>
      </c>
      <c r="B759" s="9" t="inlineStr">
        <is>
          <t>Wednesday</t>
        </is>
      </c>
      <c r="C759" s="9" t="inlineStr">
        <is>
          <t>DEC</t>
        </is>
      </c>
      <c r="D759" s="9" t="n">
        <v>52</v>
      </c>
      <c r="E759" s="9" t="n"/>
      <c r="F759" s="9" t="n"/>
      <c r="G759" s="16" t="n"/>
      <c r="H759" s="9" t="n"/>
      <c r="I759" s="16" t="n"/>
      <c r="J759" s="9" t="n"/>
      <c r="K759" s="9" t="n"/>
      <c r="L759" s="9" t="n"/>
      <c r="M759" s="9" t="n"/>
      <c r="N759" s="9" t="n"/>
      <c r="O759" s="9" t="n"/>
    </row>
    <row r="760">
      <c r="A760" s="16" t="n">
        <v>46386</v>
      </c>
      <c r="B760" s="9" t="inlineStr">
        <is>
          <t>Wednesday</t>
        </is>
      </c>
      <c r="C760" s="9" t="inlineStr">
        <is>
          <t>DEC</t>
        </is>
      </c>
      <c r="D760" s="9" t="n">
        <v>52</v>
      </c>
      <c r="E760" s="9" t="n"/>
      <c r="F760" s="9" t="n"/>
      <c r="G760" s="16" t="n"/>
      <c r="H760" s="9" t="n"/>
      <c r="I760" s="16" t="n"/>
      <c r="J760" s="9" t="n"/>
      <c r="K760" s="9" t="n"/>
      <c r="L760" s="9" t="n"/>
      <c r="M760" s="9" t="n"/>
      <c r="N760" s="9" t="n"/>
      <c r="O760" s="9" t="n"/>
    </row>
    <row r="761">
      <c r="A761" s="16" t="n">
        <v>46386</v>
      </c>
      <c r="B761" s="9" t="inlineStr">
        <is>
          <t>Wednesday</t>
        </is>
      </c>
      <c r="C761" s="9" t="inlineStr">
        <is>
          <t>DEC</t>
        </is>
      </c>
      <c r="D761" s="9" t="n">
        <v>52</v>
      </c>
      <c r="E761" s="9" t="n"/>
      <c r="F761" s="9" t="n"/>
      <c r="G761" s="16" t="n"/>
      <c r="H761" s="9" t="n"/>
      <c r="I761" s="16" t="n"/>
      <c r="J761" s="9" t="n"/>
      <c r="K761" s="9" t="n"/>
      <c r="L761" s="9" t="n"/>
      <c r="M761" s="9" t="n"/>
      <c r="N761" s="9" t="n"/>
      <c r="O761" s="9" t="n"/>
    </row>
    <row r="762">
      <c r="A762" s="24" t="n">
        <v>46387</v>
      </c>
      <c r="B762" s="25" t="inlineStr">
        <is>
          <t>Thursday</t>
        </is>
      </c>
      <c r="C762" s="25" t="inlineStr">
        <is>
          <t>DEC</t>
        </is>
      </c>
      <c r="D762" s="25" t="n">
        <v>52</v>
      </c>
      <c r="E762" s="25" t="n"/>
      <c r="F762" s="25" t="n"/>
      <c r="G762" s="24" t="n"/>
      <c r="H762" s="25" t="n"/>
      <c r="I762" s="24" t="n"/>
      <c r="J762" s="25" t="n"/>
      <c r="K762" s="25" t="n"/>
      <c r="L762" s="25" t="n"/>
      <c r="M762" s="25" t="n"/>
      <c r="N762" s="25" t="n"/>
      <c r="O762" s="25" t="n"/>
    </row>
    <row r="763">
      <c r="A763" s="16" t="n">
        <v>46387</v>
      </c>
      <c r="B763" s="9" t="inlineStr">
        <is>
          <t>Thursday</t>
        </is>
      </c>
      <c r="C763" s="9" t="inlineStr">
        <is>
          <t>DEC</t>
        </is>
      </c>
      <c r="D763" s="9" t="n">
        <v>52</v>
      </c>
      <c r="E763" s="9" t="n"/>
      <c r="F763" s="9" t="n"/>
      <c r="G763" s="16" t="n"/>
      <c r="H763" s="9" t="n"/>
      <c r="I763" s="16" t="n"/>
      <c r="J763" s="9" t="n"/>
      <c r="K763" s="9" t="n"/>
      <c r="L763" s="9" t="n"/>
      <c r="M763" s="9" t="n"/>
      <c r="N763" s="9" t="n"/>
      <c r="O763" s="9" t="n"/>
    </row>
    <row r="764">
      <c r="A764" s="16" t="n">
        <v>46387</v>
      </c>
      <c r="B764" s="9" t="inlineStr">
        <is>
          <t>Thursday</t>
        </is>
      </c>
      <c r="C764" s="9" t="inlineStr">
        <is>
          <t>DEC</t>
        </is>
      </c>
      <c r="D764" s="9" t="n">
        <v>52</v>
      </c>
      <c r="E764" s="9" t="n"/>
      <c r="F764" s="9" t="n"/>
      <c r="G764" s="16" t="n"/>
      <c r="H764" s="9" t="n"/>
      <c r="I764" s="16" t="n"/>
      <c r="J764" s="9" t="n"/>
      <c r="K764" s="9" t="n"/>
      <c r="L764" s="9" t="n"/>
      <c r="M764" s="9" t="n"/>
      <c r="N764" s="9" t="n"/>
      <c r="O764" s="9" t="n"/>
    </row>
    <row r="765">
      <c r="A765" s="16" t="n">
        <v>46387</v>
      </c>
      <c r="B765" s="9" t="inlineStr">
        <is>
          <t>Thursday</t>
        </is>
      </c>
      <c r="C765" s="9" t="inlineStr">
        <is>
          <t>DEC</t>
        </is>
      </c>
      <c r="D765" s="9" t="n">
        <v>52</v>
      </c>
      <c r="E765" s="9" t="n"/>
      <c r="F765" s="9" t="n"/>
      <c r="G765" s="16" t="n"/>
      <c r="H765" s="9" t="n"/>
      <c r="I765" s="16" t="n"/>
      <c r="J765" s="9" t="n"/>
      <c r="K765" s="9" t="n"/>
      <c r="L765" s="9" t="n"/>
      <c r="M765" s="9" t="n"/>
      <c r="N765" s="9" t="n"/>
      <c r="O765" s="9" t="n"/>
    </row>
    <row r="766">
      <c r="A766" s="16" t="n">
        <v>46387</v>
      </c>
      <c r="B766" s="9" t="inlineStr">
        <is>
          <t>Thursday</t>
        </is>
      </c>
      <c r="C766" s="9" t="inlineStr">
        <is>
          <t>DEC</t>
        </is>
      </c>
      <c r="D766" s="9" t="n">
        <v>52</v>
      </c>
      <c r="E766" s="9" t="n"/>
      <c r="F766" s="9" t="n"/>
      <c r="G766" s="16" t="n"/>
      <c r="H766" s="9" t="n"/>
      <c r="I766" s="16" t="n"/>
      <c r="J766" s="9" t="n"/>
      <c r="K766" s="9" t="n"/>
      <c r="L766" s="9" t="n"/>
      <c r="M766" s="9" t="n"/>
      <c r="N766" s="9" t="n"/>
      <c r="O766" s="9" t="n"/>
    </row>
  </sheetData>
  <autoFilter ref="A1:O766"/>
  <dataValidations count="3">
    <dataValidation sqref="E2:E766" showDropDown="0" showInputMessage="0" showErrorMessage="0" allowBlank="1" type="list">
      <formula1>=Lists!$A$2:$A$1645</formula1>
    </dataValidation>
    <dataValidation sqref="F2:F766 H2:H766 J2:J766" showDropDown="0" showInputMessage="0" showErrorMessage="0" allowBlank="1" type="list">
      <formula1>"Response,No Response,Pending,Not Interested,Interested,Completed"</formula1>
    </dataValidation>
    <dataValidation sqref="L2:L766" showDropDown="0" showInputMessage="0" showErrorMessage="0" allowBlank="1" type="list">
      <formula1>"Friend,Family,Colleague,Customer,Prospect,Other"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2026-07-24T13:51:11Z</dcterms:created>
  <dcterms:modified xmlns:dcterms="http://purl.org/dc/terms/" xmlns:xsi="http://www.w3.org/2001/XMLSchema-instance" xsi:type="dcterms:W3CDTF">2026-07-24T18:32:55Z</dcterms:modified>
  <cp:revision>0</cp:revision>
</cp:coreProperties>
</file>